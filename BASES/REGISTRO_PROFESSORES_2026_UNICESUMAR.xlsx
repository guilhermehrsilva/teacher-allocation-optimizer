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paulo.fioroto\OneDrive - Uniasselvi\Documentos\Alocação Docente\"/>
    </mc:Choice>
  </mc:AlternateContent>
  <xr:revisionPtr revIDLastSave="0" documentId="8_{2D2E44E7-51C7-46BB-8EC6-C39BEAE4E54E}" xr6:coauthVersionLast="47" xr6:coauthVersionMax="47" xr10:uidLastSave="{00000000-0000-0000-0000-000000000000}"/>
  <bookViews>
    <workbookView xWindow="20370" yWindow="-3105" windowWidth="29040" windowHeight="15840" firstSheet="1" activeTab="1" xr2:uid="{950D9D6B-BBF4-4573-9BA7-70E7B60DFFC1}"/>
  </bookViews>
  <sheets>
    <sheet name="PARAMETROS" sheetId="1" state="hidden" r:id="rId1"/>
    <sheet name="PREENCHIMENTO|LETIVAS" sheetId="2" r:id="rId2"/>
    <sheet name="PREENCHIMENTO|NÃO-LETIVAS" sheetId="9" r:id="rId3"/>
  </sheets>
  <definedNames>
    <definedName name="_xlnm._FilterDatabase" localSheetId="2" hidden="1">'PREENCHIMENTO|NÃO-LETIVAS'!$A$9:$I$9</definedName>
    <definedName name="_xlnm._FilterDatabase" localSheetId="0" hidden="1">PARAMETROS!$A$1:$I$1</definedName>
    <definedName name="_xlnm._FilterDatabase" localSheetId="1" hidden="1">'PREENCHIMENTO|LETIVAS'!$A$9:$L$491</definedName>
    <definedName name="Atividade_Administrativa">PARAMETROS!$AE$19:$AL$19</definedName>
    <definedName name="Banco_Questões">PARAMETROS!$AE$20:$AJ$20</definedName>
    <definedName name="Conselho_Editorial">PARAMETROS!$AE$15:$AL$15</definedName>
    <definedName name="Conselho_Profissional">PARAMETROS!$AE$24:$AI$24</definedName>
    <definedName name="CPA">PARAMETROS!$AE$25:$AI$25</definedName>
    <definedName name="Disciplinas_Digitais">PARAMETROS!$AE$28:$AJ$28</definedName>
    <definedName name="Elaborar_Extensão">PARAMETROS!$AE$13:$AR$13</definedName>
    <definedName name="Formação_Docente">PARAMETROS!$AE$21:$AM$21</definedName>
    <definedName name="NDE">PARAMETROS!$AE$26:$AG$26</definedName>
    <definedName name="Organização_ENADE">PARAMETROS!$AE$22:$AU$22</definedName>
    <definedName name="Organização_Eventos">PARAMETROS!$AE$23:$AM$23</definedName>
    <definedName name="Orientar_Estagio">PARAMETROS!$AE$6:$AL$6</definedName>
    <definedName name="Orientar_Extensão">PARAMETROS!$AE$14:$AL$14</definedName>
    <definedName name="Orientar_IC">PARAMETROS!$AE$16:$AI$16</definedName>
    <definedName name="Orientar_Monitoria">PARAMETROS!$AE$8:$AJ$8</definedName>
    <definedName name="Orientar_Preceptoria">PARAMETROS!$AE$7:$AJ$7</definedName>
    <definedName name="Orientar_TCC">PARAMETROS!$AE$9:$AL$9</definedName>
    <definedName name="Participação_Núcleo">PARAMETROS!$AE$27:$AI$27</definedName>
    <definedName name="Planejamento_Aula">PARAMETROS!$AE$4:$AH$4</definedName>
    <definedName name="Planejamento_Disciplina">PARAMETROS!$AE$5:$AL$5</definedName>
    <definedName name="Produção_Gravação">PARAMETROS!$AE$10:$AM$10</definedName>
    <definedName name="Produção_Livros">PARAMETROS!$AE$11:$AM$11</definedName>
    <definedName name="Produção_Roteiro_Video">PARAMETROS!$AE$12:$AM$12</definedName>
    <definedName name="Projeto_Inovação">PARAMETROS!$AE$17:$AM$17</definedName>
    <definedName name="Projeto_Pesquisa">PARAMETROS!$AE$18:$AM$18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9" i="1" l="1"/>
  <c r="E229" i="1"/>
  <c r="D230" i="1"/>
  <c r="E230" i="1"/>
  <c r="D231" i="1"/>
  <c r="E231" i="1"/>
  <c r="D232" i="1"/>
  <c r="E232" i="1"/>
  <c r="D228" i="1"/>
  <c r="E228" i="1"/>
  <c r="D227" i="1"/>
  <c r="E227" i="1"/>
  <c r="D226" i="1"/>
  <c r="E226" i="1"/>
  <c r="D225" i="1"/>
  <c r="E225" i="1"/>
  <c r="D224" i="1"/>
  <c r="E224" i="1"/>
  <c r="D223" i="1"/>
  <c r="E223" i="1"/>
  <c r="D221" i="1"/>
  <c r="E221" i="1"/>
  <c r="D222" i="1"/>
  <c r="E222" i="1"/>
  <c r="D220" i="1"/>
  <c r="E220" i="1"/>
  <c r="D219" i="1"/>
  <c r="E219" i="1"/>
  <c r="D218" i="1"/>
  <c r="E218" i="1"/>
  <c r="D217" i="1"/>
  <c r="E217" i="1"/>
  <c r="D216" i="1"/>
  <c r="E216" i="1"/>
  <c r="D215" i="1"/>
  <c r="E215" i="1"/>
  <c r="D214" i="1"/>
  <c r="E214" i="1"/>
  <c r="B796" i="2"/>
  <c r="C796" i="2"/>
  <c r="E796" i="2"/>
  <c r="B797" i="2"/>
  <c r="C797" i="2"/>
  <c r="E797" i="2"/>
  <c r="B798" i="2"/>
  <c r="C798" i="2"/>
  <c r="E798" i="2"/>
  <c r="B799" i="2"/>
  <c r="C799" i="2"/>
  <c r="E799" i="2"/>
  <c r="B800" i="2"/>
  <c r="C800" i="2"/>
  <c r="E800" i="2"/>
  <c r="B801" i="2"/>
  <c r="C801" i="2"/>
  <c r="E801" i="2"/>
  <c r="B802" i="2"/>
  <c r="C802" i="2"/>
  <c r="E802" i="2"/>
  <c r="B803" i="2"/>
  <c r="C803" i="2"/>
  <c r="E803" i="2"/>
  <c r="B804" i="2"/>
  <c r="C804" i="2"/>
  <c r="E804" i="2"/>
  <c r="B805" i="2"/>
  <c r="C805" i="2"/>
  <c r="E805" i="2"/>
  <c r="B806" i="2"/>
  <c r="C806" i="2"/>
  <c r="E806" i="2"/>
  <c r="B807" i="2"/>
  <c r="C807" i="2"/>
  <c r="E807" i="2"/>
  <c r="B808" i="2"/>
  <c r="C808" i="2"/>
  <c r="E808" i="2"/>
  <c r="B809" i="2"/>
  <c r="C809" i="2"/>
  <c r="E809" i="2"/>
  <c r="B810" i="2"/>
  <c r="C810" i="2"/>
  <c r="E810" i="2"/>
  <c r="B811" i="2"/>
  <c r="C811" i="2"/>
  <c r="E811" i="2"/>
  <c r="B812" i="2"/>
  <c r="C812" i="2"/>
  <c r="E812" i="2"/>
  <c r="B813" i="2"/>
  <c r="C813" i="2"/>
  <c r="E813" i="2"/>
  <c r="B814" i="2"/>
  <c r="C814" i="2"/>
  <c r="E814" i="2"/>
  <c r="B815" i="2"/>
  <c r="C815" i="2"/>
  <c r="E815" i="2"/>
  <c r="B816" i="2"/>
  <c r="C816" i="2"/>
  <c r="E816" i="2"/>
  <c r="B817" i="2"/>
  <c r="C817" i="2"/>
  <c r="E817" i="2"/>
  <c r="B818" i="2"/>
  <c r="C818" i="2"/>
  <c r="E818" i="2"/>
  <c r="B819" i="2"/>
  <c r="C819" i="2"/>
  <c r="E819" i="2"/>
  <c r="B820" i="2"/>
  <c r="C820" i="2"/>
  <c r="E820" i="2"/>
  <c r="B821" i="2"/>
  <c r="C821" i="2"/>
  <c r="E821" i="2"/>
  <c r="B822" i="2"/>
  <c r="C822" i="2"/>
  <c r="E822" i="2"/>
  <c r="B823" i="2"/>
  <c r="C823" i="2"/>
  <c r="E823" i="2"/>
  <c r="B824" i="2"/>
  <c r="C824" i="2"/>
  <c r="E824" i="2"/>
  <c r="B825" i="2"/>
  <c r="C825" i="2"/>
  <c r="E825" i="2"/>
  <c r="B826" i="2"/>
  <c r="C826" i="2"/>
  <c r="E826" i="2"/>
  <c r="B827" i="2"/>
  <c r="C827" i="2"/>
  <c r="D827" i="2"/>
  <c r="E827" i="2"/>
  <c r="B828" i="2"/>
  <c r="C828" i="2"/>
  <c r="D828" i="2"/>
  <c r="E828" i="2"/>
  <c r="B829" i="2"/>
  <c r="C829" i="2"/>
  <c r="D829" i="2"/>
  <c r="E829" i="2"/>
  <c r="B830" i="2"/>
  <c r="C830" i="2"/>
  <c r="D830" i="2"/>
  <c r="E830" i="2"/>
  <c r="B831" i="2"/>
  <c r="C831" i="2"/>
  <c r="D831" i="2"/>
  <c r="E831" i="2"/>
  <c r="B832" i="2"/>
  <c r="C832" i="2"/>
  <c r="E832" i="2"/>
  <c r="B833" i="2"/>
  <c r="C833" i="2"/>
  <c r="D833" i="2"/>
  <c r="E833" i="2"/>
  <c r="B834" i="2"/>
  <c r="C834" i="2"/>
  <c r="D834" i="2"/>
  <c r="E834" i="2"/>
  <c r="B835" i="2"/>
  <c r="C835" i="2"/>
  <c r="D835" i="2"/>
  <c r="E835" i="2"/>
  <c r="B836" i="2"/>
  <c r="C836" i="2"/>
  <c r="D836" i="2"/>
  <c r="E836" i="2"/>
  <c r="B837" i="2"/>
  <c r="C837" i="2"/>
  <c r="D837" i="2"/>
  <c r="E837" i="2"/>
  <c r="B838" i="2"/>
  <c r="C838" i="2"/>
  <c r="D838" i="2"/>
  <c r="E838" i="2"/>
  <c r="B839" i="2"/>
  <c r="C839" i="2"/>
  <c r="D839" i="2"/>
  <c r="E839" i="2"/>
  <c r="B840" i="2"/>
  <c r="C840" i="2"/>
  <c r="E840" i="2"/>
  <c r="B841" i="2"/>
  <c r="C841" i="2"/>
  <c r="E841" i="2"/>
  <c r="B842" i="2"/>
  <c r="C842" i="2"/>
  <c r="E842" i="2"/>
  <c r="B843" i="2"/>
  <c r="C843" i="2"/>
  <c r="E843" i="2"/>
  <c r="B844" i="2"/>
  <c r="C844" i="2"/>
  <c r="E844" i="2"/>
  <c r="B845" i="2"/>
  <c r="C845" i="2"/>
  <c r="E845" i="2"/>
  <c r="B846" i="2"/>
  <c r="C846" i="2"/>
  <c r="E846" i="2"/>
  <c r="B847" i="2"/>
  <c r="C847" i="2"/>
  <c r="E847" i="2"/>
  <c r="B848" i="2"/>
  <c r="C848" i="2"/>
  <c r="E848" i="2"/>
  <c r="B849" i="2"/>
  <c r="C849" i="2"/>
  <c r="E849" i="2"/>
  <c r="B850" i="2"/>
  <c r="C850" i="2"/>
  <c r="E850" i="2"/>
  <c r="B851" i="2"/>
  <c r="C851" i="2"/>
  <c r="E851" i="2"/>
  <c r="B852" i="2"/>
  <c r="C852" i="2"/>
  <c r="E852" i="2"/>
  <c r="B853" i="2"/>
  <c r="C853" i="2"/>
  <c r="E853" i="2"/>
  <c r="B854" i="2"/>
  <c r="C854" i="2"/>
  <c r="E854" i="2"/>
  <c r="B855" i="2"/>
  <c r="C855" i="2"/>
  <c r="E855" i="2"/>
  <c r="B856" i="2"/>
  <c r="C856" i="2"/>
  <c r="E856" i="2"/>
  <c r="B857" i="2"/>
  <c r="C857" i="2"/>
  <c r="E857" i="2"/>
  <c r="B858" i="2"/>
  <c r="C858" i="2"/>
  <c r="E858" i="2"/>
  <c r="B859" i="2"/>
  <c r="C859" i="2"/>
  <c r="E859" i="2"/>
  <c r="B860" i="2"/>
  <c r="C860" i="2"/>
  <c r="E860" i="2"/>
  <c r="B861" i="2"/>
  <c r="C861" i="2"/>
  <c r="E861" i="2"/>
  <c r="B862" i="2"/>
  <c r="C862" i="2"/>
  <c r="E862" i="2"/>
  <c r="B863" i="2"/>
  <c r="C863" i="2"/>
  <c r="E863" i="2"/>
  <c r="B864" i="2"/>
  <c r="C864" i="2"/>
  <c r="E864" i="2"/>
  <c r="B865" i="2"/>
  <c r="C865" i="2"/>
  <c r="E865" i="2"/>
  <c r="B866" i="2"/>
  <c r="C866" i="2"/>
  <c r="E866" i="2"/>
  <c r="B867" i="2"/>
  <c r="C867" i="2"/>
  <c r="E867" i="2"/>
  <c r="B868" i="2"/>
  <c r="C868" i="2"/>
  <c r="E868" i="2"/>
  <c r="B869" i="2"/>
  <c r="C869" i="2"/>
  <c r="E869" i="2"/>
  <c r="B870" i="2"/>
  <c r="C870" i="2"/>
  <c r="E870" i="2"/>
  <c r="B871" i="2"/>
  <c r="C871" i="2"/>
  <c r="E871" i="2"/>
  <c r="B872" i="2"/>
  <c r="C872" i="2"/>
  <c r="E872" i="2"/>
  <c r="B873" i="2"/>
  <c r="C873" i="2"/>
  <c r="E873" i="2"/>
  <c r="B874" i="2"/>
  <c r="C874" i="2"/>
  <c r="E874" i="2"/>
  <c r="B875" i="2"/>
  <c r="C875" i="2"/>
  <c r="E875" i="2"/>
  <c r="B876" i="2"/>
  <c r="C876" i="2"/>
  <c r="E876" i="2"/>
  <c r="B877" i="2"/>
  <c r="C877" i="2"/>
  <c r="E877" i="2"/>
  <c r="B878" i="2"/>
  <c r="C878" i="2"/>
  <c r="E878" i="2"/>
  <c r="B879" i="2"/>
  <c r="C879" i="2"/>
  <c r="E879" i="2"/>
  <c r="B880" i="2"/>
  <c r="C880" i="2"/>
  <c r="E880" i="2"/>
  <c r="B881" i="2"/>
  <c r="C881" i="2"/>
  <c r="E881" i="2"/>
  <c r="B882" i="2"/>
  <c r="C882" i="2"/>
  <c r="E882" i="2"/>
  <c r="B883" i="2"/>
  <c r="C883" i="2"/>
  <c r="E883" i="2"/>
  <c r="B884" i="2"/>
  <c r="C884" i="2"/>
  <c r="E884" i="2"/>
  <c r="B885" i="2"/>
  <c r="C885" i="2"/>
  <c r="E885" i="2"/>
  <c r="B886" i="2"/>
  <c r="C886" i="2"/>
  <c r="E886" i="2"/>
  <c r="B887" i="2"/>
  <c r="C887" i="2"/>
  <c r="E887" i="2"/>
  <c r="B888" i="2"/>
  <c r="C888" i="2"/>
  <c r="E888" i="2"/>
  <c r="B889" i="2"/>
  <c r="C889" i="2"/>
  <c r="E889" i="2"/>
  <c r="B890" i="2"/>
  <c r="C890" i="2"/>
  <c r="E890" i="2"/>
  <c r="B891" i="2"/>
  <c r="C891" i="2"/>
  <c r="E891" i="2"/>
  <c r="B892" i="2"/>
  <c r="C892" i="2"/>
  <c r="E892" i="2"/>
  <c r="B893" i="2"/>
  <c r="C893" i="2"/>
  <c r="E893" i="2"/>
  <c r="B894" i="2"/>
  <c r="C894" i="2"/>
  <c r="E894" i="2"/>
  <c r="B895" i="2"/>
  <c r="C895" i="2"/>
  <c r="E895" i="2"/>
  <c r="B896" i="2"/>
  <c r="C896" i="2"/>
  <c r="E896" i="2"/>
  <c r="B897" i="2"/>
  <c r="C897" i="2"/>
  <c r="E897" i="2"/>
  <c r="B898" i="2"/>
  <c r="C898" i="2"/>
  <c r="E898" i="2"/>
  <c r="B899" i="2"/>
  <c r="C899" i="2"/>
  <c r="E899" i="2"/>
  <c r="B900" i="2"/>
  <c r="C900" i="2"/>
  <c r="E900" i="2"/>
  <c r="B901" i="2"/>
  <c r="C901" i="2"/>
  <c r="E901" i="2"/>
  <c r="B902" i="2"/>
  <c r="C902" i="2"/>
  <c r="E902" i="2"/>
  <c r="B903" i="2"/>
  <c r="C903" i="2"/>
  <c r="E903" i="2"/>
  <c r="B904" i="2"/>
  <c r="C904" i="2"/>
  <c r="E904" i="2"/>
  <c r="B905" i="2"/>
  <c r="C905" i="2"/>
  <c r="E905" i="2"/>
  <c r="B906" i="2"/>
  <c r="C906" i="2"/>
  <c r="E906" i="2"/>
  <c r="B907" i="2"/>
  <c r="C907" i="2"/>
  <c r="E907" i="2"/>
  <c r="B908" i="2"/>
  <c r="C908" i="2"/>
  <c r="E908" i="2"/>
  <c r="B909" i="2"/>
  <c r="C909" i="2"/>
  <c r="E909" i="2"/>
  <c r="B910" i="2"/>
  <c r="C910" i="2"/>
  <c r="E910" i="2"/>
  <c r="B911" i="2"/>
  <c r="C911" i="2"/>
  <c r="E911" i="2"/>
  <c r="B912" i="2"/>
  <c r="C912" i="2"/>
  <c r="E912" i="2"/>
  <c r="B913" i="2"/>
  <c r="C913" i="2"/>
  <c r="E913" i="2"/>
  <c r="B914" i="2"/>
  <c r="C914" i="2"/>
  <c r="E914" i="2"/>
  <c r="B915" i="2"/>
  <c r="C915" i="2"/>
  <c r="E915" i="2"/>
  <c r="B916" i="2"/>
  <c r="C916" i="2"/>
  <c r="E916" i="2"/>
  <c r="B917" i="2"/>
  <c r="C917" i="2"/>
  <c r="E917" i="2"/>
  <c r="B918" i="2"/>
  <c r="C918" i="2"/>
  <c r="E918" i="2"/>
  <c r="B919" i="2"/>
  <c r="C919" i="2"/>
  <c r="E919" i="2"/>
  <c r="B920" i="2"/>
  <c r="C920" i="2"/>
  <c r="E920" i="2"/>
  <c r="B921" i="2"/>
  <c r="C921" i="2"/>
  <c r="E921" i="2"/>
  <c r="B922" i="2"/>
  <c r="C922" i="2"/>
  <c r="E922" i="2"/>
  <c r="B923" i="2"/>
  <c r="C923" i="2"/>
  <c r="E923" i="2"/>
  <c r="B924" i="2"/>
  <c r="C924" i="2"/>
  <c r="E924" i="2"/>
  <c r="B925" i="2"/>
  <c r="C925" i="2"/>
  <c r="E925" i="2"/>
  <c r="B926" i="2"/>
  <c r="C926" i="2"/>
  <c r="E926" i="2"/>
  <c r="B927" i="2"/>
  <c r="C927" i="2"/>
  <c r="E927" i="2"/>
  <c r="B928" i="2"/>
  <c r="C928" i="2"/>
  <c r="E928" i="2"/>
  <c r="B929" i="2"/>
  <c r="C929" i="2"/>
  <c r="E929" i="2"/>
  <c r="B930" i="2"/>
  <c r="C930" i="2"/>
  <c r="E930" i="2"/>
  <c r="B931" i="2"/>
  <c r="C931" i="2"/>
  <c r="E931" i="2"/>
  <c r="B932" i="2"/>
  <c r="C932" i="2"/>
  <c r="E932" i="2"/>
  <c r="B933" i="2"/>
  <c r="C933" i="2"/>
  <c r="E933" i="2"/>
  <c r="B934" i="2"/>
  <c r="C934" i="2"/>
  <c r="E934" i="2"/>
  <c r="B935" i="2"/>
  <c r="C935" i="2"/>
  <c r="E935" i="2"/>
  <c r="B936" i="2"/>
  <c r="C936" i="2"/>
  <c r="D936" i="2"/>
  <c r="E936" i="2"/>
  <c r="B937" i="2"/>
  <c r="C937" i="2"/>
  <c r="D937" i="2"/>
  <c r="E937" i="2"/>
  <c r="B938" i="2"/>
  <c r="C938" i="2"/>
  <c r="D938" i="2"/>
  <c r="E938" i="2"/>
  <c r="B939" i="2"/>
  <c r="C939" i="2"/>
  <c r="D939" i="2"/>
  <c r="E939" i="2"/>
  <c r="B940" i="2"/>
  <c r="C940" i="2"/>
  <c r="E940" i="2"/>
  <c r="B941" i="2"/>
  <c r="C941" i="2"/>
  <c r="E941" i="2"/>
  <c r="B942" i="2"/>
  <c r="C942" i="2"/>
  <c r="E942" i="2"/>
  <c r="B943" i="2"/>
  <c r="C943" i="2"/>
  <c r="E943" i="2"/>
  <c r="B944" i="2"/>
  <c r="C944" i="2"/>
  <c r="E944" i="2"/>
  <c r="B945" i="2"/>
  <c r="C945" i="2"/>
  <c r="D945" i="2"/>
  <c r="E945" i="2"/>
  <c r="B946" i="2"/>
  <c r="C946" i="2"/>
  <c r="E946" i="2"/>
  <c r="B947" i="2"/>
  <c r="C947" i="2"/>
  <c r="E947" i="2"/>
  <c r="B948" i="2"/>
  <c r="C948" i="2"/>
  <c r="E948" i="2"/>
  <c r="B949" i="2"/>
  <c r="C949" i="2"/>
  <c r="E949" i="2"/>
  <c r="B950" i="2"/>
  <c r="C950" i="2"/>
  <c r="E950" i="2"/>
  <c r="B951" i="2"/>
  <c r="C951" i="2"/>
  <c r="E951" i="2"/>
  <c r="B952" i="2"/>
  <c r="C952" i="2"/>
  <c r="E952" i="2"/>
  <c r="B953" i="2"/>
  <c r="C953" i="2"/>
  <c r="E953" i="2"/>
  <c r="B954" i="2"/>
  <c r="C954" i="2"/>
  <c r="E954" i="2"/>
  <c r="B955" i="2"/>
  <c r="C955" i="2"/>
  <c r="E955" i="2"/>
  <c r="B956" i="2"/>
  <c r="C956" i="2"/>
  <c r="E956" i="2"/>
  <c r="B957" i="2"/>
  <c r="C957" i="2"/>
  <c r="E957" i="2"/>
  <c r="B958" i="2"/>
  <c r="C958" i="2"/>
  <c r="E958" i="2"/>
  <c r="B959" i="2"/>
  <c r="C959" i="2"/>
  <c r="E959" i="2"/>
  <c r="B960" i="2"/>
  <c r="C960" i="2"/>
  <c r="E960" i="2"/>
  <c r="B961" i="2"/>
  <c r="C961" i="2"/>
  <c r="E961" i="2"/>
  <c r="B962" i="2"/>
  <c r="C962" i="2"/>
  <c r="E962" i="2"/>
  <c r="B963" i="2"/>
  <c r="C963" i="2"/>
  <c r="E963" i="2"/>
  <c r="B964" i="2"/>
  <c r="C964" i="2"/>
  <c r="E964" i="2"/>
  <c r="B965" i="2"/>
  <c r="C965" i="2"/>
  <c r="E965" i="2"/>
  <c r="B966" i="2"/>
  <c r="C966" i="2"/>
  <c r="E966" i="2"/>
  <c r="B967" i="2"/>
  <c r="C967" i="2"/>
  <c r="E967" i="2"/>
  <c r="B968" i="2"/>
  <c r="C968" i="2"/>
  <c r="E968" i="2"/>
  <c r="B969" i="2"/>
  <c r="C969" i="2"/>
  <c r="E969" i="2"/>
  <c r="B970" i="2"/>
  <c r="C970" i="2"/>
  <c r="E970" i="2"/>
  <c r="B971" i="2"/>
  <c r="C971" i="2"/>
  <c r="E971" i="2"/>
  <c r="B972" i="2"/>
  <c r="C972" i="2"/>
  <c r="E972" i="2"/>
  <c r="B973" i="2"/>
  <c r="C973" i="2"/>
  <c r="E973" i="2"/>
  <c r="B974" i="2"/>
  <c r="C974" i="2"/>
  <c r="E974" i="2"/>
  <c r="B975" i="2"/>
  <c r="C975" i="2"/>
  <c r="E975" i="2"/>
  <c r="B976" i="2"/>
  <c r="C976" i="2"/>
  <c r="E976" i="2"/>
  <c r="B977" i="2"/>
  <c r="C977" i="2"/>
  <c r="E977" i="2"/>
  <c r="B978" i="2"/>
  <c r="C978" i="2"/>
  <c r="E978" i="2"/>
  <c r="B979" i="2"/>
  <c r="C979" i="2"/>
  <c r="E979" i="2"/>
  <c r="B980" i="2"/>
  <c r="C980" i="2"/>
  <c r="E980" i="2"/>
  <c r="B981" i="2"/>
  <c r="C981" i="2"/>
  <c r="E981" i="2"/>
  <c r="B982" i="2"/>
  <c r="C982" i="2"/>
  <c r="D982" i="2"/>
  <c r="E982" i="2"/>
  <c r="B983" i="2"/>
  <c r="C983" i="2"/>
  <c r="D983" i="2"/>
  <c r="E983" i="2"/>
  <c r="B984" i="2"/>
  <c r="C984" i="2"/>
  <c r="D984" i="2"/>
  <c r="E984" i="2"/>
  <c r="B985" i="2"/>
  <c r="C985" i="2"/>
  <c r="D985" i="2"/>
  <c r="E985" i="2"/>
  <c r="B986" i="2"/>
  <c r="C986" i="2"/>
  <c r="D986" i="2"/>
  <c r="E986" i="2"/>
  <c r="B987" i="2"/>
  <c r="C987" i="2"/>
  <c r="D987" i="2"/>
  <c r="E987" i="2"/>
  <c r="B988" i="2"/>
  <c r="C988" i="2"/>
  <c r="D988" i="2"/>
  <c r="E988" i="2"/>
  <c r="B989" i="2"/>
  <c r="C989" i="2"/>
  <c r="D989" i="2"/>
  <c r="E989" i="2"/>
  <c r="B990" i="2"/>
  <c r="C990" i="2"/>
  <c r="D990" i="2"/>
  <c r="E990" i="2"/>
  <c r="B991" i="2"/>
  <c r="C991" i="2"/>
  <c r="D991" i="2"/>
  <c r="E991" i="2"/>
  <c r="B992" i="2"/>
  <c r="C992" i="2"/>
  <c r="D992" i="2"/>
  <c r="E992" i="2"/>
  <c r="B993" i="2"/>
  <c r="C993" i="2"/>
  <c r="D993" i="2"/>
  <c r="E993" i="2"/>
  <c r="B994" i="2"/>
  <c r="C994" i="2"/>
  <c r="D994" i="2"/>
  <c r="E994" i="2"/>
  <c r="B995" i="2"/>
  <c r="C995" i="2"/>
  <c r="D995" i="2"/>
  <c r="E995" i="2"/>
  <c r="B996" i="2"/>
  <c r="C996" i="2"/>
  <c r="D996" i="2"/>
  <c r="E996" i="2"/>
  <c r="B997" i="2"/>
  <c r="C997" i="2"/>
  <c r="D997" i="2"/>
  <c r="E997" i="2"/>
  <c r="B998" i="2"/>
  <c r="C998" i="2"/>
  <c r="D998" i="2"/>
  <c r="E998" i="2"/>
  <c r="B999" i="2"/>
  <c r="C999" i="2"/>
  <c r="D999" i="2"/>
  <c r="E999" i="2"/>
  <c r="B1000" i="2"/>
  <c r="C1000" i="2"/>
  <c r="D1000" i="2"/>
  <c r="E1000" i="2"/>
  <c r="B1001" i="2"/>
  <c r="C1001" i="2"/>
  <c r="D1001" i="2"/>
  <c r="E1001" i="2"/>
  <c r="B1002" i="2"/>
  <c r="C1002" i="2"/>
  <c r="D1002" i="2"/>
  <c r="E1002" i="2"/>
  <c r="B1003" i="2"/>
  <c r="C1003" i="2"/>
  <c r="D1003" i="2"/>
  <c r="E1003" i="2"/>
  <c r="B1004" i="2"/>
  <c r="C1004" i="2"/>
  <c r="D1004" i="2"/>
  <c r="E1004" i="2"/>
  <c r="B1005" i="2"/>
  <c r="C1005" i="2"/>
  <c r="D1005" i="2"/>
  <c r="E1005" i="2"/>
  <c r="B1006" i="2"/>
  <c r="C1006" i="2"/>
  <c r="D1006" i="2"/>
  <c r="E1006" i="2"/>
  <c r="B1007" i="2"/>
  <c r="C1007" i="2"/>
  <c r="D1007" i="2"/>
  <c r="E1007" i="2"/>
  <c r="B1008" i="2"/>
  <c r="C1008" i="2"/>
  <c r="D1008" i="2"/>
  <c r="E1008" i="2"/>
  <c r="B1009" i="2"/>
  <c r="C1009" i="2"/>
  <c r="E1009" i="2"/>
  <c r="B1010" i="2"/>
  <c r="C1010" i="2"/>
  <c r="E1010" i="2"/>
  <c r="B1011" i="2"/>
  <c r="C1011" i="2"/>
  <c r="E1011" i="2"/>
  <c r="B1012" i="2"/>
  <c r="C1012" i="2"/>
  <c r="E1012" i="2"/>
  <c r="B1013" i="2"/>
  <c r="C1013" i="2"/>
  <c r="D1013" i="2"/>
  <c r="E1013" i="2"/>
  <c r="B1014" i="2"/>
  <c r="C1014" i="2"/>
  <c r="D1014" i="2"/>
  <c r="E1014" i="2"/>
  <c r="B1015" i="2"/>
  <c r="C1015" i="2"/>
  <c r="E1015" i="2"/>
  <c r="B1016" i="2"/>
  <c r="C1016" i="2"/>
  <c r="E1016" i="2"/>
  <c r="B1017" i="2"/>
  <c r="C1017" i="2"/>
  <c r="E1017" i="2"/>
  <c r="B1018" i="2"/>
  <c r="C1018" i="2"/>
  <c r="E1018" i="2"/>
  <c r="B1019" i="2"/>
  <c r="C1019" i="2"/>
  <c r="D1019" i="2"/>
  <c r="E1019" i="2"/>
  <c r="B1020" i="2"/>
  <c r="C1020" i="2"/>
  <c r="D1020" i="2"/>
  <c r="E1020" i="2"/>
  <c r="B1021" i="2"/>
  <c r="C1021" i="2"/>
  <c r="E1021" i="2"/>
  <c r="B1022" i="2"/>
  <c r="C1022" i="2"/>
  <c r="E1022" i="2"/>
  <c r="B1023" i="2"/>
  <c r="C1023" i="2"/>
  <c r="E1023" i="2"/>
  <c r="B1024" i="2"/>
  <c r="C1024" i="2"/>
  <c r="E1024" i="2"/>
  <c r="B1025" i="2"/>
  <c r="C1025" i="2"/>
  <c r="E1025" i="2"/>
  <c r="B1026" i="2"/>
  <c r="C1026" i="2"/>
  <c r="E1026" i="2"/>
  <c r="B1027" i="2"/>
  <c r="C1027" i="2"/>
  <c r="E1027" i="2"/>
  <c r="B1028" i="2"/>
  <c r="C1028" i="2"/>
  <c r="E1028" i="2"/>
  <c r="B1029" i="2"/>
  <c r="C1029" i="2"/>
  <c r="E1029" i="2"/>
  <c r="B1030" i="2"/>
  <c r="C1030" i="2"/>
  <c r="E1030" i="2"/>
  <c r="B1031" i="2"/>
  <c r="C1031" i="2"/>
  <c r="E1031" i="2"/>
  <c r="B1032" i="2"/>
  <c r="C1032" i="2"/>
  <c r="E1032" i="2"/>
  <c r="B1033" i="2"/>
  <c r="C1033" i="2"/>
  <c r="E1033" i="2"/>
  <c r="B1034" i="2"/>
  <c r="C1034" i="2"/>
  <c r="E1034" i="2"/>
  <c r="B1035" i="2"/>
  <c r="C1035" i="2"/>
  <c r="E1035" i="2"/>
  <c r="B1036" i="2"/>
  <c r="C1036" i="2"/>
  <c r="E1036" i="2"/>
  <c r="B1037" i="2"/>
  <c r="C1037" i="2"/>
  <c r="E1037" i="2"/>
  <c r="B1038" i="2"/>
  <c r="C1038" i="2"/>
  <c r="E1038" i="2"/>
  <c r="B1039" i="2"/>
  <c r="C1039" i="2"/>
  <c r="E1039" i="2"/>
  <c r="B1040" i="2"/>
  <c r="C1040" i="2"/>
  <c r="E1040" i="2"/>
  <c r="B1041" i="2"/>
  <c r="C1041" i="2"/>
  <c r="E1041" i="2"/>
  <c r="B1042" i="2"/>
  <c r="C1042" i="2"/>
  <c r="E1042" i="2"/>
  <c r="B1043" i="2"/>
  <c r="C1043" i="2"/>
  <c r="E1043" i="2"/>
  <c r="B1044" i="2"/>
  <c r="C1044" i="2"/>
  <c r="E1044" i="2"/>
  <c r="B1045" i="2"/>
  <c r="C1045" i="2"/>
  <c r="E1045" i="2"/>
  <c r="B1046" i="2"/>
  <c r="C1046" i="2"/>
  <c r="E1046" i="2"/>
  <c r="B1047" i="2"/>
  <c r="C1047" i="2"/>
  <c r="D1047" i="2"/>
  <c r="E1047" i="2"/>
  <c r="B1048" i="2"/>
  <c r="C1048" i="2"/>
  <c r="E1048" i="2"/>
  <c r="B1049" i="2"/>
  <c r="C1049" i="2"/>
  <c r="E1049" i="2"/>
  <c r="B1050" i="2"/>
  <c r="C1050" i="2"/>
  <c r="E1050" i="2"/>
  <c r="B1051" i="2"/>
  <c r="C1051" i="2"/>
  <c r="E1051" i="2"/>
  <c r="B1052" i="2"/>
  <c r="C1052" i="2"/>
  <c r="E1052" i="2"/>
  <c r="B1053" i="2"/>
  <c r="C1053" i="2"/>
  <c r="E1053" i="2"/>
  <c r="B1054" i="2"/>
  <c r="C1054" i="2"/>
  <c r="E1054" i="2"/>
  <c r="B1055" i="2"/>
  <c r="C1055" i="2"/>
  <c r="E1055" i="2"/>
  <c r="B1056" i="2"/>
  <c r="C1056" i="2"/>
  <c r="E1056" i="2"/>
  <c r="B1057" i="2"/>
  <c r="C1057" i="2"/>
  <c r="E1057" i="2"/>
  <c r="B1058" i="2"/>
  <c r="C1058" i="2"/>
  <c r="E1058" i="2"/>
  <c r="B1059" i="2"/>
  <c r="C1059" i="2"/>
  <c r="E1059" i="2"/>
  <c r="B1060" i="2"/>
  <c r="C1060" i="2"/>
  <c r="E1060" i="2"/>
  <c r="B1061" i="2"/>
  <c r="C1061" i="2"/>
  <c r="E1061" i="2"/>
  <c r="B1062" i="2"/>
  <c r="C1062" i="2"/>
  <c r="E1062" i="2"/>
  <c r="B1063" i="2"/>
  <c r="C1063" i="2"/>
  <c r="E1063" i="2"/>
  <c r="B1064" i="2"/>
  <c r="C1064" i="2"/>
  <c r="E1064" i="2"/>
  <c r="B1065" i="2"/>
  <c r="C1065" i="2"/>
  <c r="E1065" i="2"/>
  <c r="B1066" i="2"/>
  <c r="C1066" i="2"/>
  <c r="E1066" i="2"/>
  <c r="B1067" i="2"/>
  <c r="C1067" i="2"/>
  <c r="E1067" i="2"/>
  <c r="B1068" i="2"/>
  <c r="C1068" i="2"/>
  <c r="E1068" i="2"/>
  <c r="B1069" i="2"/>
  <c r="C1069" i="2"/>
  <c r="E1069" i="2"/>
  <c r="B1070" i="2"/>
  <c r="C1070" i="2"/>
  <c r="E1070" i="2"/>
  <c r="B1071" i="2"/>
  <c r="C1071" i="2"/>
  <c r="E1071" i="2"/>
  <c r="B1072" i="2"/>
  <c r="C1072" i="2"/>
  <c r="E1072" i="2"/>
  <c r="B1073" i="2"/>
  <c r="C1073" i="2"/>
  <c r="E1073" i="2"/>
  <c r="B1074" i="2"/>
  <c r="C1074" i="2"/>
  <c r="E1074" i="2"/>
  <c r="B1075" i="2"/>
  <c r="C1075" i="2"/>
  <c r="E1075" i="2"/>
  <c r="B1076" i="2"/>
  <c r="C1076" i="2"/>
  <c r="E1076" i="2"/>
  <c r="B1077" i="2"/>
  <c r="C1077" i="2"/>
  <c r="E1077" i="2"/>
  <c r="B1078" i="2"/>
  <c r="C1078" i="2"/>
  <c r="E1078" i="2"/>
  <c r="B1079" i="2"/>
  <c r="C1079" i="2"/>
  <c r="E1079" i="2"/>
  <c r="B1080" i="2"/>
  <c r="C1080" i="2"/>
  <c r="E1080" i="2"/>
  <c r="B1081" i="2"/>
  <c r="C1081" i="2"/>
  <c r="E1081" i="2"/>
  <c r="B1082" i="2"/>
  <c r="C1082" i="2"/>
  <c r="E1082" i="2"/>
  <c r="B1083" i="2"/>
  <c r="C1083" i="2"/>
  <c r="E1083" i="2"/>
  <c r="B1084" i="2"/>
  <c r="C1084" i="2"/>
  <c r="E1084" i="2"/>
  <c r="B1085" i="2"/>
  <c r="C1085" i="2"/>
  <c r="E1085" i="2"/>
  <c r="B1086" i="2"/>
  <c r="C1086" i="2"/>
  <c r="E1086" i="2"/>
  <c r="B1087" i="2"/>
  <c r="C1087" i="2"/>
  <c r="E1087" i="2"/>
  <c r="B1088" i="2"/>
  <c r="C1088" i="2"/>
  <c r="E1088" i="2"/>
  <c r="B1089" i="2"/>
  <c r="C1089" i="2"/>
  <c r="E1089" i="2"/>
  <c r="B1090" i="2"/>
  <c r="C1090" i="2"/>
  <c r="E1090" i="2"/>
  <c r="B1091" i="2"/>
  <c r="C1091" i="2"/>
  <c r="E1091" i="2"/>
  <c r="B1092" i="2"/>
  <c r="C1092" i="2"/>
  <c r="E1092" i="2"/>
  <c r="B1093" i="2"/>
  <c r="C1093" i="2"/>
  <c r="E1093" i="2"/>
  <c r="B1094" i="2"/>
  <c r="C1094" i="2"/>
  <c r="E1094" i="2"/>
  <c r="B1095" i="2"/>
  <c r="C1095" i="2"/>
  <c r="E1095" i="2"/>
  <c r="B1096" i="2"/>
  <c r="C1096" i="2"/>
  <c r="E1096" i="2"/>
  <c r="B1097" i="2"/>
  <c r="C1097" i="2"/>
  <c r="E1097" i="2"/>
  <c r="B1098" i="2"/>
  <c r="C1098" i="2"/>
  <c r="D1098" i="2"/>
  <c r="E1098" i="2"/>
  <c r="B1099" i="2"/>
  <c r="C1099" i="2"/>
  <c r="D1099" i="2"/>
  <c r="E1099" i="2"/>
  <c r="B1100" i="2"/>
  <c r="C1100" i="2"/>
  <c r="D1100" i="2"/>
  <c r="E1100" i="2"/>
  <c r="B1101" i="2"/>
  <c r="C1101" i="2"/>
  <c r="D1101" i="2"/>
  <c r="E1101" i="2"/>
  <c r="B1102" i="2"/>
  <c r="C1102" i="2"/>
  <c r="D1102" i="2"/>
  <c r="E1102" i="2"/>
  <c r="B1103" i="2"/>
  <c r="C1103" i="2"/>
  <c r="D1103" i="2"/>
  <c r="E1103" i="2"/>
  <c r="B1104" i="2"/>
  <c r="C1104" i="2"/>
  <c r="D1104" i="2"/>
  <c r="E1104" i="2"/>
  <c r="B1105" i="2"/>
  <c r="C1105" i="2"/>
  <c r="D1105" i="2"/>
  <c r="E1105" i="2"/>
  <c r="B1106" i="2"/>
  <c r="C1106" i="2"/>
  <c r="D1106" i="2"/>
  <c r="E1106" i="2"/>
  <c r="B1107" i="2"/>
  <c r="C1107" i="2"/>
  <c r="D1107" i="2"/>
  <c r="E1107" i="2"/>
  <c r="B1108" i="2"/>
  <c r="C1108" i="2"/>
  <c r="D1108" i="2"/>
  <c r="E1108" i="2"/>
  <c r="B1109" i="2"/>
  <c r="C1109" i="2"/>
  <c r="D1109" i="2"/>
  <c r="E1109" i="2"/>
  <c r="B1110" i="2"/>
  <c r="C1110" i="2"/>
  <c r="D1110" i="2"/>
  <c r="E1110" i="2"/>
  <c r="B1111" i="2"/>
  <c r="C1111" i="2"/>
  <c r="D1111" i="2"/>
  <c r="E1111" i="2"/>
  <c r="B1112" i="2"/>
  <c r="C1112" i="2"/>
  <c r="D1112" i="2"/>
  <c r="E1112" i="2"/>
  <c r="B1113" i="2"/>
  <c r="C1113" i="2"/>
  <c r="D1113" i="2"/>
  <c r="E1113" i="2"/>
  <c r="B1114" i="2"/>
  <c r="C1114" i="2"/>
  <c r="D1114" i="2"/>
  <c r="E1114" i="2"/>
  <c r="B1115" i="2"/>
  <c r="C1115" i="2"/>
  <c r="D1115" i="2"/>
  <c r="E1115" i="2"/>
  <c r="B1116" i="2"/>
  <c r="C1116" i="2"/>
  <c r="D1116" i="2"/>
  <c r="E1116" i="2"/>
  <c r="B1117" i="2"/>
  <c r="C1117" i="2"/>
  <c r="D1117" i="2"/>
  <c r="E1117" i="2"/>
  <c r="B1118" i="2"/>
  <c r="C1118" i="2"/>
  <c r="D1118" i="2"/>
  <c r="E1118" i="2"/>
  <c r="B1119" i="2"/>
  <c r="C1119" i="2"/>
  <c r="D1119" i="2"/>
  <c r="E1119" i="2"/>
  <c r="B1120" i="2"/>
  <c r="C1120" i="2"/>
  <c r="D1120" i="2"/>
  <c r="E1120" i="2"/>
  <c r="B1121" i="2"/>
  <c r="C1121" i="2"/>
  <c r="D1121" i="2"/>
  <c r="E1121" i="2"/>
  <c r="B1122" i="2"/>
  <c r="C1122" i="2"/>
  <c r="E1122" i="2"/>
  <c r="B1123" i="2"/>
  <c r="C1123" i="2"/>
  <c r="E1123" i="2"/>
  <c r="B1124" i="2"/>
  <c r="C1124" i="2"/>
  <c r="E1124" i="2"/>
  <c r="B1125" i="2"/>
  <c r="C1125" i="2"/>
  <c r="E1125" i="2"/>
  <c r="B1126" i="2"/>
  <c r="C1126" i="2"/>
  <c r="E1126" i="2"/>
  <c r="B1127" i="2"/>
  <c r="C1127" i="2"/>
  <c r="E1127" i="2"/>
  <c r="B1128" i="2"/>
  <c r="C1128" i="2"/>
  <c r="D1128" i="2"/>
  <c r="E1128" i="2"/>
  <c r="B1129" i="2"/>
  <c r="C1129" i="2"/>
  <c r="D1129" i="2"/>
  <c r="E1129" i="2"/>
  <c r="B1130" i="2"/>
  <c r="C1130" i="2"/>
  <c r="D1130" i="2"/>
  <c r="E1130" i="2"/>
  <c r="B1131" i="2"/>
  <c r="C1131" i="2"/>
  <c r="D1131" i="2"/>
  <c r="E1131" i="2"/>
  <c r="B1132" i="2"/>
  <c r="C1132" i="2"/>
  <c r="D1132" i="2"/>
  <c r="E1132" i="2"/>
  <c r="B1133" i="2"/>
  <c r="C1133" i="2"/>
  <c r="D1133" i="2"/>
  <c r="E1133" i="2"/>
  <c r="B1134" i="2"/>
  <c r="C1134" i="2"/>
  <c r="D1134" i="2"/>
  <c r="E1134" i="2"/>
  <c r="B1135" i="2"/>
  <c r="C1135" i="2"/>
  <c r="D1135" i="2"/>
  <c r="E1135" i="2"/>
  <c r="B1136" i="2"/>
  <c r="C1136" i="2"/>
  <c r="D1136" i="2"/>
  <c r="E1136" i="2"/>
  <c r="B1137" i="2"/>
  <c r="C1137" i="2"/>
  <c r="D1137" i="2"/>
  <c r="E1137" i="2"/>
  <c r="B1138" i="2"/>
  <c r="C1138" i="2"/>
  <c r="D1138" i="2"/>
  <c r="E1138" i="2"/>
  <c r="B1139" i="2"/>
  <c r="C1139" i="2"/>
  <c r="D1139" i="2"/>
  <c r="E1139" i="2"/>
  <c r="B1140" i="2"/>
  <c r="C1140" i="2"/>
  <c r="D1140" i="2"/>
  <c r="E1140" i="2"/>
  <c r="B1141" i="2"/>
  <c r="C1141" i="2"/>
  <c r="D1141" i="2"/>
  <c r="E1141" i="2"/>
  <c r="B1142" i="2"/>
  <c r="C1142" i="2"/>
  <c r="D1142" i="2"/>
  <c r="E1142" i="2"/>
  <c r="B1143" i="2"/>
  <c r="C1143" i="2"/>
  <c r="D1143" i="2"/>
  <c r="E1143" i="2"/>
  <c r="B1144" i="2"/>
  <c r="C1144" i="2"/>
  <c r="D1144" i="2"/>
  <c r="E1144" i="2"/>
  <c r="B1145" i="2"/>
  <c r="C1145" i="2"/>
  <c r="D1145" i="2"/>
  <c r="E1145" i="2"/>
  <c r="B1146" i="2"/>
  <c r="C1146" i="2"/>
  <c r="D1146" i="2"/>
  <c r="E1146" i="2"/>
  <c r="B1147" i="2"/>
  <c r="C1147" i="2"/>
  <c r="D1147" i="2"/>
  <c r="E1147" i="2"/>
  <c r="B1148" i="2"/>
  <c r="C1148" i="2"/>
  <c r="D1148" i="2"/>
  <c r="E1148" i="2"/>
  <c r="B1149" i="2"/>
  <c r="C1149" i="2"/>
  <c r="D1149" i="2"/>
  <c r="E1149" i="2"/>
  <c r="B1150" i="2"/>
  <c r="C1150" i="2"/>
  <c r="D1150" i="2"/>
  <c r="E1150" i="2"/>
  <c r="B1151" i="2"/>
  <c r="C1151" i="2"/>
  <c r="D1151" i="2"/>
  <c r="E1151" i="2"/>
  <c r="B1152" i="2"/>
  <c r="C1152" i="2"/>
  <c r="D1152" i="2"/>
  <c r="E1152" i="2"/>
  <c r="B1153" i="2"/>
  <c r="C1153" i="2"/>
  <c r="D1153" i="2"/>
  <c r="E1153" i="2"/>
  <c r="B1154" i="2"/>
  <c r="C1154" i="2"/>
  <c r="D1154" i="2"/>
  <c r="E1154" i="2"/>
  <c r="B1155" i="2"/>
  <c r="C1155" i="2"/>
  <c r="D1155" i="2"/>
  <c r="E1155" i="2"/>
  <c r="B1156" i="2"/>
  <c r="C1156" i="2"/>
  <c r="D1156" i="2"/>
  <c r="E1156" i="2"/>
  <c r="B1157" i="2"/>
  <c r="C1157" i="2"/>
  <c r="D1157" i="2"/>
  <c r="E1157" i="2"/>
  <c r="B1158" i="2"/>
  <c r="C1158" i="2"/>
  <c r="D1158" i="2"/>
  <c r="E1158" i="2"/>
  <c r="B1159" i="2"/>
  <c r="C1159" i="2"/>
  <c r="D1159" i="2"/>
  <c r="E1159" i="2"/>
  <c r="B1160" i="2"/>
  <c r="C1160" i="2"/>
  <c r="D1160" i="2"/>
  <c r="E1160" i="2"/>
  <c r="B1161" i="2"/>
  <c r="C1161" i="2"/>
  <c r="D1161" i="2"/>
  <c r="E1161" i="2"/>
  <c r="B1162" i="2"/>
  <c r="C1162" i="2"/>
  <c r="D1162" i="2"/>
  <c r="E1162" i="2"/>
  <c r="B1163" i="2"/>
  <c r="C1163" i="2"/>
  <c r="D1163" i="2"/>
  <c r="E1163" i="2"/>
  <c r="B1164" i="2"/>
  <c r="C1164" i="2"/>
  <c r="D1164" i="2"/>
  <c r="E1164" i="2"/>
  <c r="B1165" i="2"/>
  <c r="C1165" i="2"/>
  <c r="D1165" i="2"/>
  <c r="E1165" i="2"/>
  <c r="B1166" i="2"/>
  <c r="C1166" i="2"/>
  <c r="D1166" i="2"/>
  <c r="E1166" i="2"/>
  <c r="B1167" i="2"/>
  <c r="C1167" i="2"/>
  <c r="D1167" i="2"/>
  <c r="E1167" i="2"/>
  <c r="B1168" i="2"/>
  <c r="C1168" i="2"/>
  <c r="D1168" i="2"/>
  <c r="E1168" i="2"/>
  <c r="B1169" i="2"/>
  <c r="C1169" i="2"/>
  <c r="D1169" i="2"/>
  <c r="E1169" i="2"/>
  <c r="B1170" i="2"/>
  <c r="C1170" i="2"/>
  <c r="D1170" i="2"/>
  <c r="E1170" i="2"/>
  <c r="B1171" i="2"/>
  <c r="C1171" i="2"/>
  <c r="D1171" i="2"/>
  <c r="E1171" i="2"/>
  <c r="B1172" i="2"/>
  <c r="C1172" i="2"/>
  <c r="D1172" i="2"/>
  <c r="E1172" i="2"/>
  <c r="B1173" i="2"/>
  <c r="C1173" i="2"/>
  <c r="D1173" i="2"/>
  <c r="E1173" i="2"/>
  <c r="B1174" i="2"/>
  <c r="C1174" i="2"/>
  <c r="D1174" i="2"/>
  <c r="E1174" i="2"/>
  <c r="B1175" i="2"/>
  <c r="C1175" i="2"/>
  <c r="D1175" i="2"/>
  <c r="E1175" i="2"/>
  <c r="B1176" i="2"/>
  <c r="C1176" i="2"/>
  <c r="D1176" i="2"/>
  <c r="E1176" i="2"/>
  <c r="B1177" i="2"/>
  <c r="C1177" i="2"/>
  <c r="D1177" i="2"/>
  <c r="E1177" i="2"/>
  <c r="B1178" i="2"/>
  <c r="C1178" i="2"/>
  <c r="D1178" i="2"/>
  <c r="E1178" i="2"/>
  <c r="B1179" i="2"/>
  <c r="C1179" i="2"/>
  <c r="D1179" i="2"/>
  <c r="E1179" i="2"/>
  <c r="B1180" i="2"/>
  <c r="C1180" i="2"/>
  <c r="D1180" i="2"/>
  <c r="E1180" i="2"/>
  <c r="B1181" i="2"/>
  <c r="C1181" i="2"/>
  <c r="D1181" i="2"/>
  <c r="E1181" i="2"/>
  <c r="B1182" i="2"/>
  <c r="C1182" i="2"/>
  <c r="D1182" i="2"/>
  <c r="E1182" i="2"/>
  <c r="B1183" i="2"/>
  <c r="C1183" i="2"/>
  <c r="D1183" i="2"/>
  <c r="E1183" i="2"/>
  <c r="B1184" i="2"/>
  <c r="C1184" i="2"/>
  <c r="D1184" i="2"/>
  <c r="E1184" i="2"/>
  <c r="B1185" i="2"/>
  <c r="C1185" i="2"/>
  <c r="D1185" i="2"/>
  <c r="E1185" i="2"/>
  <c r="B1186" i="2"/>
  <c r="C1186" i="2"/>
  <c r="D1186" i="2"/>
  <c r="E1186" i="2"/>
  <c r="B1187" i="2"/>
  <c r="C1187" i="2"/>
  <c r="D1187" i="2"/>
  <c r="E1187" i="2"/>
  <c r="B1188" i="2"/>
  <c r="C1188" i="2"/>
  <c r="D1188" i="2"/>
  <c r="E1188" i="2"/>
  <c r="B1189" i="2"/>
  <c r="C1189" i="2"/>
  <c r="D1189" i="2"/>
  <c r="E1189" i="2"/>
  <c r="B1190" i="2"/>
  <c r="C1190" i="2"/>
  <c r="D1190" i="2"/>
  <c r="E1190" i="2"/>
  <c r="B1191" i="2"/>
  <c r="C1191" i="2"/>
  <c r="D1191" i="2"/>
  <c r="E1191" i="2"/>
  <c r="B1192" i="2"/>
  <c r="C1192" i="2"/>
  <c r="D1192" i="2"/>
  <c r="E1192" i="2"/>
  <c r="B1193" i="2"/>
  <c r="C1193" i="2"/>
  <c r="D1193" i="2"/>
  <c r="E1193" i="2"/>
  <c r="B1194" i="2"/>
  <c r="C1194" i="2"/>
  <c r="D1194" i="2"/>
  <c r="E1194" i="2"/>
  <c r="B1195" i="2"/>
  <c r="C1195" i="2"/>
  <c r="D1195" i="2"/>
  <c r="E1195" i="2"/>
  <c r="B1196" i="2"/>
  <c r="C1196" i="2"/>
  <c r="D1196" i="2"/>
  <c r="E1196" i="2"/>
  <c r="B1197" i="2"/>
  <c r="C1197" i="2"/>
  <c r="D1197" i="2"/>
  <c r="E1197" i="2"/>
  <c r="B1198" i="2"/>
  <c r="C1198" i="2"/>
  <c r="D1198" i="2"/>
  <c r="E1198" i="2"/>
  <c r="B1199" i="2"/>
  <c r="C1199" i="2"/>
  <c r="D1199" i="2"/>
  <c r="E1199" i="2"/>
  <c r="B1200" i="2"/>
  <c r="C1200" i="2"/>
  <c r="D1200" i="2"/>
  <c r="E1200" i="2"/>
  <c r="B1201" i="2"/>
  <c r="C1201" i="2"/>
  <c r="D1201" i="2"/>
  <c r="E1201" i="2"/>
  <c r="B1202" i="2"/>
  <c r="C1202" i="2"/>
  <c r="D1202" i="2"/>
  <c r="E1202" i="2"/>
  <c r="B1203" i="2"/>
  <c r="C1203" i="2"/>
  <c r="D1203" i="2"/>
  <c r="E1203" i="2"/>
  <c r="B1204" i="2"/>
  <c r="C1204" i="2"/>
  <c r="D1204" i="2"/>
  <c r="E1204" i="2"/>
  <c r="B1205" i="2"/>
  <c r="C1205" i="2"/>
  <c r="D1205" i="2"/>
  <c r="E1205" i="2"/>
  <c r="B1206" i="2"/>
  <c r="C1206" i="2"/>
  <c r="D1206" i="2"/>
  <c r="E1206" i="2"/>
  <c r="B1207" i="2"/>
  <c r="C1207" i="2"/>
  <c r="D1207" i="2"/>
  <c r="E1207" i="2"/>
  <c r="B1208" i="2"/>
  <c r="C1208" i="2"/>
  <c r="D1208" i="2"/>
  <c r="E1208" i="2"/>
  <c r="B1209" i="2"/>
  <c r="C1209" i="2"/>
  <c r="D1209" i="2"/>
  <c r="E1209" i="2"/>
  <c r="B1210" i="2"/>
  <c r="C1210" i="2"/>
  <c r="D1210" i="2"/>
  <c r="E1210" i="2"/>
  <c r="B1211" i="2"/>
  <c r="C1211" i="2"/>
  <c r="D1211" i="2"/>
  <c r="E1211" i="2"/>
  <c r="B1212" i="2"/>
  <c r="C1212" i="2"/>
  <c r="D1212" i="2"/>
  <c r="E1212" i="2"/>
  <c r="B1213" i="2"/>
  <c r="C1213" i="2"/>
  <c r="D1213" i="2"/>
  <c r="E1213" i="2"/>
  <c r="B1214" i="2"/>
  <c r="C1214" i="2"/>
  <c r="D1214" i="2"/>
  <c r="E1214" i="2"/>
  <c r="B1215" i="2"/>
  <c r="C1215" i="2"/>
  <c r="D1215" i="2"/>
  <c r="E1215" i="2"/>
  <c r="B1216" i="2"/>
  <c r="C1216" i="2"/>
  <c r="D1216" i="2"/>
  <c r="E1216" i="2"/>
  <c r="B1217" i="2"/>
  <c r="C1217" i="2"/>
  <c r="D1217" i="2"/>
  <c r="E1217" i="2"/>
  <c r="B1218" i="2"/>
  <c r="C1218" i="2"/>
  <c r="D1218" i="2"/>
  <c r="E1218" i="2"/>
  <c r="B1219" i="2"/>
  <c r="C1219" i="2"/>
  <c r="D1219" i="2"/>
  <c r="E1219" i="2"/>
  <c r="B1220" i="2"/>
  <c r="C1220" i="2"/>
  <c r="D1220" i="2"/>
  <c r="E1220" i="2"/>
  <c r="B1221" i="2"/>
  <c r="C1221" i="2"/>
  <c r="D1221" i="2"/>
  <c r="E1221" i="2"/>
  <c r="B1222" i="2"/>
  <c r="C1222" i="2"/>
  <c r="D1222" i="2"/>
  <c r="E1222" i="2"/>
  <c r="B1223" i="2"/>
  <c r="C1223" i="2"/>
  <c r="D1223" i="2"/>
  <c r="E1223" i="2"/>
  <c r="B1224" i="2"/>
  <c r="C1224" i="2"/>
  <c r="D1224" i="2"/>
  <c r="E1224" i="2"/>
  <c r="B1225" i="2"/>
  <c r="C1225" i="2"/>
  <c r="D1225" i="2"/>
  <c r="E1225" i="2"/>
  <c r="B1226" i="2"/>
  <c r="C1226" i="2"/>
  <c r="D1226" i="2"/>
  <c r="E1226" i="2"/>
  <c r="B1227" i="2"/>
  <c r="C1227" i="2"/>
  <c r="D1227" i="2"/>
  <c r="E1227" i="2"/>
  <c r="B1228" i="2"/>
  <c r="C1228" i="2"/>
  <c r="D1228" i="2"/>
  <c r="E1228" i="2"/>
  <c r="B1229" i="2"/>
  <c r="C1229" i="2"/>
  <c r="D1229" i="2"/>
  <c r="E1229" i="2"/>
  <c r="B1230" i="2"/>
  <c r="C1230" i="2"/>
  <c r="D1230" i="2"/>
  <c r="E1230" i="2"/>
  <c r="B1231" i="2"/>
  <c r="C1231" i="2"/>
  <c r="D1231" i="2"/>
  <c r="E1231" i="2"/>
  <c r="B1232" i="2"/>
  <c r="C1232" i="2"/>
  <c r="D1232" i="2"/>
  <c r="E1232" i="2"/>
  <c r="B1233" i="2"/>
  <c r="C1233" i="2"/>
  <c r="D1233" i="2"/>
  <c r="E1233" i="2"/>
  <c r="B1234" i="2"/>
  <c r="C1234" i="2"/>
  <c r="D1234" i="2"/>
  <c r="E1234" i="2"/>
  <c r="B1235" i="2"/>
  <c r="C1235" i="2"/>
  <c r="D1235" i="2"/>
  <c r="E1235" i="2"/>
  <c r="B1236" i="2"/>
  <c r="C1236" i="2"/>
  <c r="D1236" i="2"/>
  <c r="E1236" i="2"/>
  <c r="B1237" i="2"/>
  <c r="C1237" i="2"/>
  <c r="D1237" i="2"/>
  <c r="E1237" i="2"/>
  <c r="B1238" i="2"/>
  <c r="C1238" i="2"/>
  <c r="D1238" i="2"/>
  <c r="E1238" i="2"/>
  <c r="B1239" i="2"/>
  <c r="C1239" i="2"/>
  <c r="D1239" i="2"/>
  <c r="E1239" i="2"/>
  <c r="B1240" i="2"/>
  <c r="C1240" i="2"/>
  <c r="D1240" i="2"/>
  <c r="E1240" i="2"/>
  <c r="B1241" i="2"/>
  <c r="C1241" i="2"/>
  <c r="D1241" i="2"/>
  <c r="E1241" i="2"/>
  <c r="B1242" i="2"/>
  <c r="C1242" i="2"/>
  <c r="D1242" i="2"/>
  <c r="E1242" i="2"/>
  <c r="B1243" i="2"/>
  <c r="C1243" i="2"/>
  <c r="D1243" i="2"/>
  <c r="E1243" i="2"/>
  <c r="B1244" i="2"/>
  <c r="C1244" i="2"/>
  <c r="D1244" i="2"/>
  <c r="E1244" i="2"/>
  <c r="B1245" i="2"/>
  <c r="C1245" i="2"/>
  <c r="D1245" i="2"/>
  <c r="E1245" i="2"/>
  <c r="B1246" i="2"/>
  <c r="C1246" i="2"/>
  <c r="D1246" i="2"/>
  <c r="E1246" i="2"/>
  <c r="B1247" i="2"/>
  <c r="C1247" i="2"/>
  <c r="D1247" i="2"/>
  <c r="E1247" i="2"/>
  <c r="B1248" i="2"/>
  <c r="C1248" i="2"/>
  <c r="D1248" i="2"/>
  <c r="E1248" i="2"/>
  <c r="B1249" i="2"/>
  <c r="C1249" i="2"/>
  <c r="D1249" i="2"/>
  <c r="E1249" i="2"/>
  <c r="B1250" i="2"/>
  <c r="C1250" i="2"/>
  <c r="D1250" i="2"/>
  <c r="E1250" i="2"/>
  <c r="B1251" i="2"/>
  <c r="C1251" i="2"/>
  <c r="D1251" i="2"/>
  <c r="E1251" i="2"/>
  <c r="B1252" i="2"/>
  <c r="C1252" i="2"/>
  <c r="D1252" i="2"/>
  <c r="E1252" i="2"/>
  <c r="B1253" i="2"/>
  <c r="C1253" i="2"/>
  <c r="D1253" i="2"/>
  <c r="E1253" i="2"/>
  <c r="B1254" i="2"/>
  <c r="C1254" i="2"/>
  <c r="D1254" i="2"/>
  <c r="E1254" i="2"/>
  <c r="B1255" i="2"/>
  <c r="C1255" i="2"/>
  <c r="D1255" i="2"/>
  <c r="E1255" i="2"/>
  <c r="B1256" i="2"/>
  <c r="C1256" i="2"/>
  <c r="D1256" i="2"/>
  <c r="E1256" i="2"/>
  <c r="B1257" i="2"/>
  <c r="C1257" i="2"/>
  <c r="D1257" i="2"/>
  <c r="E1257" i="2"/>
  <c r="B1258" i="2"/>
  <c r="C1258" i="2"/>
  <c r="D1258" i="2"/>
  <c r="E1258" i="2"/>
  <c r="B1259" i="2"/>
  <c r="C1259" i="2"/>
  <c r="D1259" i="2"/>
  <c r="E1259" i="2"/>
  <c r="B1260" i="2"/>
  <c r="C1260" i="2"/>
  <c r="D1260" i="2"/>
  <c r="E1260" i="2"/>
  <c r="B1261" i="2"/>
  <c r="C1261" i="2"/>
  <c r="D1261" i="2"/>
  <c r="E1261" i="2"/>
  <c r="B1262" i="2"/>
  <c r="C1262" i="2"/>
  <c r="D1262" i="2"/>
  <c r="E1262" i="2"/>
  <c r="B1263" i="2"/>
  <c r="C1263" i="2"/>
  <c r="D1263" i="2"/>
  <c r="E1263" i="2"/>
  <c r="B1264" i="2"/>
  <c r="C1264" i="2"/>
  <c r="D1264" i="2"/>
  <c r="E1264" i="2"/>
  <c r="B1265" i="2"/>
  <c r="C1265" i="2"/>
  <c r="D1265" i="2"/>
  <c r="E1265" i="2"/>
  <c r="B1266" i="2"/>
  <c r="C1266" i="2"/>
  <c r="D1266" i="2"/>
  <c r="E1266" i="2"/>
  <c r="B1267" i="2"/>
  <c r="C1267" i="2"/>
  <c r="D1267" i="2"/>
  <c r="E1267" i="2"/>
  <c r="B1268" i="2"/>
  <c r="C1268" i="2"/>
  <c r="D1268" i="2"/>
  <c r="E1268" i="2"/>
  <c r="B1269" i="2"/>
  <c r="C1269" i="2"/>
  <c r="D1269" i="2"/>
  <c r="E1269" i="2"/>
  <c r="B1270" i="2"/>
  <c r="C1270" i="2"/>
  <c r="D1270" i="2"/>
  <c r="E1270" i="2"/>
  <c r="B1271" i="2"/>
  <c r="C1271" i="2"/>
  <c r="D1271" i="2"/>
  <c r="E1271" i="2"/>
  <c r="B1272" i="2"/>
  <c r="C1272" i="2"/>
  <c r="D1272" i="2"/>
  <c r="E1272" i="2"/>
  <c r="B1273" i="2"/>
  <c r="C1273" i="2"/>
  <c r="D1273" i="2"/>
  <c r="E1273" i="2"/>
  <c r="B1274" i="2"/>
  <c r="C1274" i="2"/>
  <c r="D1274" i="2"/>
  <c r="E1274" i="2"/>
  <c r="B1275" i="2"/>
  <c r="C1275" i="2"/>
  <c r="D1275" i="2"/>
  <c r="E1275" i="2"/>
  <c r="B1276" i="2"/>
  <c r="C1276" i="2"/>
  <c r="D1276" i="2"/>
  <c r="E1276" i="2"/>
  <c r="B1277" i="2"/>
  <c r="C1277" i="2"/>
  <c r="D1277" i="2"/>
  <c r="E1277" i="2"/>
  <c r="B1278" i="2"/>
  <c r="C1278" i="2"/>
  <c r="D1278" i="2"/>
  <c r="E1278" i="2"/>
  <c r="B1279" i="2"/>
  <c r="C1279" i="2"/>
  <c r="D1279" i="2"/>
  <c r="E1279" i="2"/>
  <c r="B1280" i="2"/>
  <c r="C1280" i="2"/>
  <c r="D1280" i="2"/>
  <c r="E1280" i="2"/>
  <c r="B1281" i="2"/>
  <c r="C1281" i="2"/>
  <c r="D1281" i="2"/>
  <c r="E1281" i="2"/>
  <c r="B1282" i="2"/>
  <c r="C1282" i="2"/>
  <c r="D1282" i="2"/>
  <c r="E1282" i="2"/>
  <c r="B1283" i="2"/>
  <c r="C1283" i="2"/>
  <c r="D1283" i="2"/>
  <c r="E1283" i="2"/>
  <c r="B1284" i="2"/>
  <c r="C1284" i="2"/>
  <c r="D1284" i="2"/>
  <c r="E1284" i="2"/>
  <c r="B1285" i="2"/>
  <c r="C1285" i="2"/>
  <c r="D1285" i="2"/>
  <c r="E1285" i="2"/>
  <c r="B1286" i="2"/>
  <c r="C1286" i="2"/>
  <c r="D1286" i="2"/>
  <c r="E1286" i="2"/>
  <c r="B1287" i="2"/>
  <c r="C1287" i="2"/>
  <c r="D1287" i="2"/>
  <c r="E1287" i="2"/>
  <c r="B1288" i="2"/>
  <c r="C1288" i="2"/>
  <c r="D1288" i="2"/>
  <c r="E1288" i="2"/>
  <c r="B1289" i="2"/>
  <c r="C1289" i="2"/>
  <c r="D1289" i="2"/>
  <c r="E1289" i="2"/>
  <c r="B1290" i="2"/>
  <c r="C1290" i="2"/>
  <c r="D1290" i="2"/>
  <c r="E1290" i="2"/>
  <c r="B1291" i="2"/>
  <c r="C1291" i="2"/>
  <c r="D1291" i="2"/>
  <c r="E1291" i="2"/>
  <c r="B1292" i="2"/>
  <c r="C1292" i="2"/>
  <c r="D1292" i="2"/>
  <c r="E1292" i="2"/>
  <c r="B1293" i="2"/>
  <c r="C1293" i="2"/>
  <c r="D1293" i="2"/>
  <c r="E1293" i="2"/>
  <c r="B1294" i="2"/>
  <c r="C1294" i="2"/>
  <c r="D1294" i="2"/>
  <c r="E1294" i="2"/>
  <c r="B1295" i="2"/>
  <c r="C1295" i="2"/>
  <c r="D1295" i="2"/>
  <c r="E1295" i="2"/>
  <c r="B1296" i="2"/>
  <c r="C1296" i="2"/>
  <c r="D1296" i="2"/>
  <c r="E1296" i="2"/>
  <c r="B1297" i="2"/>
  <c r="C1297" i="2"/>
  <c r="D1297" i="2"/>
  <c r="E1297" i="2"/>
  <c r="B1298" i="2"/>
  <c r="C1298" i="2"/>
  <c r="D1298" i="2"/>
  <c r="E1298" i="2"/>
  <c r="B1299" i="2"/>
  <c r="C1299" i="2"/>
  <c r="D1299" i="2"/>
  <c r="E1299" i="2"/>
  <c r="B1300" i="2"/>
  <c r="C1300" i="2"/>
  <c r="D1300" i="2"/>
  <c r="E1300" i="2"/>
  <c r="B1301" i="2"/>
  <c r="C1301" i="2"/>
  <c r="D1301" i="2"/>
  <c r="E1301" i="2"/>
  <c r="B1302" i="2"/>
  <c r="C1302" i="2"/>
  <c r="D1302" i="2"/>
  <c r="E1302" i="2"/>
  <c r="B1303" i="2"/>
  <c r="C1303" i="2"/>
  <c r="D1303" i="2"/>
  <c r="E1303" i="2"/>
  <c r="B1304" i="2"/>
  <c r="C1304" i="2"/>
  <c r="D1304" i="2"/>
  <c r="E1304" i="2"/>
  <c r="B1305" i="2"/>
  <c r="C1305" i="2"/>
  <c r="D1305" i="2"/>
  <c r="E1305" i="2"/>
  <c r="B1306" i="2"/>
  <c r="C1306" i="2"/>
  <c r="D1306" i="2"/>
  <c r="E1306" i="2"/>
  <c r="B1307" i="2"/>
  <c r="C1307" i="2"/>
  <c r="D1307" i="2"/>
  <c r="E1307" i="2"/>
  <c r="B1308" i="2"/>
  <c r="C1308" i="2"/>
  <c r="D1308" i="2"/>
  <c r="E1308" i="2"/>
  <c r="B1309" i="2"/>
  <c r="C1309" i="2"/>
  <c r="D1309" i="2"/>
  <c r="E1309" i="2"/>
  <c r="B1310" i="2"/>
  <c r="C1310" i="2"/>
  <c r="D1310" i="2"/>
  <c r="E1310" i="2"/>
  <c r="B1311" i="2"/>
  <c r="C1311" i="2"/>
  <c r="D1311" i="2"/>
  <c r="E1311" i="2"/>
  <c r="B1312" i="2"/>
  <c r="C1312" i="2"/>
  <c r="D1312" i="2"/>
  <c r="E1312" i="2"/>
  <c r="B1313" i="2"/>
  <c r="C1313" i="2"/>
  <c r="D1313" i="2"/>
  <c r="E1313" i="2"/>
  <c r="B1314" i="2"/>
  <c r="C1314" i="2"/>
  <c r="D1314" i="2"/>
  <c r="E1314" i="2"/>
  <c r="B1315" i="2"/>
  <c r="C1315" i="2"/>
  <c r="D1315" i="2"/>
  <c r="E1315" i="2"/>
  <c r="B1316" i="2"/>
  <c r="C1316" i="2"/>
  <c r="D1316" i="2"/>
  <c r="E1316" i="2"/>
  <c r="B1317" i="2"/>
  <c r="C1317" i="2"/>
  <c r="D1317" i="2"/>
  <c r="E1317" i="2"/>
  <c r="B1318" i="2"/>
  <c r="C1318" i="2"/>
  <c r="D1318" i="2"/>
  <c r="E1318" i="2"/>
  <c r="B1319" i="2"/>
  <c r="C1319" i="2"/>
  <c r="D1319" i="2"/>
  <c r="E1319" i="2"/>
  <c r="B1320" i="2"/>
  <c r="C1320" i="2"/>
  <c r="D1320" i="2"/>
  <c r="E1320" i="2"/>
  <c r="B1321" i="2"/>
  <c r="C1321" i="2"/>
  <c r="D1321" i="2"/>
  <c r="E1321" i="2"/>
  <c r="B1322" i="2"/>
  <c r="C1322" i="2"/>
  <c r="D1322" i="2"/>
  <c r="E1322" i="2"/>
  <c r="B1323" i="2"/>
  <c r="C1323" i="2"/>
  <c r="D1323" i="2"/>
  <c r="E1323" i="2"/>
  <c r="B1324" i="2"/>
  <c r="C1324" i="2"/>
  <c r="D1324" i="2"/>
  <c r="E1324" i="2"/>
  <c r="B1325" i="2"/>
  <c r="C1325" i="2"/>
  <c r="D1325" i="2"/>
  <c r="E1325" i="2"/>
  <c r="B1326" i="2"/>
  <c r="C1326" i="2"/>
  <c r="D1326" i="2"/>
  <c r="E1326" i="2"/>
  <c r="B1327" i="2"/>
  <c r="C1327" i="2"/>
  <c r="D1327" i="2"/>
  <c r="E1327" i="2"/>
  <c r="B1328" i="2"/>
  <c r="C1328" i="2"/>
  <c r="D1328" i="2"/>
  <c r="E1328" i="2"/>
  <c r="B1329" i="2"/>
  <c r="C1329" i="2"/>
  <c r="D1329" i="2"/>
  <c r="E1329" i="2"/>
  <c r="B1330" i="2"/>
  <c r="C1330" i="2"/>
  <c r="D1330" i="2"/>
  <c r="E1330" i="2"/>
  <c r="B1331" i="2"/>
  <c r="C1331" i="2"/>
  <c r="D1331" i="2"/>
  <c r="E1331" i="2"/>
  <c r="B1332" i="2"/>
  <c r="C1332" i="2"/>
  <c r="D1332" i="2"/>
  <c r="E1332" i="2"/>
  <c r="B1333" i="2"/>
  <c r="C1333" i="2"/>
  <c r="D1333" i="2"/>
  <c r="E1333" i="2"/>
  <c r="B1334" i="2"/>
  <c r="C1334" i="2"/>
  <c r="D1334" i="2"/>
  <c r="E1334" i="2"/>
  <c r="B1335" i="2"/>
  <c r="C1335" i="2"/>
  <c r="D1335" i="2"/>
  <c r="E1335" i="2"/>
  <c r="B1336" i="2"/>
  <c r="C1336" i="2"/>
  <c r="D1336" i="2"/>
  <c r="E1336" i="2"/>
  <c r="B1337" i="2"/>
  <c r="C1337" i="2"/>
  <c r="D1337" i="2"/>
  <c r="E1337" i="2"/>
  <c r="B1338" i="2"/>
  <c r="C1338" i="2"/>
  <c r="D1338" i="2"/>
  <c r="E1338" i="2"/>
  <c r="B1339" i="2"/>
  <c r="C1339" i="2"/>
  <c r="D1339" i="2"/>
  <c r="E1339" i="2"/>
  <c r="B1340" i="2"/>
  <c r="C1340" i="2"/>
  <c r="D1340" i="2"/>
  <c r="E1340" i="2"/>
  <c r="B1341" i="2"/>
  <c r="C1341" i="2"/>
  <c r="D1341" i="2"/>
  <c r="E1341" i="2"/>
  <c r="B1342" i="2"/>
  <c r="C1342" i="2"/>
  <c r="D1342" i="2"/>
  <c r="E1342" i="2"/>
  <c r="B1343" i="2"/>
  <c r="C1343" i="2"/>
  <c r="D1343" i="2"/>
  <c r="E1343" i="2"/>
  <c r="B1344" i="2"/>
  <c r="C1344" i="2"/>
  <c r="D1344" i="2"/>
  <c r="E1344" i="2"/>
  <c r="B1345" i="2"/>
  <c r="C1345" i="2"/>
  <c r="D1345" i="2"/>
  <c r="E1345" i="2"/>
  <c r="B1346" i="2"/>
  <c r="C1346" i="2"/>
  <c r="D1346" i="2"/>
  <c r="E1346" i="2"/>
  <c r="B1347" i="2"/>
  <c r="C1347" i="2"/>
  <c r="D1347" i="2"/>
  <c r="E1347" i="2"/>
  <c r="B1348" i="2"/>
  <c r="C1348" i="2"/>
  <c r="D1348" i="2"/>
  <c r="E1348" i="2"/>
  <c r="B1349" i="2"/>
  <c r="C1349" i="2"/>
  <c r="D1349" i="2"/>
  <c r="E1349" i="2"/>
  <c r="B1350" i="2"/>
  <c r="C1350" i="2"/>
  <c r="D1350" i="2"/>
  <c r="E1350" i="2"/>
  <c r="B1351" i="2"/>
  <c r="C1351" i="2"/>
  <c r="D1351" i="2"/>
  <c r="E1351" i="2"/>
  <c r="B1352" i="2"/>
  <c r="C1352" i="2"/>
  <c r="D1352" i="2"/>
  <c r="E1352" i="2"/>
  <c r="B1353" i="2"/>
  <c r="C1353" i="2"/>
  <c r="D1353" i="2"/>
  <c r="E1353" i="2"/>
  <c r="B1354" i="2"/>
  <c r="C1354" i="2"/>
  <c r="D1354" i="2"/>
  <c r="E1354" i="2"/>
  <c r="B1355" i="2"/>
  <c r="C1355" i="2"/>
  <c r="D1355" i="2"/>
  <c r="E1355" i="2"/>
  <c r="B1356" i="2"/>
  <c r="C1356" i="2"/>
  <c r="D1356" i="2"/>
  <c r="E1356" i="2"/>
  <c r="B1357" i="2"/>
  <c r="C1357" i="2"/>
  <c r="D1357" i="2"/>
  <c r="E1357" i="2"/>
  <c r="B1358" i="2"/>
  <c r="C1358" i="2"/>
  <c r="D1358" i="2"/>
  <c r="E1358" i="2"/>
  <c r="B1359" i="2"/>
  <c r="C1359" i="2"/>
  <c r="D1359" i="2"/>
  <c r="E1359" i="2"/>
  <c r="B1360" i="2"/>
  <c r="C1360" i="2"/>
  <c r="D1360" i="2"/>
  <c r="E1360" i="2"/>
  <c r="B1361" i="2"/>
  <c r="C1361" i="2"/>
  <c r="D1361" i="2"/>
  <c r="E1361" i="2"/>
  <c r="B1362" i="2"/>
  <c r="C1362" i="2"/>
  <c r="D1362" i="2"/>
  <c r="E1362" i="2"/>
  <c r="B1363" i="2"/>
  <c r="C1363" i="2"/>
  <c r="D1363" i="2"/>
  <c r="E1363" i="2"/>
  <c r="B1364" i="2"/>
  <c r="C1364" i="2"/>
  <c r="D1364" i="2"/>
  <c r="E1364" i="2"/>
  <c r="B1365" i="2"/>
  <c r="C1365" i="2"/>
  <c r="D1365" i="2"/>
  <c r="E1365" i="2"/>
  <c r="B1366" i="2"/>
  <c r="C1366" i="2"/>
  <c r="D1366" i="2"/>
  <c r="E1366" i="2"/>
  <c r="B1367" i="2"/>
  <c r="C1367" i="2"/>
  <c r="D1367" i="2"/>
  <c r="E1367" i="2"/>
  <c r="B1368" i="2"/>
  <c r="C1368" i="2"/>
  <c r="D1368" i="2"/>
  <c r="E1368" i="2"/>
  <c r="B1369" i="2"/>
  <c r="C1369" i="2"/>
  <c r="D1369" i="2"/>
  <c r="E1369" i="2"/>
  <c r="B1370" i="2"/>
  <c r="C1370" i="2"/>
  <c r="D1370" i="2"/>
  <c r="E1370" i="2"/>
  <c r="B1371" i="2"/>
  <c r="C1371" i="2"/>
  <c r="D1371" i="2"/>
  <c r="E1371" i="2"/>
  <c r="B1372" i="2"/>
  <c r="C1372" i="2"/>
  <c r="D1372" i="2"/>
  <c r="E1372" i="2"/>
  <c r="B1373" i="2"/>
  <c r="C1373" i="2"/>
  <c r="D1373" i="2"/>
  <c r="E1373" i="2"/>
  <c r="B1374" i="2"/>
  <c r="C1374" i="2"/>
  <c r="D1374" i="2"/>
  <c r="E1374" i="2"/>
  <c r="B1375" i="2"/>
  <c r="C1375" i="2"/>
  <c r="D1375" i="2"/>
  <c r="E1375" i="2"/>
  <c r="B1376" i="2"/>
  <c r="C1376" i="2"/>
  <c r="D1376" i="2"/>
  <c r="E1376" i="2"/>
  <c r="B1377" i="2"/>
  <c r="C1377" i="2"/>
  <c r="D1377" i="2"/>
  <c r="E1377" i="2"/>
  <c r="B1378" i="2"/>
  <c r="C1378" i="2"/>
  <c r="D1378" i="2"/>
  <c r="E1378" i="2"/>
  <c r="B1379" i="2"/>
  <c r="C1379" i="2"/>
  <c r="D1379" i="2"/>
  <c r="E1379" i="2"/>
  <c r="B1380" i="2"/>
  <c r="C1380" i="2"/>
  <c r="D1380" i="2"/>
  <c r="E1380" i="2"/>
  <c r="B1381" i="2"/>
  <c r="C1381" i="2"/>
  <c r="D1381" i="2"/>
  <c r="E1381" i="2"/>
  <c r="B1382" i="2"/>
  <c r="C1382" i="2"/>
  <c r="D1382" i="2"/>
  <c r="E1382" i="2"/>
  <c r="B1383" i="2"/>
  <c r="C1383" i="2"/>
  <c r="D1383" i="2"/>
  <c r="E1383" i="2"/>
  <c r="B1384" i="2"/>
  <c r="C1384" i="2"/>
  <c r="D1384" i="2"/>
  <c r="E1384" i="2"/>
  <c r="B1385" i="2"/>
  <c r="C1385" i="2"/>
  <c r="D1385" i="2"/>
  <c r="E1385" i="2"/>
  <c r="B1386" i="2"/>
  <c r="C1386" i="2"/>
  <c r="D1386" i="2"/>
  <c r="E1386" i="2"/>
  <c r="B1387" i="2"/>
  <c r="C1387" i="2"/>
  <c r="D1387" i="2"/>
  <c r="E1387" i="2"/>
  <c r="B1388" i="2"/>
  <c r="C1388" i="2"/>
  <c r="D1388" i="2"/>
  <c r="E1388" i="2"/>
  <c r="B1389" i="2"/>
  <c r="C1389" i="2"/>
  <c r="D1389" i="2"/>
  <c r="E1389" i="2"/>
  <c r="B1390" i="2"/>
  <c r="C1390" i="2"/>
  <c r="D1390" i="2"/>
  <c r="E1390" i="2"/>
  <c r="B1391" i="2"/>
  <c r="C1391" i="2"/>
  <c r="D1391" i="2"/>
  <c r="E1391" i="2"/>
  <c r="B1392" i="2"/>
  <c r="C1392" i="2"/>
  <c r="D1392" i="2"/>
  <c r="E1392" i="2"/>
  <c r="B1393" i="2"/>
  <c r="C1393" i="2"/>
  <c r="D1393" i="2"/>
  <c r="E1393" i="2"/>
  <c r="B1394" i="2"/>
  <c r="C1394" i="2"/>
  <c r="D1394" i="2"/>
  <c r="E1394" i="2"/>
  <c r="B1395" i="2"/>
  <c r="C1395" i="2"/>
  <c r="D1395" i="2"/>
  <c r="E1395" i="2"/>
  <c r="B1396" i="2"/>
  <c r="C1396" i="2"/>
  <c r="D1396" i="2"/>
  <c r="E1396" i="2"/>
  <c r="B1397" i="2"/>
  <c r="C1397" i="2"/>
  <c r="D1397" i="2"/>
  <c r="E1397" i="2"/>
  <c r="B1398" i="2"/>
  <c r="C1398" i="2"/>
  <c r="D1398" i="2"/>
  <c r="E1398" i="2"/>
  <c r="B1399" i="2"/>
  <c r="C1399" i="2"/>
  <c r="D1399" i="2"/>
  <c r="E1399" i="2"/>
  <c r="B1400" i="2"/>
  <c r="C1400" i="2"/>
  <c r="D1400" i="2"/>
  <c r="E1400" i="2"/>
  <c r="B1401" i="2"/>
  <c r="C1401" i="2"/>
  <c r="D1401" i="2"/>
  <c r="E1401" i="2"/>
  <c r="B1402" i="2"/>
  <c r="C1402" i="2"/>
  <c r="D1402" i="2"/>
  <c r="E1402" i="2"/>
  <c r="B1403" i="2"/>
  <c r="C1403" i="2"/>
  <c r="D1403" i="2"/>
  <c r="E1403" i="2"/>
  <c r="B1404" i="2"/>
  <c r="C1404" i="2"/>
  <c r="D1404" i="2"/>
  <c r="E1404" i="2"/>
  <c r="B1405" i="2"/>
  <c r="C1405" i="2"/>
  <c r="D1405" i="2"/>
  <c r="E1405" i="2"/>
  <c r="B1406" i="2"/>
  <c r="C1406" i="2"/>
  <c r="D1406" i="2"/>
  <c r="E1406" i="2"/>
  <c r="B1407" i="2"/>
  <c r="C1407" i="2"/>
  <c r="D1407" i="2"/>
  <c r="E1407" i="2"/>
  <c r="B1408" i="2"/>
  <c r="C1408" i="2"/>
  <c r="D1408" i="2"/>
  <c r="E1408" i="2"/>
  <c r="B1409" i="2"/>
  <c r="C1409" i="2"/>
  <c r="D1409" i="2"/>
  <c r="E1409" i="2"/>
  <c r="B1410" i="2"/>
  <c r="C1410" i="2"/>
  <c r="D1410" i="2"/>
  <c r="E1410" i="2"/>
  <c r="B1411" i="2"/>
  <c r="C1411" i="2"/>
  <c r="D1411" i="2"/>
  <c r="E1411" i="2"/>
  <c r="B1412" i="2"/>
  <c r="C1412" i="2"/>
  <c r="D1412" i="2"/>
  <c r="E1412" i="2"/>
  <c r="B1413" i="2"/>
  <c r="C1413" i="2"/>
  <c r="D1413" i="2"/>
  <c r="E1413" i="2"/>
  <c r="B1414" i="2"/>
  <c r="C1414" i="2"/>
  <c r="D1414" i="2"/>
  <c r="E1414" i="2"/>
  <c r="B1415" i="2"/>
  <c r="C1415" i="2"/>
  <c r="D1415" i="2"/>
  <c r="E1415" i="2"/>
  <c r="B1416" i="2"/>
  <c r="C1416" i="2"/>
  <c r="D1416" i="2"/>
  <c r="E1416" i="2"/>
  <c r="B1417" i="2"/>
  <c r="C1417" i="2"/>
  <c r="D1417" i="2"/>
  <c r="E1417" i="2"/>
  <c r="B1418" i="2"/>
  <c r="C1418" i="2"/>
  <c r="D1418" i="2"/>
  <c r="E1418" i="2"/>
  <c r="B1419" i="2"/>
  <c r="C1419" i="2"/>
  <c r="D1419" i="2"/>
  <c r="E1419" i="2"/>
  <c r="B1420" i="2"/>
  <c r="C1420" i="2"/>
  <c r="D1420" i="2"/>
  <c r="E1420" i="2"/>
  <c r="B1421" i="2"/>
  <c r="C1421" i="2"/>
  <c r="D1421" i="2"/>
  <c r="E1421" i="2"/>
  <c r="B1422" i="2"/>
  <c r="C1422" i="2"/>
  <c r="D1422" i="2"/>
  <c r="E1422" i="2"/>
  <c r="B1423" i="2"/>
  <c r="C1423" i="2"/>
  <c r="D1423" i="2"/>
  <c r="E1423" i="2"/>
  <c r="B1424" i="2"/>
  <c r="C1424" i="2"/>
  <c r="D1424" i="2"/>
  <c r="E1424" i="2"/>
  <c r="B1425" i="2"/>
  <c r="C1425" i="2"/>
  <c r="D1425" i="2"/>
  <c r="E1425" i="2"/>
  <c r="B1426" i="2"/>
  <c r="C1426" i="2"/>
  <c r="D1426" i="2"/>
  <c r="E1426" i="2"/>
  <c r="B1427" i="2"/>
  <c r="C1427" i="2"/>
  <c r="D1427" i="2"/>
  <c r="E1427" i="2"/>
  <c r="B1428" i="2"/>
  <c r="C1428" i="2"/>
  <c r="D1428" i="2"/>
  <c r="E1428" i="2"/>
  <c r="B1429" i="2"/>
  <c r="C1429" i="2"/>
  <c r="D1429" i="2"/>
  <c r="E1429" i="2"/>
  <c r="B1430" i="2"/>
  <c r="C1430" i="2"/>
  <c r="D1430" i="2"/>
  <c r="E1430" i="2"/>
  <c r="B1431" i="2"/>
  <c r="C1431" i="2"/>
  <c r="D1431" i="2"/>
  <c r="E1431" i="2"/>
  <c r="B1432" i="2"/>
  <c r="C1432" i="2"/>
  <c r="D1432" i="2"/>
  <c r="E1432" i="2"/>
  <c r="B1433" i="2"/>
  <c r="C1433" i="2"/>
  <c r="D1433" i="2"/>
  <c r="E1433" i="2"/>
  <c r="B1434" i="2"/>
  <c r="C1434" i="2"/>
  <c r="D1434" i="2"/>
  <c r="E1434" i="2"/>
  <c r="B1435" i="2"/>
  <c r="C1435" i="2"/>
  <c r="D1435" i="2"/>
  <c r="E1435" i="2"/>
  <c r="B1436" i="2"/>
  <c r="C1436" i="2"/>
  <c r="D1436" i="2"/>
  <c r="E1436" i="2"/>
  <c r="B1437" i="2"/>
  <c r="C1437" i="2"/>
  <c r="D1437" i="2"/>
  <c r="E1437" i="2"/>
  <c r="B1438" i="2"/>
  <c r="C1438" i="2"/>
  <c r="D1438" i="2"/>
  <c r="E1438" i="2"/>
  <c r="B1439" i="2"/>
  <c r="C1439" i="2"/>
  <c r="D1439" i="2"/>
  <c r="E1439" i="2"/>
  <c r="B1440" i="2"/>
  <c r="C1440" i="2"/>
  <c r="D1440" i="2"/>
  <c r="E1440" i="2"/>
  <c r="B1441" i="2"/>
  <c r="C1441" i="2"/>
  <c r="D1441" i="2"/>
  <c r="E1441" i="2"/>
  <c r="B1442" i="2"/>
  <c r="C1442" i="2"/>
  <c r="D1442" i="2"/>
  <c r="E1442" i="2"/>
  <c r="B1443" i="2"/>
  <c r="C1443" i="2"/>
  <c r="D1443" i="2"/>
  <c r="E1443" i="2"/>
  <c r="B1444" i="2"/>
  <c r="C1444" i="2"/>
  <c r="D1444" i="2"/>
  <c r="E1444" i="2"/>
  <c r="B1445" i="2"/>
  <c r="C1445" i="2"/>
  <c r="D1445" i="2"/>
  <c r="E1445" i="2"/>
  <c r="B1446" i="2"/>
  <c r="C1446" i="2"/>
  <c r="D1446" i="2"/>
  <c r="E1446" i="2"/>
  <c r="B1447" i="2"/>
  <c r="C1447" i="2"/>
  <c r="D1447" i="2"/>
  <c r="E1447" i="2"/>
  <c r="B1448" i="2"/>
  <c r="C1448" i="2"/>
  <c r="D1448" i="2"/>
  <c r="E1448" i="2"/>
  <c r="B1449" i="2"/>
  <c r="C1449" i="2"/>
  <c r="D1449" i="2"/>
  <c r="E1449" i="2"/>
  <c r="B1450" i="2"/>
  <c r="C1450" i="2"/>
  <c r="D1450" i="2"/>
  <c r="E1450" i="2"/>
  <c r="B1451" i="2"/>
  <c r="C1451" i="2"/>
  <c r="D1451" i="2"/>
  <c r="E1451" i="2"/>
  <c r="B1452" i="2"/>
  <c r="C1452" i="2"/>
  <c r="D1452" i="2"/>
  <c r="E1452" i="2"/>
  <c r="B1453" i="2"/>
  <c r="C1453" i="2"/>
  <c r="D1453" i="2"/>
  <c r="E1453" i="2"/>
  <c r="B1454" i="2"/>
  <c r="C1454" i="2"/>
  <c r="D1454" i="2"/>
  <c r="E1454" i="2"/>
  <c r="B1455" i="2"/>
  <c r="C1455" i="2"/>
  <c r="D1455" i="2"/>
  <c r="E1455" i="2"/>
  <c r="B1456" i="2"/>
  <c r="C1456" i="2"/>
  <c r="D1456" i="2"/>
  <c r="E1456" i="2"/>
  <c r="B1457" i="2"/>
  <c r="C1457" i="2"/>
  <c r="D1457" i="2"/>
  <c r="E1457" i="2"/>
  <c r="B1458" i="2"/>
  <c r="C1458" i="2"/>
  <c r="D1458" i="2"/>
  <c r="E1458" i="2"/>
  <c r="B1459" i="2"/>
  <c r="C1459" i="2"/>
  <c r="D1459" i="2"/>
  <c r="E1459" i="2"/>
  <c r="B1460" i="2"/>
  <c r="C1460" i="2"/>
  <c r="D1460" i="2"/>
  <c r="E1460" i="2"/>
  <c r="B1461" i="2"/>
  <c r="C1461" i="2"/>
  <c r="D1461" i="2"/>
  <c r="E1461" i="2"/>
  <c r="B1462" i="2"/>
  <c r="C1462" i="2"/>
  <c r="D1462" i="2"/>
  <c r="E1462" i="2"/>
  <c r="B1463" i="2"/>
  <c r="C1463" i="2"/>
  <c r="D1463" i="2"/>
  <c r="E1463" i="2"/>
  <c r="B1464" i="2"/>
  <c r="C1464" i="2"/>
  <c r="D1464" i="2"/>
  <c r="E1464" i="2"/>
  <c r="B1465" i="2"/>
  <c r="C1465" i="2"/>
  <c r="D1465" i="2"/>
  <c r="E1465" i="2"/>
  <c r="B1466" i="2"/>
  <c r="C1466" i="2"/>
  <c r="D1466" i="2"/>
  <c r="E1466" i="2"/>
  <c r="B1467" i="2"/>
  <c r="C1467" i="2"/>
  <c r="D1467" i="2"/>
  <c r="E1467" i="2"/>
  <c r="B1468" i="2"/>
  <c r="C1468" i="2"/>
  <c r="D1468" i="2"/>
  <c r="E1468" i="2"/>
  <c r="B1469" i="2"/>
  <c r="C1469" i="2"/>
  <c r="D1469" i="2"/>
  <c r="E1469" i="2"/>
  <c r="B1470" i="2"/>
  <c r="C1470" i="2"/>
  <c r="D1470" i="2"/>
  <c r="E1470" i="2"/>
  <c r="B1471" i="2"/>
  <c r="C1471" i="2"/>
  <c r="D1471" i="2"/>
  <c r="E1471" i="2"/>
  <c r="B1472" i="2"/>
  <c r="C1472" i="2"/>
  <c r="D1472" i="2"/>
  <c r="E1472" i="2"/>
  <c r="B1473" i="2"/>
  <c r="C1473" i="2"/>
  <c r="D1473" i="2"/>
  <c r="E1473" i="2"/>
  <c r="B1474" i="2"/>
  <c r="C1474" i="2"/>
  <c r="D1474" i="2"/>
  <c r="E1474" i="2"/>
  <c r="B1475" i="2"/>
  <c r="C1475" i="2"/>
  <c r="D1475" i="2"/>
  <c r="E1475" i="2"/>
  <c r="B1476" i="2"/>
  <c r="C1476" i="2"/>
  <c r="D1476" i="2"/>
  <c r="E1476" i="2"/>
  <c r="B1477" i="2"/>
  <c r="C1477" i="2"/>
  <c r="D1477" i="2"/>
  <c r="E1477" i="2"/>
  <c r="B1478" i="2"/>
  <c r="C1478" i="2"/>
  <c r="D1478" i="2"/>
  <c r="E1478" i="2"/>
  <c r="B1479" i="2"/>
  <c r="C1479" i="2"/>
  <c r="D1479" i="2"/>
  <c r="E1479" i="2"/>
  <c r="B1480" i="2"/>
  <c r="C1480" i="2"/>
  <c r="D1480" i="2"/>
  <c r="E1480" i="2"/>
  <c r="B1481" i="2"/>
  <c r="C1481" i="2"/>
  <c r="D1481" i="2"/>
  <c r="E1481" i="2"/>
  <c r="B1482" i="2"/>
  <c r="C1482" i="2"/>
  <c r="D1482" i="2"/>
  <c r="E1482" i="2"/>
  <c r="B1483" i="2"/>
  <c r="C1483" i="2"/>
  <c r="D1483" i="2"/>
  <c r="E1483" i="2"/>
  <c r="B1484" i="2"/>
  <c r="C1484" i="2"/>
  <c r="D1484" i="2"/>
  <c r="E1484" i="2"/>
  <c r="B1485" i="2"/>
  <c r="C1485" i="2"/>
  <c r="D1485" i="2"/>
  <c r="E1485" i="2"/>
  <c r="B1486" i="2"/>
  <c r="C1486" i="2"/>
  <c r="D1486" i="2"/>
  <c r="E1486" i="2"/>
  <c r="B1487" i="2"/>
  <c r="C1487" i="2"/>
  <c r="D1487" i="2"/>
  <c r="E1487" i="2"/>
  <c r="B1488" i="2"/>
  <c r="C1488" i="2"/>
  <c r="D1488" i="2"/>
  <c r="E1488" i="2"/>
  <c r="B1489" i="2"/>
  <c r="C1489" i="2"/>
  <c r="D1489" i="2"/>
  <c r="E1489" i="2"/>
  <c r="B1490" i="2"/>
  <c r="C1490" i="2"/>
  <c r="D1490" i="2"/>
  <c r="E1490" i="2"/>
  <c r="B1491" i="2"/>
  <c r="C1491" i="2"/>
  <c r="D1491" i="2"/>
  <c r="E1491" i="2"/>
  <c r="B1492" i="2"/>
  <c r="C1492" i="2"/>
  <c r="D1492" i="2"/>
  <c r="E1492" i="2"/>
  <c r="B1493" i="2"/>
  <c r="C1493" i="2"/>
  <c r="D1493" i="2"/>
  <c r="E1493" i="2"/>
  <c r="B1494" i="2"/>
  <c r="C1494" i="2"/>
  <c r="D1494" i="2"/>
  <c r="E1494" i="2"/>
  <c r="B1495" i="2"/>
  <c r="C1495" i="2"/>
  <c r="D1495" i="2"/>
  <c r="E1495" i="2"/>
  <c r="B1496" i="2"/>
  <c r="C1496" i="2"/>
  <c r="D1496" i="2"/>
  <c r="E1496" i="2"/>
  <c r="B1497" i="2"/>
  <c r="C1497" i="2"/>
  <c r="D1497" i="2"/>
  <c r="E1497" i="2"/>
  <c r="B1498" i="2"/>
  <c r="C1498" i="2"/>
  <c r="D1498" i="2"/>
  <c r="E1498" i="2"/>
  <c r="B1499" i="2"/>
  <c r="C1499" i="2"/>
  <c r="D1499" i="2"/>
  <c r="E1499" i="2"/>
  <c r="B1500" i="2"/>
  <c r="C1500" i="2"/>
  <c r="D1500" i="2"/>
  <c r="E1500" i="2"/>
  <c r="B1501" i="2"/>
  <c r="C1501" i="2"/>
  <c r="D1501" i="2"/>
  <c r="E1501" i="2"/>
  <c r="B1502" i="2"/>
  <c r="C1502" i="2"/>
  <c r="D1502" i="2"/>
  <c r="E1502" i="2"/>
  <c r="B1503" i="2"/>
  <c r="C1503" i="2"/>
  <c r="D1503" i="2"/>
  <c r="E1503" i="2"/>
  <c r="B1504" i="2"/>
  <c r="C1504" i="2"/>
  <c r="D1504" i="2"/>
  <c r="E1504" i="2"/>
  <c r="B1505" i="2"/>
  <c r="C1505" i="2"/>
  <c r="D1505" i="2"/>
  <c r="E1505" i="2"/>
  <c r="B1506" i="2"/>
  <c r="C1506" i="2"/>
  <c r="D1506" i="2"/>
  <c r="E1506" i="2"/>
  <c r="B1507" i="2"/>
  <c r="C1507" i="2"/>
  <c r="D1507" i="2"/>
  <c r="E1507" i="2"/>
  <c r="B1508" i="2"/>
  <c r="C1508" i="2"/>
  <c r="D1508" i="2"/>
  <c r="E1508" i="2"/>
  <c r="B1509" i="2"/>
  <c r="C1509" i="2"/>
  <c r="D1509" i="2"/>
  <c r="E1509" i="2"/>
  <c r="B1510" i="2"/>
  <c r="C1510" i="2"/>
  <c r="D1510" i="2"/>
  <c r="E1510" i="2"/>
  <c r="B1511" i="2"/>
  <c r="C1511" i="2"/>
  <c r="D1511" i="2"/>
  <c r="E1511" i="2"/>
  <c r="B1512" i="2"/>
  <c r="C1512" i="2"/>
  <c r="D1512" i="2"/>
  <c r="E1512" i="2"/>
  <c r="B1513" i="2"/>
  <c r="C1513" i="2"/>
  <c r="D1513" i="2"/>
  <c r="E1513" i="2"/>
  <c r="B1514" i="2"/>
  <c r="C1514" i="2"/>
  <c r="D1514" i="2"/>
  <c r="E1514" i="2"/>
  <c r="B1515" i="2"/>
  <c r="C1515" i="2"/>
  <c r="D1515" i="2"/>
  <c r="E1515" i="2"/>
  <c r="B1516" i="2"/>
  <c r="C1516" i="2"/>
  <c r="D1516" i="2"/>
  <c r="E1516" i="2"/>
  <c r="B1517" i="2"/>
  <c r="C1517" i="2"/>
  <c r="D1517" i="2"/>
  <c r="E1517" i="2"/>
  <c r="B1518" i="2"/>
  <c r="C1518" i="2"/>
  <c r="D1518" i="2"/>
  <c r="E1518" i="2"/>
  <c r="B1519" i="2"/>
  <c r="C1519" i="2"/>
  <c r="D1519" i="2"/>
  <c r="E1519" i="2"/>
  <c r="B1520" i="2"/>
  <c r="C1520" i="2"/>
  <c r="D1520" i="2"/>
  <c r="E1520" i="2"/>
  <c r="B1521" i="2"/>
  <c r="C1521" i="2"/>
  <c r="D1521" i="2"/>
  <c r="E1521" i="2"/>
  <c r="B1522" i="2"/>
  <c r="C1522" i="2"/>
  <c r="D1522" i="2"/>
  <c r="E1522" i="2"/>
  <c r="B1523" i="2"/>
  <c r="C1523" i="2"/>
  <c r="D1523" i="2"/>
  <c r="E1523" i="2"/>
  <c r="B1524" i="2"/>
  <c r="C1524" i="2"/>
  <c r="D1524" i="2"/>
  <c r="E1524" i="2"/>
  <c r="B1525" i="2"/>
  <c r="C1525" i="2"/>
  <c r="D1525" i="2"/>
  <c r="E1525" i="2"/>
  <c r="B1526" i="2"/>
  <c r="C1526" i="2"/>
  <c r="D1526" i="2"/>
  <c r="E1526" i="2"/>
  <c r="B1527" i="2"/>
  <c r="C1527" i="2"/>
  <c r="D1527" i="2"/>
  <c r="E1527" i="2"/>
  <c r="B1528" i="2"/>
  <c r="C1528" i="2"/>
  <c r="D1528" i="2"/>
  <c r="E1528" i="2"/>
  <c r="B1529" i="2"/>
  <c r="C1529" i="2"/>
  <c r="D1529" i="2"/>
  <c r="E1529" i="2"/>
  <c r="B1530" i="2"/>
  <c r="C1530" i="2"/>
  <c r="D1530" i="2"/>
  <c r="E1530" i="2"/>
  <c r="B1531" i="2"/>
  <c r="C1531" i="2"/>
  <c r="D1531" i="2"/>
  <c r="E1531" i="2"/>
  <c r="B1532" i="2"/>
  <c r="C1532" i="2"/>
  <c r="D1532" i="2"/>
  <c r="E1532" i="2"/>
  <c r="B1533" i="2"/>
  <c r="C1533" i="2"/>
  <c r="D1533" i="2"/>
  <c r="E1533" i="2"/>
  <c r="B1534" i="2"/>
  <c r="C1534" i="2"/>
  <c r="D1534" i="2"/>
  <c r="E1534" i="2"/>
  <c r="B1535" i="2"/>
  <c r="C1535" i="2"/>
  <c r="D1535" i="2"/>
  <c r="E1535" i="2"/>
  <c r="B1536" i="2"/>
  <c r="C1536" i="2"/>
  <c r="D1536" i="2"/>
  <c r="E1536" i="2"/>
  <c r="B1537" i="2"/>
  <c r="C1537" i="2"/>
  <c r="D1537" i="2"/>
  <c r="E1537" i="2"/>
  <c r="B1538" i="2"/>
  <c r="C1538" i="2"/>
  <c r="D1538" i="2"/>
  <c r="E1538" i="2"/>
  <c r="B1539" i="2"/>
  <c r="C1539" i="2"/>
  <c r="D1539" i="2"/>
  <c r="E1539" i="2"/>
  <c r="B1540" i="2"/>
  <c r="C1540" i="2"/>
  <c r="D1540" i="2"/>
  <c r="E1540" i="2"/>
  <c r="B1541" i="2"/>
  <c r="C1541" i="2"/>
  <c r="D1541" i="2"/>
  <c r="E1541" i="2"/>
  <c r="B1542" i="2"/>
  <c r="C1542" i="2"/>
  <c r="D1542" i="2"/>
  <c r="E1542" i="2"/>
  <c r="B1543" i="2"/>
  <c r="C1543" i="2"/>
  <c r="D1543" i="2"/>
  <c r="E1543" i="2"/>
  <c r="B1544" i="2"/>
  <c r="C1544" i="2"/>
  <c r="D1544" i="2"/>
  <c r="E1544" i="2"/>
  <c r="B1545" i="2"/>
  <c r="C1545" i="2"/>
  <c r="D1545" i="2"/>
  <c r="E1545" i="2"/>
  <c r="B1546" i="2"/>
  <c r="C1546" i="2"/>
  <c r="D1546" i="2"/>
  <c r="E1546" i="2"/>
  <c r="B1547" i="2"/>
  <c r="C1547" i="2"/>
  <c r="D1547" i="2"/>
  <c r="E1547" i="2"/>
  <c r="B1548" i="2"/>
  <c r="C1548" i="2"/>
  <c r="D1548" i="2"/>
  <c r="E1548" i="2"/>
  <c r="B1549" i="2"/>
  <c r="C1549" i="2"/>
  <c r="D1549" i="2"/>
  <c r="E1549" i="2"/>
  <c r="B1550" i="2"/>
  <c r="C1550" i="2"/>
  <c r="D1550" i="2"/>
  <c r="E1550" i="2"/>
  <c r="B1551" i="2"/>
  <c r="C1551" i="2"/>
  <c r="D1551" i="2"/>
  <c r="E1551" i="2"/>
  <c r="B1552" i="2"/>
  <c r="C1552" i="2"/>
  <c r="D1552" i="2"/>
  <c r="E1552" i="2"/>
  <c r="B1553" i="2"/>
  <c r="C1553" i="2"/>
  <c r="D1553" i="2"/>
  <c r="E1553" i="2"/>
  <c r="B1554" i="2"/>
  <c r="C1554" i="2"/>
  <c r="D1554" i="2"/>
  <c r="E1554" i="2"/>
  <c r="B1555" i="2"/>
  <c r="C1555" i="2"/>
  <c r="D1555" i="2"/>
  <c r="E1555" i="2"/>
  <c r="B1556" i="2"/>
  <c r="C1556" i="2"/>
  <c r="D1556" i="2"/>
  <c r="E1556" i="2"/>
  <c r="B1557" i="2"/>
  <c r="C1557" i="2"/>
  <c r="D1557" i="2"/>
  <c r="E1557" i="2"/>
  <c r="B1558" i="2"/>
  <c r="C1558" i="2"/>
  <c r="D1558" i="2"/>
  <c r="E1558" i="2"/>
  <c r="B1559" i="2"/>
  <c r="C1559" i="2"/>
  <c r="D1559" i="2"/>
  <c r="E1559" i="2"/>
  <c r="B1560" i="2"/>
  <c r="C1560" i="2"/>
  <c r="D1560" i="2"/>
  <c r="E1560" i="2"/>
  <c r="B1561" i="2"/>
  <c r="C1561" i="2"/>
  <c r="D1561" i="2"/>
  <c r="E1561" i="2"/>
  <c r="B1562" i="2"/>
  <c r="C1562" i="2"/>
  <c r="D1562" i="2"/>
  <c r="E1562" i="2"/>
  <c r="B1563" i="2"/>
  <c r="C1563" i="2"/>
  <c r="D1563" i="2"/>
  <c r="E1563" i="2"/>
  <c r="B1564" i="2"/>
  <c r="C1564" i="2"/>
  <c r="D1564" i="2"/>
  <c r="E1564" i="2"/>
  <c r="B1565" i="2"/>
  <c r="C1565" i="2"/>
  <c r="D1565" i="2"/>
  <c r="E1565" i="2"/>
  <c r="B1566" i="2"/>
  <c r="C1566" i="2"/>
  <c r="D1566" i="2"/>
  <c r="E1566" i="2"/>
  <c r="B1567" i="2"/>
  <c r="C1567" i="2"/>
  <c r="D1567" i="2"/>
  <c r="E1567" i="2"/>
  <c r="B1568" i="2"/>
  <c r="C1568" i="2"/>
  <c r="D1568" i="2"/>
  <c r="E1568" i="2"/>
  <c r="B1569" i="2"/>
  <c r="C1569" i="2"/>
  <c r="D1569" i="2"/>
  <c r="E1569" i="2"/>
  <c r="B1570" i="2"/>
  <c r="C1570" i="2"/>
  <c r="D1570" i="2"/>
  <c r="E1570" i="2"/>
  <c r="B1571" i="2"/>
  <c r="C1571" i="2"/>
  <c r="D1571" i="2"/>
  <c r="E1571" i="2"/>
  <c r="B1572" i="2"/>
  <c r="C1572" i="2"/>
  <c r="D1572" i="2"/>
  <c r="E1572" i="2"/>
  <c r="B1573" i="2"/>
  <c r="C1573" i="2"/>
  <c r="D1573" i="2"/>
  <c r="E1573" i="2"/>
  <c r="B1574" i="2"/>
  <c r="C1574" i="2"/>
  <c r="D1574" i="2"/>
  <c r="E1574" i="2"/>
  <c r="B1575" i="2"/>
  <c r="C1575" i="2"/>
  <c r="D1575" i="2"/>
  <c r="E1575" i="2"/>
  <c r="B1576" i="2"/>
  <c r="C1576" i="2"/>
  <c r="D1576" i="2"/>
  <c r="E1576" i="2"/>
  <c r="B1577" i="2"/>
  <c r="C1577" i="2"/>
  <c r="D1577" i="2"/>
  <c r="E1577" i="2"/>
  <c r="B1578" i="2"/>
  <c r="C1578" i="2"/>
  <c r="D1578" i="2"/>
  <c r="E1578" i="2"/>
  <c r="B1579" i="2"/>
  <c r="C1579" i="2"/>
  <c r="D1579" i="2"/>
  <c r="E1579" i="2"/>
  <c r="B1580" i="2"/>
  <c r="C1580" i="2"/>
  <c r="D1580" i="2"/>
  <c r="E1580" i="2"/>
  <c r="B1581" i="2"/>
  <c r="C1581" i="2"/>
  <c r="D1581" i="2"/>
  <c r="E1581" i="2"/>
  <c r="B1582" i="2"/>
  <c r="C1582" i="2"/>
  <c r="D1582" i="2"/>
  <c r="E1582" i="2"/>
  <c r="B1583" i="2"/>
  <c r="C1583" i="2"/>
  <c r="D1583" i="2"/>
  <c r="E1583" i="2"/>
  <c r="B1584" i="2"/>
  <c r="C1584" i="2"/>
  <c r="D1584" i="2"/>
  <c r="E1584" i="2"/>
  <c r="B1585" i="2"/>
  <c r="C1585" i="2"/>
  <c r="D1585" i="2"/>
  <c r="E1585" i="2"/>
  <c r="B1586" i="2"/>
  <c r="C1586" i="2"/>
  <c r="D1586" i="2"/>
  <c r="E1586" i="2"/>
  <c r="B1587" i="2"/>
  <c r="C1587" i="2"/>
  <c r="D1587" i="2"/>
  <c r="E1587" i="2"/>
  <c r="B1588" i="2"/>
  <c r="C1588" i="2"/>
  <c r="D1588" i="2"/>
  <c r="E1588" i="2"/>
  <c r="B1589" i="2"/>
  <c r="C1589" i="2"/>
  <c r="D1589" i="2"/>
  <c r="E1589" i="2"/>
  <c r="B1590" i="2"/>
  <c r="C1590" i="2"/>
  <c r="D1590" i="2"/>
  <c r="E1590" i="2"/>
  <c r="B1591" i="2"/>
  <c r="C1591" i="2"/>
  <c r="D1591" i="2"/>
  <c r="E1591" i="2"/>
  <c r="B1592" i="2"/>
  <c r="C1592" i="2"/>
  <c r="D1592" i="2"/>
  <c r="E1592" i="2"/>
  <c r="B1593" i="2"/>
  <c r="C1593" i="2"/>
  <c r="D1593" i="2"/>
  <c r="E1593" i="2"/>
  <c r="B1594" i="2"/>
  <c r="C1594" i="2"/>
  <c r="D1594" i="2"/>
  <c r="E1594" i="2"/>
  <c r="B1595" i="2"/>
  <c r="C1595" i="2"/>
  <c r="D1595" i="2"/>
  <c r="E1595" i="2"/>
  <c r="B1596" i="2"/>
  <c r="C1596" i="2"/>
  <c r="D1596" i="2"/>
  <c r="E1596" i="2"/>
  <c r="B1597" i="2"/>
  <c r="C1597" i="2"/>
  <c r="D1597" i="2"/>
  <c r="E1597" i="2"/>
  <c r="B1598" i="2"/>
  <c r="C1598" i="2"/>
  <c r="D1598" i="2"/>
  <c r="E1598" i="2"/>
  <c r="B1599" i="2"/>
  <c r="C1599" i="2"/>
  <c r="D1599" i="2"/>
  <c r="E1599" i="2"/>
  <c r="B1600" i="2"/>
  <c r="C1600" i="2"/>
  <c r="D1600" i="2"/>
  <c r="E1600" i="2"/>
  <c r="B1601" i="2"/>
  <c r="C1601" i="2"/>
  <c r="D1601" i="2"/>
  <c r="E1601" i="2"/>
  <c r="B1602" i="2"/>
  <c r="C1602" i="2"/>
  <c r="D1602" i="2"/>
  <c r="E1602" i="2"/>
  <c r="B1603" i="2"/>
  <c r="C1603" i="2"/>
  <c r="D1603" i="2"/>
  <c r="E1603" i="2"/>
  <c r="B1604" i="2"/>
  <c r="C1604" i="2"/>
  <c r="D1604" i="2"/>
  <c r="E1604" i="2"/>
  <c r="B1605" i="2"/>
  <c r="C1605" i="2"/>
  <c r="D1605" i="2"/>
  <c r="E1605" i="2"/>
  <c r="B1606" i="2"/>
  <c r="C1606" i="2"/>
  <c r="D1606" i="2"/>
  <c r="E1606" i="2"/>
  <c r="B1607" i="2"/>
  <c r="C1607" i="2"/>
  <c r="D1607" i="2"/>
  <c r="E1607" i="2"/>
  <c r="B1608" i="2"/>
  <c r="C1608" i="2"/>
  <c r="D1608" i="2"/>
  <c r="E1608" i="2"/>
  <c r="B1609" i="2"/>
  <c r="C1609" i="2"/>
  <c r="D1609" i="2"/>
  <c r="E1609" i="2"/>
  <c r="B1610" i="2"/>
  <c r="C1610" i="2"/>
  <c r="D1610" i="2"/>
  <c r="E1610" i="2"/>
  <c r="B1611" i="2"/>
  <c r="C1611" i="2"/>
  <c r="D1611" i="2"/>
  <c r="E1611" i="2"/>
  <c r="B1612" i="2"/>
  <c r="C1612" i="2"/>
  <c r="D1612" i="2"/>
  <c r="E1612" i="2"/>
  <c r="B1613" i="2"/>
  <c r="C1613" i="2"/>
  <c r="D1613" i="2"/>
  <c r="E1613" i="2"/>
  <c r="B1614" i="2"/>
  <c r="C1614" i="2"/>
  <c r="D1614" i="2"/>
  <c r="E1614" i="2"/>
  <c r="B1615" i="2"/>
  <c r="C1615" i="2"/>
  <c r="D1615" i="2"/>
  <c r="E1615" i="2"/>
  <c r="B1616" i="2"/>
  <c r="C1616" i="2"/>
  <c r="D1616" i="2"/>
  <c r="E1616" i="2"/>
  <c r="B1617" i="2"/>
  <c r="C1617" i="2"/>
  <c r="D1617" i="2"/>
  <c r="E1617" i="2"/>
  <c r="B1618" i="2"/>
  <c r="C1618" i="2"/>
  <c r="D1618" i="2"/>
  <c r="E1618" i="2"/>
  <c r="B1619" i="2"/>
  <c r="C1619" i="2"/>
  <c r="D1619" i="2"/>
  <c r="E1619" i="2"/>
  <c r="B1620" i="2"/>
  <c r="C1620" i="2"/>
  <c r="D1620" i="2"/>
  <c r="E1620" i="2"/>
  <c r="B1621" i="2"/>
  <c r="C1621" i="2"/>
  <c r="D1621" i="2"/>
  <c r="E1621" i="2"/>
  <c r="B1622" i="2"/>
  <c r="C1622" i="2"/>
  <c r="D1622" i="2"/>
  <c r="E1622" i="2"/>
  <c r="B1623" i="2"/>
  <c r="C1623" i="2"/>
  <c r="D1623" i="2"/>
  <c r="E1623" i="2"/>
  <c r="B1624" i="2"/>
  <c r="C1624" i="2"/>
  <c r="D1624" i="2"/>
  <c r="E1624" i="2"/>
  <c r="B1625" i="2"/>
  <c r="C1625" i="2"/>
  <c r="D1625" i="2"/>
  <c r="E1625" i="2"/>
  <c r="B1626" i="2"/>
  <c r="C1626" i="2"/>
  <c r="D1626" i="2"/>
  <c r="E1626" i="2"/>
  <c r="B1627" i="2"/>
  <c r="C1627" i="2"/>
  <c r="D1627" i="2"/>
  <c r="E1627" i="2"/>
  <c r="B1628" i="2"/>
  <c r="C1628" i="2"/>
  <c r="D1628" i="2"/>
  <c r="E1628" i="2"/>
  <c r="B1629" i="2"/>
  <c r="C1629" i="2"/>
  <c r="D1629" i="2"/>
  <c r="E1629" i="2"/>
  <c r="B1630" i="2"/>
  <c r="C1630" i="2"/>
  <c r="D1630" i="2"/>
  <c r="E1630" i="2"/>
  <c r="B1631" i="2"/>
  <c r="C1631" i="2"/>
  <c r="D1631" i="2"/>
  <c r="E1631" i="2"/>
  <c r="B1632" i="2"/>
  <c r="C1632" i="2"/>
  <c r="D1632" i="2"/>
  <c r="E1632" i="2"/>
  <c r="B1633" i="2"/>
  <c r="C1633" i="2"/>
  <c r="D1633" i="2"/>
  <c r="E1633" i="2"/>
  <c r="B1634" i="2"/>
  <c r="C1634" i="2"/>
  <c r="D1634" i="2"/>
  <c r="E1634" i="2"/>
  <c r="B1635" i="2"/>
  <c r="C1635" i="2"/>
  <c r="D1635" i="2"/>
  <c r="E1635" i="2"/>
  <c r="B1636" i="2"/>
  <c r="C1636" i="2"/>
  <c r="D1636" i="2"/>
  <c r="E1636" i="2"/>
  <c r="B1637" i="2"/>
  <c r="C1637" i="2"/>
  <c r="D1637" i="2"/>
  <c r="E1637" i="2"/>
  <c r="B1638" i="2"/>
  <c r="C1638" i="2"/>
  <c r="D1638" i="2"/>
  <c r="E1638" i="2"/>
  <c r="B1639" i="2"/>
  <c r="C1639" i="2"/>
  <c r="D1639" i="2"/>
  <c r="E1639" i="2"/>
  <c r="B1640" i="2"/>
  <c r="C1640" i="2"/>
  <c r="D1640" i="2"/>
  <c r="E1640" i="2"/>
  <c r="B1641" i="2"/>
  <c r="C1641" i="2"/>
  <c r="D1641" i="2"/>
  <c r="E1641" i="2"/>
  <c r="B1642" i="2"/>
  <c r="C1642" i="2"/>
  <c r="D1642" i="2"/>
  <c r="E1642" i="2"/>
  <c r="B1643" i="2"/>
  <c r="C1643" i="2"/>
  <c r="D1643" i="2"/>
  <c r="E1643" i="2"/>
  <c r="B1644" i="2"/>
  <c r="C1644" i="2"/>
  <c r="D1644" i="2"/>
  <c r="E1644" i="2"/>
  <c r="B1645" i="2"/>
  <c r="C1645" i="2"/>
  <c r="D1645" i="2"/>
  <c r="E1645" i="2"/>
  <c r="B1646" i="2"/>
  <c r="C1646" i="2"/>
  <c r="D1646" i="2"/>
  <c r="E1646" i="2"/>
  <c r="B1647" i="2"/>
  <c r="C1647" i="2"/>
  <c r="D1647" i="2"/>
  <c r="E1647" i="2"/>
  <c r="B1648" i="2"/>
  <c r="C1648" i="2"/>
  <c r="D1648" i="2"/>
  <c r="E1648" i="2"/>
  <c r="B1649" i="2"/>
  <c r="C1649" i="2"/>
  <c r="D1649" i="2"/>
  <c r="E1649" i="2"/>
  <c r="B1650" i="2"/>
  <c r="C1650" i="2"/>
  <c r="D1650" i="2"/>
  <c r="E1650" i="2"/>
  <c r="B1651" i="2"/>
  <c r="C1651" i="2"/>
  <c r="D1651" i="2"/>
  <c r="E1651" i="2"/>
  <c r="B1652" i="2"/>
  <c r="C1652" i="2"/>
  <c r="D1652" i="2"/>
  <c r="E1652" i="2"/>
  <c r="B1653" i="2"/>
  <c r="C1653" i="2"/>
  <c r="D1653" i="2"/>
  <c r="E1653" i="2"/>
  <c r="B1654" i="2"/>
  <c r="C1654" i="2"/>
  <c r="D1654" i="2"/>
  <c r="E1654" i="2"/>
  <c r="B1655" i="2"/>
  <c r="C1655" i="2"/>
  <c r="D1655" i="2"/>
  <c r="E1655" i="2"/>
  <c r="B1656" i="2"/>
  <c r="C1656" i="2"/>
  <c r="D1656" i="2"/>
  <c r="E1656" i="2"/>
  <c r="B1657" i="2"/>
  <c r="C1657" i="2"/>
  <c r="D1657" i="2"/>
  <c r="E1657" i="2"/>
  <c r="B1658" i="2"/>
  <c r="C1658" i="2"/>
  <c r="D1658" i="2"/>
  <c r="E1658" i="2"/>
  <c r="B1659" i="2"/>
  <c r="C1659" i="2"/>
  <c r="D1659" i="2"/>
  <c r="E1659" i="2"/>
  <c r="B1660" i="2"/>
  <c r="C1660" i="2"/>
  <c r="D1660" i="2"/>
  <c r="E1660" i="2"/>
  <c r="B1661" i="2"/>
  <c r="C1661" i="2"/>
  <c r="D1661" i="2"/>
  <c r="E1661" i="2"/>
  <c r="B1662" i="2"/>
  <c r="C1662" i="2"/>
  <c r="D1662" i="2"/>
  <c r="E1662" i="2"/>
  <c r="B1663" i="2"/>
  <c r="C1663" i="2"/>
  <c r="D1663" i="2"/>
  <c r="E1663" i="2"/>
  <c r="B1664" i="2"/>
  <c r="C1664" i="2"/>
  <c r="D1664" i="2"/>
  <c r="E1664" i="2"/>
  <c r="B1665" i="2"/>
  <c r="C1665" i="2"/>
  <c r="D1665" i="2"/>
  <c r="E1665" i="2"/>
  <c r="B1666" i="2"/>
  <c r="C1666" i="2"/>
  <c r="D1666" i="2"/>
  <c r="E1666" i="2"/>
  <c r="B1667" i="2"/>
  <c r="C1667" i="2"/>
  <c r="D1667" i="2"/>
  <c r="E1667" i="2"/>
  <c r="B1668" i="2"/>
  <c r="C1668" i="2"/>
  <c r="D1668" i="2"/>
  <c r="E1668" i="2"/>
  <c r="B1669" i="2"/>
  <c r="C1669" i="2"/>
  <c r="D1669" i="2"/>
  <c r="E1669" i="2"/>
  <c r="B1670" i="2"/>
  <c r="C1670" i="2"/>
  <c r="D1670" i="2"/>
  <c r="E1670" i="2"/>
  <c r="B1671" i="2"/>
  <c r="C1671" i="2"/>
  <c r="D1671" i="2"/>
  <c r="E1671" i="2"/>
  <c r="B1672" i="2"/>
  <c r="C1672" i="2"/>
  <c r="D1672" i="2"/>
  <c r="E1672" i="2"/>
  <c r="B1673" i="2"/>
  <c r="C1673" i="2"/>
  <c r="D1673" i="2"/>
  <c r="E1673" i="2"/>
  <c r="B1674" i="2"/>
  <c r="C1674" i="2"/>
  <c r="D1674" i="2"/>
  <c r="E1674" i="2"/>
  <c r="B1675" i="2"/>
  <c r="C1675" i="2"/>
  <c r="D1675" i="2"/>
  <c r="E1675" i="2"/>
  <c r="B1676" i="2"/>
  <c r="C1676" i="2"/>
  <c r="D1676" i="2"/>
  <c r="E1676" i="2"/>
  <c r="B1677" i="2"/>
  <c r="C1677" i="2"/>
  <c r="D1677" i="2"/>
  <c r="E1677" i="2"/>
  <c r="B1678" i="2"/>
  <c r="C1678" i="2"/>
  <c r="D1678" i="2"/>
  <c r="E1678" i="2"/>
  <c r="B1679" i="2"/>
  <c r="C1679" i="2"/>
  <c r="D1679" i="2"/>
  <c r="E1679" i="2"/>
  <c r="B1680" i="2"/>
  <c r="C1680" i="2"/>
  <c r="D1680" i="2"/>
  <c r="E1680" i="2"/>
  <c r="B1681" i="2"/>
  <c r="C1681" i="2"/>
  <c r="D1681" i="2"/>
  <c r="E1681" i="2"/>
  <c r="B1682" i="2"/>
  <c r="C1682" i="2"/>
  <c r="D1682" i="2"/>
  <c r="E1682" i="2"/>
  <c r="B1683" i="2"/>
  <c r="C1683" i="2"/>
  <c r="D1683" i="2"/>
  <c r="E1683" i="2"/>
  <c r="B1684" i="2"/>
  <c r="C1684" i="2"/>
  <c r="D1684" i="2"/>
  <c r="E1684" i="2"/>
  <c r="B1685" i="2"/>
  <c r="C1685" i="2"/>
  <c r="D1685" i="2"/>
  <c r="E1685" i="2"/>
  <c r="B1686" i="2"/>
  <c r="C1686" i="2"/>
  <c r="D1686" i="2"/>
  <c r="E1686" i="2"/>
  <c r="B1687" i="2"/>
  <c r="C1687" i="2"/>
  <c r="D1687" i="2"/>
  <c r="E1687" i="2"/>
  <c r="B1688" i="2"/>
  <c r="C1688" i="2"/>
  <c r="D1688" i="2"/>
  <c r="E1688" i="2"/>
  <c r="B1689" i="2"/>
  <c r="C1689" i="2"/>
  <c r="D1689" i="2"/>
  <c r="E1689" i="2"/>
  <c r="B1690" i="2"/>
  <c r="C1690" i="2"/>
  <c r="D1690" i="2"/>
  <c r="E1690" i="2"/>
  <c r="B1691" i="2"/>
  <c r="C1691" i="2"/>
  <c r="D1691" i="2"/>
  <c r="E1691" i="2"/>
  <c r="B1692" i="2"/>
  <c r="C1692" i="2"/>
  <c r="D1692" i="2"/>
  <c r="E1692" i="2"/>
  <c r="B1693" i="2"/>
  <c r="C1693" i="2"/>
  <c r="D1693" i="2"/>
  <c r="E1693" i="2"/>
  <c r="B1694" i="2"/>
  <c r="C1694" i="2"/>
  <c r="D1694" i="2"/>
  <c r="E1694" i="2"/>
  <c r="B1695" i="2"/>
  <c r="C1695" i="2"/>
  <c r="D1695" i="2"/>
  <c r="E1695" i="2"/>
  <c r="B1696" i="2"/>
  <c r="C1696" i="2"/>
  <c r="D1696" i="2"/>
  <c r="E1696" i="2"/>
  <c r="B1697" i="2"/>
  <c r="C1697" i="2"/>
  <c r="D1697" i="2"/>
  <c r="E1697" i="2"/>
  <c r="B1698" i="2"/>
  <c r="C1698" i="2"/>
  <c r="D1698" i="2"/>
  <c r="E1698" i="2"/>
  <c r="B1699" i="2"/>
  <c r="C1699" i="2"/>
  <c r="D1699" i="2"/>
  <c r="E1699" i="2"/>
  <c r="B1700" i="2"/>
  <c r="C1700" i="2"/>
  <c r="D1700" i="2"/>
  <c r="E1700" i="2"/>
  <c r="B1701" i="2"/>
  <c r="C1701" i="2"/>
  <c r="D1701" i="2"/>
  <c r="E1701" i="2"/>
  <c r="B1702" i="2"/>
  <c r="C1702" i="2"/>
  <c r="D1702" i="2"/>
  <c r="E1702" i="2"/>
  <c r="B1703" i="2"/>
  <c r="C1703" i="2"/>
  <c r="D1703" i="2"/>
  <c r="E1703" i="2"/>
  <c r="B1704" i="2"/>
  <c r="C1704" i="2"/>
  <c r="D1704" i="2"/>
  <c r="E1704" i="2"/>
  <c r="B1705" i="2"/>
  <c r="C1705" i="2"/>
  <c r="D1705" i="2"/>
  <c r="E1705" i="2"/>
  <c r="B1706" i="2"/>
  <c r="C1706" i="2"/>
  <c r="D1706" i="2"/>
  <c r="E1706" i="2"/>
  <c r="B1707" i="2"/>
  <c r="C1707" i="2"/>
  <c r="D1707" i="2"/>
  <c r="E1707" i="2"/>
  <c r="B1708" i="2"/>
  <c r="C1708" i="2"/>
  <c r="D1708" i="2"/>
  <c r="E1708" i="2"/>
  <c r="B1709" i="2"/>
  <c r="C1709" i="2"/>
  <c r="D1709" i="2"/>
  <c r="E1709" i="2"/>
  <c r="B1710" i="2"/>
  <c r="C1710" i="2"/>
  <c r="D1710" i="2"/>
  <c r="E1710" i="2"/>
  <c r="B1711" i="2"/>
  <c r="C1711" i="2"/>
  <c r="D1711" i="2"/>
  <c r="E1711" i="2"/>
  <c r="B1712" i="2"/>
  <c r="C1712" i="2"/>
  <c r="D1712" i="2"/>
  <c r="E1712" i="2"/>
  <c r="B1713" i="2"/>
  <c r="C1713" i="2"/>
  <c r="D1713" i="2"/>
  <c r="E1713" i="2"/>
  <c r="B1714" i="2"/>
  <c r="C1714" i="2"/>
  <c r="D1714" i="2"/>
  <c r="E1714" i="2"/>
  <c r="B1715" i="2"/>
  <c r="C1715" i="2"/>
  <c r="D1715" i="2"/>
  <c r="E1715" i="2"/>
  <c r="B1716" i="2"/>
  <c r="C1716" i="2"/>
  <c r="D1716" i="2"/>
  <c r="E1716" i="2"/>
  <c r="B1717" i="2"/>
  <c r="C1717" i="2"/>
  <c r="D1717" i="2"/>
  <c r="E1717" i="2"/>
  <c r="B1718" i="2"/>
  <c r="C1718" i="2"/>
  <c r="D1718" i="2"/>
  <c r="E1718" i="2"/>
  <c r="B1719" i="2"/>
  <c r="C1719" i="2"/>
  <c r="D1719" i="2"/>
  <c r="E1719" i="2"/>
  <c r="B1720" i="2"/>
  <c r="C1720" i="2"/>
  <c r="D1720" i="2"/>
  <c r="E1720" i="2"/>
  <c r="B1721" i="2"/>
  <c r="C1721" i="2"/>
  <c r="D1721" i="2"/>
  <c r="E1721" i="2"/>
  <c r="B1722" i="2"/>
  <c r="C1722" i="2"/>
  <c r="D1722" i="2"/>
  <c r="E1722" i="2"/>
  <c r="B1723" i="2"/>
  <c r="C1723" i="2"/>
  <c r="D1723" i="2"/>
  <c r="E1723" i="2"/>
  <c r="B1724" i="2"/>
  <c r="C1724" i="2"/>
  <c r="D1724" i="2"/>
  <c r="E1724" i="2"/>
  <c r="B1725" i="2"/>
  <c r="C1725" i="2"/>
  <c r="D1725" i="2"/>
  <c r="E1725" i="2"/>
  <c r="B1726" i="2"/>
  <c r="C1726" i="2"/>
  <c r="D1726" i="2"/>
  <c r="E1726" i="2"/>
  <c r="B1727" i="2"/>
  <c r="C1727" i="2"/>
  <c r="D1727" i="2"/>
  <c r="E1727" i="2"/>
  <c r="B1728" i="2"/>
  <c r="C1728" i="2"/>
  <c r="D1728" i="2"/>
  <c r="E1728" i="2"/>
  <c r="B1729" i="2"/>
  <c r="C1729" i="2"/>
  <c r="D1729" i="2"/>
  <c r="E1729" i="2"/>
  <c r="B1730" i="2"/>
  <c r="C1730" i="2"/>
  <c r="D1730" i="2"/>
  <c r="E1730" i="2"/>
  <c r="B1731" i="2"/>
  <c r="C1731" i="2"/>
  <c r="D1731" i="2"/>
  <c r="E1731" i="2"/>
  <c r="B1732" i="2"/>
  <c r="C1732" i="2"/>
  <c r="D1732" i="2"/>
  <c r="E1732" i="2"/>
  <c r="B1733" i="2"/>
  <c r="C1733" i="2"/>
  <c r="D1733" i="2"/>
  <c r="E1733" i="2"/>
  <c r="B1734" i="2"/>
  <c r="C1734" i="2"/>
  <c r="D1734" i="2"/>
  <c r="E1734" i="2"/>
  <c r="B1735" i="2"/>
  <c r="C1735" i="2"/>
  <c r="D1735" i="2"/>
  <c r="E1735" i="2"/>
  <c r="B1736" i="2"/>
  <c r="C1736" i="2"/>
  <c r="D1736" i="2"/>
  <c r="E1736" i="2"/>
  <c r="B1737" i="2"/>
  <c r="C1737" i="2"/>
  <c r="D1737" i="2"/>
  <c r="E1737" i="2"/>
  <c r="B1738" i="2"/>
  <c r="C1738" i="2"/>
  <c r="D1738" i="2"/>
  <c r="E1738" i="2"/>
  <c r="B1739" i="2"/>
  <c r="C1739" i="2"/>
  <c r="D1739" i="2"/>
  <c r="E1739" i="2"/>
  <c r="B1740" i="2"/>
  <c r="C1740" i="2"/>
  <c r="D1740" i="2"/>
  <c r="E1740" i="2"/>
  <c r="B1741" i="2"/>
  <c r="C1741" i="2"/>
  <c r="D1741" i="2"/>
  <c r="E1741" i="2"/>
  <c r="B1742" i="2"/>
  <c r="C1742" i="2"/>
  <c r="D1742" i="2"/>
  <c r="E1742" i="2"/>
  <c r="B1743" i="2"/>
  <c r="C1743" i="2"/>
  <c r="D1743" i="2"/>
  <c r="E1743" i="2"/>
  <c r="B1744" i="2"/>
  <c r="C1744" i="2"/>
  <c r="D1744" i="2"/>
  <c r="E1744" i="2"/>
  <c r="B1745" i="2"/>
  <c r="C1745" i="2"/>
  <c r="D1745" i="2"/>
  <c r="E1745" i="2"/>
  <c r="B1746" i="2"/>
  <c r="C1746" i="2"/>
  <c r="D1746" i="2"/>
  <c r="E1746" i="2"/>
  <c r="B1747" i="2"/>
  <c r="C1747" i="2"/>
  <c r="D1747" i="2"/>
  <c r="E1747" i="2"/>
  <c r="B1748" i="2"/>
  <c r="C1748" i="2"/>
  <c r="D1748" i="2"/>
  <c r="E1748" i="2"/>
  <c r="B1749" i="2"/>
  <c r="C1749" i="2"/>
  <c r="D1749" i="2"/>
  <c r="E1749" i="2"/>
  <c r="B1750" i="2"/>
  <c r="C1750" i="2"/>
  <c r="D1750" i="2"/>
  <c r="E1750" i="2"/>
  <c r="B1751" i="2"/>
  <c r="C1751" i="2"/>
  <c r="D1751" i="2"/>
  <c r="E1751" i="2"/>
  <c r="B1752" i="2"/>
  <c r="C1752" i="2"/>
  <c r="D1752" i="2"/>
  <c r="E1752" i="2"/>
  <c r="B1753" i="2"/>
  <c r="C1753" i="2"/>
  <c r="D1753" i="2"/>
  <c r="E1753" i="2"/>
  <c r="B1754" i="2"/>
  <c r="C1754" i="2"/>
  <c r="D1754" i="2"/>
  <c r="E1754" i="2"/>
  <c r="B1755" i="2"/>
  <c r="C1755" i="2"/>
  <c r="D1755" i="2"/>
  <c r="E1755" i="2"/>
  <c r="B1756" i="2"/>
  <c r="C1756" i="2"/>
  <c r="D1756" i="2"/>
  <c r="E1756" i="2"/>
  <c r="B1757" i="2"/>
  <c r="C1757" i="2"/>
  <c r="D1757" i="2"/>
  <c r="E1757" i="2"/>
  <c r="B1758" i="2"/>
  <c r="C1758" i="2"/>
  <c r="D1758" i="2"/>
  <c r="E1758" i="2"/>
  <c r="B1759" i="2"/>
  <c r="C1759" i="2"/>
  <c r="D1759" i="2"/>
  <c r="E1759" i="2"/>
  <c r="B1760" i="2"/>
  <c r="C1760" i="2"/>
  <c r="D1760" i="2"/>
  <c r="E1760" i="2"/>
  <c r="B1761" i="2"/>
  <c r="C1761" i="2"/>
  <c r="D1761" i="2"/>
  <c r="E1761" i="2"/>
  <c r="B1762" i="2"/>
  <c r="C1762" i="2"/>
  <c r="D1762" i="2"/>
  <c r="E1762" i="2"/>
  <c r="B1763" i="2"/>
  <c r="C1763" i="2"/>
  <c r="D1763" i="2"/>
  <c r="E1763" i="2"/>
  <c r="B1764" i="2"/>
  <c r="C1764" i="2"/>
  <c r="D1764" i="2"/>
  <c r="E1764" i="2"/>
  <c r="B1765" i="2"/>
  <c r="C1765" i="2"/>
  <c r="D1765" i="2"/>
  <c r="E1765" i="2"/>
  <c r="B1766" i="2"/>
  <c r="C1766" i="2"/>
  <c r="D1766" i="2"/>
  <c r="E1766" i="2"/>
  <c r="B1767" i="2"/>
  <c r="C1767" i="2"/>
  <c r="D1767" i="2"/>
  <c r="E1767" i="2"/>
  <c r="B1768" i="2"/>
  <c r="C1768" i="2"/>
  <c r="D1768" i="2"/>
  <c r="E1768" i="2"/>
  <c r="B1769" i="2"/>
  <c r="C1769" i="2"/>
  <c r="D1769" i="2"/>
  <c r="E1769" i="2"/>
  <c r="B1770" i="2"/>
  <c r="C1770" i="2"/>
  <c r="D1770" i="2"/>
  <c r="E1770" i="2"/>
  <c r="B1771" i="2"/>
  <c r="C1771" i="2"/>
  <c r="D1771" i="2"/>
  <c r="E1771" i="2"/>
  <c r="B1772" i="2"/>
  <c r="C1772" i="2"/>
  <c r="D1772" i="2"/>
  <c r="E1772" i="2"/>
  <c r="B1773" i="2"/>
  <c r="C1773" i="2"/>
  <c r="D1773" i="2"/>
  <c r="E1773" i="2"/>
  <c r="B1774" i="2"/>
  <c r="C1774" i="2"/>
  <c r="D1774" i="2"/>
  <c r="E1774" i="2"/>
  <c r="B1775" i="2"/>
  <c r="C1775" i="2"/>
  <c r="D1775" i="2"/>
  <c r="E1775" i="2"/>
  <c r="B1776" i="2"/>
  <c r="C1776" i="2"/>
  <c r="D1776" i="2"/>
  <c r="E1776" i="2"/>
  <c r="B1777" i="2"/>
  <c r="C1777" i="2"/>
  <c r="D1777" i="2"/>
  <c r="E1777" i="2"/>
  <c r="B1778" i="2"/>
  <c r="C1778" i="2"/>
  <c r="D1778" i="2"/>
  <c r="E1778" i="2"/>
  <c r="B1779" i="2"/>
  <c r="C1779" i="2"/>
  <c r="D1779" i="2"/>
  <c r="E1779" i="2"/>
  <c r="B1780" i="2"/>
  <c r="C1780" i="2"/>
  <c r="D1780" i="2"/>
  <c r="E1780" i="2"/>
  <c r="B1781" i="2"/>
  <c r="C1781" i="2"/>
  <c r="D1781" i="2"/>
  <c r="E1781" i="2"/>
  <c r="B1782" i="2"/>
  <c r="C1782" i="2"/>
  <c r="D1782" i="2"/>
  <c r="E1782" i="2"/>
  <c r="B1783" i="2"/>
  <c r="C1783" i="2"/>
  <c r="D1783" i="2"/>
  <c r="E1783" i="2"/>
  <c r="B1784" i="2"/>
  <c r="C1784" i="2"/>
  <c r="D1784" i="2"/>
  <c r="E1784" i="2"/>
  <c r="B1785" i="2"/>
  <c r="C1785" i="2"/>
  <c r="D1785" i="2"/>
  <c r="E1785" i="2"/>
  <c r="B1786" i="2"/>
  <c r="C1786" i="2"/>
  <c r="D1786" i="2"/>
  <c r="E1786" i="2"/>
  <c r="B1787" i="2"/>
  <c r="C1787" i="2"/>
  <c r="D1787" i="2"/>
  <c r="E1787" i="2"/>
  <c r="B1788" i="2"/>
  <c r="C1788" i="2"/>
  <c r="D1788" i="2"/>
  <c r="E1788" i="2"/>
  <c r="B1789" i="2"/>
  <c r="C1789" i="2"/>
  <c r="D1789" i="2"/>
  <c r="E1789" i="2"/>
  <c r="B1790" i="2"/>
  <c r="C1790" i="2"/>
  <c r="D1790" i="2"/>
  <c r="E1790" i="2"/>
  <c r="B1791" i="2"/>
  <c r="C1791" i="2"/>
  <c r="D1791" i="2"/>
  <c r="E1791" i="2"/>
  <c r="B1792" i="2"/>
  <c r="C1792" i="2"/>
  <c r="D1792" i="2"/>
  <c r="E1792" i="2"/>
  <c r="E795" i="2"/>
  <c r="C795" i="2"/>
  <c r="B795" i="2"/>
  <c r="D213" i="1"/>
  <c r="D948" i="2" s="1"/>
  <c r="E213" i="1"/>
  <c r="D212" i="1"/>
  <c r="E212" i="1"/>
  <c r="D211" i="1"/>
  <c r="E211" i="1"/>
  <c r="D210" i="1"/>
  <c r="D1012" i="2" s="1"/>
  <c r="E210" i="1"/>
  <c r="D209" i="1"/>
  <c r="D940" i="2" s="1"/>
  <c r="E209" i="1"/>
  <c r="D208" i="1"/>
  <c r="E208" i="1"/>
  <c r="D207" i="1"/>
  <c r="D962" i="2" s="1"/>
  <c r="E207" i="1"/>
  <c r="D206" i="1"/>
  <c r="E206" i="1"/>
  <c r="D205" i="1"/>
  <c r="D832" i="2" s="1"/>
  <c r="E205" i="1"/>
  <c r="D204" i="1"/>
  <c r="E204" i="1"/>
  <c r="D203" i="1"/>
  <c r="E203" i="1"/>
  <c r="D202" i="1"/>
  <c r="D1031" i="2" s="1"/>
  <c r="E202" i="1"/>
  <c r="D201" i="1"/>
  <c r="E201" i="1"/>
  <c r="C492" i="2"/>
  <c r="E492" i="2"/>
  <c r="C493" i="2"/>
  <c r="E493" i="2"/>
  <c r="C494" i="2"/>
  <c r="E494" i="2"/>
  <c r="C495" i="2"/>
  <c r="E495" i="2"/>
  <c r="C496" i="2"/>
  <c r="E496" i="2"/>
  <c r="C497" i="2"/>
  <c r="E497" i="2"/>
  <c r="C498" i="2"/>
  <c r="E498" i="2"/>
  <c r="C499" i="2"/>
  <c r="E499" i="2"/>
  <c r="C500" i="2"/>
  <c r="E500" i="2"/>
  <c r="C501" i="2"/>
  <c r="E501" i="2"/>
  <c r="C502" i="2"/>
  <c r="E502" i="2"/>
  <c r="C503" i="2"/>
  <c r="E503" i="2"/>
  <c r="C504" i="2"/>
  <c r="E504" i="2"/>
  <c r="C505" i="2"/>
  <c r="D505" i="2"/>
  <c r="E505" i="2"/>
  <c r="C506" i="2"/>
  <c r="E506" i="2"/>
  <c r="C507" i="2"/>
  <c r="E507" i="2"/>
  <c r="C508" i="2"/>
  <c r="E508" i="2"/>
  <c r="C509" i="2"/>
  <c r="E509" i="2"/>
  <c r="C510" i="2"/>
  <c r="E510" i="2"/>
  <c r="C511" i="2"/>
  <c r="E511" i="2"/>
  <c r="C512" i="2"/>
  <c r="E512" i="2"/>
  <c r="C513" i="2"/>
  <c r="E513" i="2"/>
  <c r="C514" i="2"/>
  <c r="E514" i="2"/>
  <c r="C515" i="2"/>
  <c r="E515" i="2"/>
  <c r="C516" i="2"/>
  <c r="E516" i="2"/>
  <c r="C517" i="2"/>
  <c r="E517" i="2"/>
  <c r="C518" i="2"/>
  <c r="E518" i="2"/>
  <c r="C519" i="2"/>
  <c r="E519" i="2"/>
  <c r="C520" i="2"/>
  <c r="E520" i="2"/>
  <c r="C521" i="2"/>
  <c r="E521" i="2"/>
  <c r="C522" i="2"/>
  <c r="E522" i="2"/>
  <c r="C523" i="2"/>
  <c r="E523" i="2"/>
  <c r="C524" i="2"/>
  <c r="E524" i="2"/>
  <c r="C525" i="2"/>
  <c r="E525" i="2"/>
  <c r="C526" i="2"/>
  <c r="E526" i="2"/>
  <c r="C527" i="2"/>
  <c r="E527" i="2"/>
  <c r="C528" i="2"/>
  <c r="E528" i="2"/>
  <c r="C529" i="2"/>
  <c r="E529" i="2"/>
  <c r="C530" i="2"/>
  <c r="E530" i="2"/>
  <c r="C531" i="2"/>
  <c r="E531" i="2"/>
  <c r="C532" i="2"/>
  <c r="E532" i="2"/>
  <c r="C533" i="2"/>
  <c r="E533" i="2"/>
  <c r="C534" i="2"/>
  <c r="E534" i="2"/>
  <c r="C535" i="2"/>
  <c r="E535" i="2"/>
  <c r="C536" i="2"/>
  <c r="E536" i="2"/>
  <c r="C537" i="2"/>
  <c r="E537" i="2"/>
  <c r="C538" i="2"/>
  <c r="E538" i="2"/>
  <c r="C539" i="2"/>
  <c r="E539" i="2"/>
  <c r="C540" i="2"/>
  <c r="E540" i="2"/>
  <c r="C541" i="2"/>
  <c r="E541" i="2"/>
  <c r="C542" i="2"/>
  <c r="E542" i="2"/>
  <c r="C543" i="2"/>
  <c r="E543" i="2"/>
  <c r="C544" i="2"/>
  <c r="E544" i="2"/>
  <c r="C545" i="2"/>
  <c r="E545" i="2"/>
  <c r="C546" i="2"/>
  <c r="E546" i="2"/>
  <c r="C547" i="2"/>
  <c r="E547" i="2"/>
  <c r="C548" i="2"/>
  <c r="E548" i="2"/>
  <c r="C549" i="2"/>
  <c r="E549" i="2"/>
  <c r="C550" i="2"/>
  <c r="E550" i="2"/>
  <c r="C551" i="2"/>
  <c r="E551" i="2"/>
  <c r="C552" i="2"/>
  <c r="E552" i="2"/>
  <c r="C553" i="2"/>
  <c r="E553" i="2"/>
  <c r="C554" i="2"/>
  <c r="E554" i="2"/>
  <c r="C555" i="2"/>
  <c r="E555" i="2"/>
  <c r="C556" i="2"/>
  <c r="E556" i="2"/>
  <c r="C557" i="2"/>
  <c r="E557" i="2"/>
  <c r="C558" i="2"/>
  <c r="E558" i="2"/>
  <c r="C559" i="2"/>
  <c r="E559" i="2"/>
  <c r="C560" i="2"/>
  <c r="E560" i="2"/>
  <c r="C561" i="2"/>
  <c r="E561" i="2"/>
  <c r="C562" i="2"/>
  <c r="E562" i="2"/>
  <c r="C563" i="2"/>
  <c r="E563" i="2"/>
  <c r="C564" i="2"/>
  <c r="E564" i="2"/>
  <c r="C565" i="2"/>
  <c r="E565" i="2"/>
  <c r="C566" i="2"/>
  <c r="E566" i="2"/>
  <c r="C567" i="2"/>
  <c r="E567" i="2"/>
  <c r="C568" i="2"/>
  <c r="E568" i="2"/>
  <c r="C569" i="2"/>
  <c r="E569" i="2"/>
  <c r="C570" i="2"/>
  <c r="E570" i="2"/>
  <c r="C571" i="2"/>
  <c r="E571" i="2"/>
  <c r="C572" i="2"/>
  <c r="E572" i="2"/>
  <c r="C573" i="2"/>
  <c r="E573" i="2"/>
  <c r="C574" i="2"/>
  <c r="E574" i="2"/>
  <c r="C575" i="2"/>
  <c r="E575" i="2"/>
  <c r="C576" i="2"/>
  <c r="E576" i="2"/>
  <c r="C577" i="2"/>
  <c r="E577" i="2"/>
  <c r="C578" i="2"/>
  <c r="E578" i="2"/>
  <c r="C579" i="2"/>
  <c r="E579" i="2"/>
  <c r="C580" i="2"/>
  <c r="E580" i="2"/>
  <c r="C581" i="2"/>
  <c r="E581" i="2"/>
  <c r="C582" i="2"/>
  <c r="E582" i="2"/>
  <c r="C583" i="2"/>
  <c r="E583" i="2"/>
  <c r="C584" i="2"/>
  <c r="E584" i="2"/>
  <c r="C585" i="2"/>
  <c r="E585" i="2"/>
  <c r="C586" i="2"/>
  <c r="E586" i="2"/>
  <c r="C587" i="2"/>
  <c r="E587" i="2"/>
  <c r="C588" i="2"/>
  <c r="E588" i="2"/>
  <c r="C589" i="2"/>
  <c r="E589" i="2"/>
  <c r="C590" i="2"/>
  <c r="E590" i="2"/>
  <c r="C591" i="2"/>
  <c r="E591" i="2"/>
  <c r="C592" i="2"/>
  <c r="E592" i="2"/>
  <c r="C593" i="2"/>
  <c r="E593" i="2"/>
  <c r="C594" i="2"/>
  <c r="E594" i="2"/>
  <c r="C595" i="2"/>
  <c r="E595" i="2"/>
  <c r="C596" i="2"/>
  <c r="E596" i="2"/>
  <c r="C597" i="2"/>
  <c r="E597" i="2"/>
  <c r="C598" i="2"/>
  <c r="E598" i="2"/>
  <c r="C599" i="2"/>
  <c r="E599" i="2"/>
  <c r="C600" i="2"/>
  <c r="E600" i="2"/>
  <c r="C601" i="2"/>
  <c r="E601" i="2"/>
  <c r="C602" i="2"/>
  <c r="E602" i="2"/>
  <c r="C603" i="2"/>
  <c r="E603" i="2"/>
  <c r="C604" i="2"/>
  <c r="E604" i="2"/>
  <c r="C605" i="2"/>
  <c r="E605" i="2"/>
  <c r="C606" i="2"/>
  <c r="E606" i="2"/>
  <c r="C607" i="2"/>
  <c r="E607" i="2"/>
  <c r="C608" i="2"/>
  <c r="E608" i="2"/>
  <c r="C609" i="2"/>
  <c r="E609" i="2"/>
  <c r="C610" i="2"/>
  <c r="E610" i="2"/>
  <c r="C611" i="2"/>
  <c r="E611" i="2"/>
  <c r="C612" i="2"/>
  <c r="E612" i="2"/>
  <c r="C613" i="2"/>
  <c r="E613" i="2"/>
  <c r="C614" i="2"/>
  <c r="E614" i="2"/>
  <c r="C615" i="2"/>
  <c r="E615" i="2"/>
  <c r="C616" i="2"/>
  <c r="E616" i="2"/>
  <c r="C617" i="2"/>
  <c r="E617" i="2"/>
  <c r="C618" i="2"/>
  <c r="E618" i="2"/>
  <c r="C619" i="2"/>
  <c r="E619" i="2"/>
  <c r="C620" i="2"/>
  <c r="E620" i="2"/>
  <c r="C621" i="2"/>
  <c r="E621" i="2"/>
  <c r="C622" i="2"/>
  <c r="E622" i="2"/>
  <c r="C623" i="2"/>
  <c r="E623" i="2"/>
  <c r="C624" i="2"/>
  <c r="E624" i="2"/>
  <c r="C625" i="2"/>
  <c r="E625" i="2"/>
  <c r="C626" i="2"/>
  <c r="E626" i="2"/>
  <c r="C627" i="2"/>
  <c r="E627" i="2"/>
  <c r="C628" i="2"/>
  <c r="E628" i="2"/>
  <c r="C629" i="2"/>
  <c r="E629" i="2"/>
  <c r="C630" i="2"/>
  <c r="E630" i="2"/>
  <c r="C631" i="2"/>
  <c r="E631" i="2"/>
  <c r="C632" i="2"/>
  <c r="E632" i="2"/>
  <c r="C633" i="2"/>
  <c r="E633" i="2"/>
  <c r="C634" i="2"/>
  <c r="E634" i="2"/>
  <c r="C635" i="2"/>
  <c r="E635" i="2"/>
  <c r="C636" i="2"/>
  <c r="E636" i="2"/>
  <c r="C637" i="2"/>
  <c r="E637" i="2"/>
  <c r="C638" i="2"/>
  <c r="E638" i="2"/>
  <c r="C639" i="2"/>
  <c r="E639" i="2"/>
  <c r="C640" i="2"/>
  <c r="E640" i="2"/>
  <c r="C641" i="2"/>
  <c r="E641" i="2"/>
  <c r="C642" i="2"/>
  <c r="E642" i="2"/>
  <c r="C643" i="2"/>
  <c r="E643" i="2"/>
  <c r="C644" i="2"/>
  <c r="E644" i="2"/>
  <c r="C645" i="2"/>
  <c r="E645" i="2"/>
  <c r="C646" i="2"/>
  <c r="E646" i="2"/>
  <c r="C647" i="2"/>
  <c r="E647" i="2"/>
  <c r="C648" i="2"/>
  <c r="E648" i="2"/>
  <c r="C649" i="2"/>
  <c r="E649" i="2"/>
  <c r="C650" i="2"/>
  <c r="E650" i="2"/>
  <c r="C651" i="2"/>
  <c r="E651" i="2"/>
  <c r="C652" i="2"/>
  <c r="E652" i="2"/>
  <c r="C653" i="2"/>
  <c r="E653" i="2"/>
  <c r="C654" i="2"/>
  <c r="E654" i="2"/>
  <c r="C655" i="2"/>
  <c r="E655" i="2"/>
  <c r="C656" i="2"/>
  <c r="E656" i="2"/>
  <c r="C657" i="2"/>
  <c r="E657" i="2"/>
  <c r="C658" i="2"/>
  <c r="E658" i="2"/>
  <c r="C659" i="2"/>
  <c r="E659" i="2"/>
  <c r="C660" i="2"/>
  <c r="E660" i="2"/>
  <c r="C661" i="2"/>
  <c r="E661" i="2"/>
  <c r="C662" i="2"/>
  <c r="E662" i="2"/>
  <c r="C663" i="2"/>
  <c r="E663" i="2"/>
  <c r="C664" i="2"/>
  <c r="E664" i="2"/>
  <c r="C665" i="2"/>
  <c r="E665" i="2"/>
  <c r="C666" i="2"/>
  <c r="E666" i="2"/>
  <c r="C667" i="2"/>
  <c r="E667" i="2"/>
  <c r="C668" i="2"/>
  <c r="E668" i="2"/>
  <c r="C669" i="2"/>
  <c r="E669" i="2"/>
  <c r="C670" i="2"/>
  <c r="E670" i="2"/>
  <c r="C671" i="2"/>
  <c r="E671" i="2"/>
  <c r="C672" i="2"/>
  <c r="E672" i="2"/>
  <c r="C673" i="2"/>
  <c r="E673" i="2"/>
  <c r="C674" i="2"/>
  <c r="E674" i="2"/>
  <c r="C675" i="2"/>
  <c r="E675" i="2"/>
  <c r="C676" i="2"/>
  <c r="E676" i="2"/>
  <c r="C677" i="2"/>
  <c r="E677" i="2"/>
  <c r="C678" i="2"/>
  <c r="E678" i="2"/>
  <c r="C679" i="2"/>
  <c r="E679" i="2"/>
  <c r="C680" i="2"/>
  <c r="E680" i="2"/>
  <c r="C681" i="2"/>
  <c r="E681" i="2"/>
  <c r="C682" i="2"/>
  <c r="E682" i="2"/>
  <c r="C683" i="2"/>
  <c r="E683" i="2"/>
  <c r="C684" i="2"/>
  <c r="E684" i="2"/>
  <c r="C685" i="2"/>
  <c r="E685" i="2"/>
  <c r="C686" i="2"/>
  <c r="E686" i="2"/>
  <c r="C687" i="2"/>
  <c r="E687" i="2"/>
  <c r="C688" i="2"/>
  <c r="E688" i="2"/>
  <c r="C689" i="2"/>
  <c r="E689" i="2"/>
  <c r="C690" i="2"/>
  <c r="E690" i="2"/>
  <c r="C691" i="2"/>
  <c r="E691" i="2"/>
  <c r="C692" i="2"/>
  <c r="E692" i="2"/>
  <c r="C693" i="2"/>
  <c r="E693" i="2"/>
  <c r="C694" i="2"/>
  <c r="E694" i="2"/>
  <c r="C695" i="2"/>
  <c r="E695" i="2"/>
  <c r="C696" i="2"/>
  <c r="E696" i="2"/>
  <c r="C697" i="2"/>
  <c r="E697" i="2"/>
  <c r="C698" i="2"/>
  <c r="E698" i="2"/>
  <c r="C699" i="2"/>
  <c r="E699" i="2"/>
  <c r="C700" i="2"/>
  <c r="E700" i="2"/>
  <c r="C701" i="2"/>
  <c r="E701" i="2"/>
  <c r="C702" i="2"/>
  <c r="E702" i="2"/>
  <c r="C703" i="2"/>
  <c r="E703" i="2"/>
  <c r="C704" i="2"/>
  <c r="D704" i="2"/>
  <c r="E704" i="2"/>
  <c r="C705" i="2"/>
  <c r="D705" i="2"/>
  <c r="E705" i="2"/>
  <c r="C706" i="2"/>
  <c r="D706" i="2"/>
  <c r="E706" i="2"/>
  <c r="C707" i="2"/>
  <c r="D707" i="2"/>
  <c r="E707" i="2"/>
  <c r="C708" i="2"/>
  <c r="D708" i="2"/>
  <c r="E708" i="2"/>
  <c r="C709" i="2"/>
  <c r="D709" i="2"/>
  <c r="E709" i="2"/>
  <c r="C710" i="2"/>
  <c r="D710" i="2"/>
  <c r="E710" i="2"/>
  <c r="C711" i="2"/>
  <c r="D711" i="2"/>
  <c r="E711" i="2"/>
  <c r="C712" i="2"/>
  <c r="D712" i="2"/>
  <c r="E712" i="2"/>
  <c r="C713" i="2"/>
  <c r="D713" i="2"/>
  <c r="E713" i="2"/>
  <c r="C714" i="2"/>
  <c r="D714" i="2"/>
  <c r="E714" i="2"/>
  <c r="C715" i="2"/>
  <c r="D715" i="2"/>
  <c r="E715" i="2"/>
  <c r="C716" i="2"/>
  <c r="D716" i="2"/>
  <c r="E716" i="2"/>
  <c r="C717" i="2"/>
  <c r="E717" i="2"/>
  <c r="C718" i="2"/>
  <c r="D718" i="2"/>
  <c r="E718" i="2"/>
  <c r="C719" i="2"/>
  <c r="E719" i="2"/>
  <c r="C720" i="2"/>
  <c r="E720" i="2"/>
  <c r="C721" i="2"/>
  <c r="D721" i="2"/>
  <c r="E721" i="2"/>
  <c r="C722" i="2"/>
  <c r="D722" i="2"/>
  <c r="E722" i="2"/>
  <c r="C723" i="2"/>
  <c r="D723" i="2"/>
  <c r="E723" i="2"/>
  <c r="C724" i="2"/>
  <c r="D724" i="2"/>
  <c r="E724" i="2"/>
  <c r="C725" i="2"/>
  <c r="D725" i="2"/>
  <c r="E725" i="2"/>
  <c r="C726" i="2"/>
  <c r="D726" i="2"/>
  <c r="E726" i="2"/>
  <c r="C727" i="2"/>
  <c r="D727" i="2"/>
  <c r="E727" i="2"/>
  <c r="C728" i="2"/>
  <c r="D728" i="2"/>
  <c r="E728" i="2"/>
  <c r="C729" i="2"/>
  <c r="D729" i="2"/>
  <c r="E729" i="2"/>
  <c r="C730" i="2"/>
  <c r="D730" i="2"/>
  <c r="E730" i="2"/>
  <c r="C731" i="2"/>
  <c r="D731" i="2"/>
  <c r="E731" i="2"/>
  <c r="C732" i="2"/>
  <c r="D732" i="2"/>
  <c r="E732" i="2"/>
  <c r="C733" i="2"/>
  <c r="D733" i="2"/>
  <c r="E733" i="2"/>
  <c r="C734" i="2"/>
  <c r="D734" i="2"/>
  <c r="E734" i="2"/>
  <c r="C735" i="2"/>
  <c r="E735" i="2"/>
  <c r="C736" i="2"/>
  <c r="E736" i="2"/>
  <c r="C737" i="2"/>
  <c r="D737" i="2"/>
  <c r="E737" i="2"/>
  <c r="C738" i="2"/>
  <c r="D738" i="2"/>
  <c r="E738" i="2"/>
  <c r="C739" i="2"/>
  <c r="E739" i="2"/>
  <c r="C740" i="2"/>
  <c r="E740" i="2"/>
  <c r="C741" i="2"/>
  <c r="E741" i="2"/>
  <c r="C742" i="2"/>
  <c r="E742" i="2"/>
  <c r="C743" i="2"/>
  <c r="E743" i="2"/>
  <c r="C744" i="2"/>
  <c r="E744" i="2"/>
  <c r="C745" i="2"/>
  <c r="E745" i="2"/>
  <c r="C746" i="2"/>
  <c r="E746" i="2"/>
  <c r="C747" i="2"/>
  <c r="E747" i="2"/>
  <c r="C748" i="2"/>
  <c r="E748" i="2"/>
  <c r="C749" i="2"/>
  <c r="E749" i="2"/>
  <c r="C750" i="2"/>
  <c r="E750" i="2"/>
  <c r="C751" i="2"/>
  <c r="E751" i="2"/>
  <c r="C752" i="2"/>
  <c r="E752" i="2"/>
  <c r="C753" i="2"/>
  <c r="E753" i="2"/>
  <c r="C754" i="2"/>
  <c r="E754" i="2"/>
  <c r="C755" i="2"/>
  <c r="E755" i="2"/>
  <c r="C756" i="2"/>
  <c r="E756" i="2"/>
  <c r="C757" i="2"/>
  <c r="E757" i="2"/>
  <c r="C758" i="2"/>
  <c r="E758" i="2"/>
  <c r="C759" i="2"/>
  <c r="E759" i="2"/>
  <c r="C760" i="2"/>
  <c r="E760" i="2"/>
  <c r="C761" i="2"/>
  <c r="E761" i="2"/>
  <c r="C762" i="2"/>
  <c r="E762" i="2"/>
  <c r="C763" i="2"/>
  <c r="E763" i="2"/>
  <c r="C764" i="2"/>
  <c r="E764" i="2"/>
  <c r="C765" i="2"/>
  <c r="E765" i="2"/>
  <c r="C766" i="2"/>
  <c r="E766" i="2"/>
  <c r="C767" i="2"/>
  <c r="E767" i="2"/>
  <c r="C768" i="2"/>
  <c r="E768" i="2"/>
  <c r="C769" i="2"/>
  <c r="E769" i="2"/>
  <c r="C770" i="2"/>
  <c r="E770" i="2"/>
  <c r="C771" i="2"/>
  <c r="E771" i="2"/>
  <c r="C772" i="2"/>
  <c r="E772" i="2"/>
  <c r="C773" i="2"/>
  <c r="E773" i="2"/>
  <c r="C774" i="2"/>
  <c r="E774" i="2"/>
  <c r="C775" i="2"/>
  <c r="E775" i="2"/>
  <c r="C776" i="2"/>
  <c r="E776" i="2"/>
  <c r="C777" i="2"/>
  <c r="E777" i="2"/>
  <c r="C778" i="2"/>
  <c r="E778" i="2"/>
  <c r="C779" i="2"/>
  <c r="E779" i="2"/>
  <c r="C780" i="2"/>
  <c r="E780" i="2"/>
  <c r="C781" i="2"/>
  <c r="E781" i="2"/>
  <c r="C782" i="2"/>
  <c r="E782" i="2"/>
  <c r="C783" i="2"/>
  <c r="E783" i="2"/>
  <c r="C784" i="2"/>
  <c r="E784" i="2"/>
  <c r="C785" i="2"/>
  <c r="E785" i="2"/>
  <c r="C786" i="2"/>
  <c r="D786" i="2"/>
  <c r="E786" i="2"/>
  <c r="C787" i="2"/>
  <c r="D787" i="2"/>
  <c r="E787" i="2"/>
  <c r="C788" i="2"/>
  <c r="E788" i="2"/>
  <c r="C789" i="2"/>
  <c r="E789" i="2"/>
  <c r="C790" i="2"/>
  <c r="E790" i="2"/>
  <c r="C791" i="2"/>
  <c r="E791" i="2"/>
  <c r="C792" i="2"/>
  <c r="E792" i="2"/>
  <c r="C793" i="2"/>
  <c r="E793" i="2"/>
  <c r="C794" i="2"/>
  <c r="E794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D197" i="1"/>
  <c r="E197" i="1"/>
  <c r="D198" i="1"/>
  <c r="E198" i="1"/>
  <c r="D199" i="1"/>
  <c r="E199" i="1"/>
  <c r="D200" i="1"/>
  <c r="D1090" i="2" s="1"/>
  <c r="E200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83" i="1"/>
  <c r="E183" i="1"/>
  <c r="D184" i="1"/>
  <c r="D912" i="2" s="1"/>
  <c r="E184" i="1"/>
  <c r="D185" i="1"/>
  <c r="E185" i="1"/>
  <c r="D186" i="1"/>
  <c r="E186" i="1"/>
  <c r="D182" i="1"/>
  <c r="D1064" i="2" s="1"/>
  <c r="E182" i="1"/>
  <c r="D181" i="1"/>
  <c r="E181" i="1"/>
  <c r="E4" i="1"/>
  <c r="E5" i="1"/>
  <c r="E6" i="1"/>
  <c r="E7" i="1"/>
  <c r="E8" i="1"/>
  <c r="E10" i="1"/>
  <c r="E11" i="1"/>
  <c r="E12" i="1"/>
  <c r="E13" i="1"/>
  <c r="E15" i="1"/>
  <c r="E16" i="1"/>
  <c r="E17" i="1"/>
  <c r="E19" i="1"/>
  <c r="E20" i="1"/>
  <c r="E21" i="1"/>
  <c r="E22" i="1"/>
  <c r="E24" i="1"/>
  <c r="E25" i="1"/>
  <c r="E27" i="1"/>
  <c r="E28" i="1"/>
  <c r="E29" i="1"/>
  <c r="E32" i="1"/>
  <c r="E33" i="1"/>
  <c r="E35" i="1"/>
  <c r="E36" i="1"/>
  <c r="E37" i="1"/>
  <c r="E38" i="1"/>
  <c r="E39" i="1"/>
  <c r="E41" i="1"/>
  <c r="E45" i="1"/>
  <c r="E46" i="1"/>
  <c r="E48" i="1"/>
  <c r="E50" i="1"/>
  <c r="E51" i="1"/>
  <c r="E54" i="1"/>
  <c r="E56" i="1"/>
  <c r="E58" i="1"/>
  <c r="E60" i="1"/>
  <c r="E61" i="1"/>
  <c r="E62" i="1"/>
  <c r="E64" i="1"/>
  <c r="E65" i="1"/>
  <c r="E66" i="1"/>
  <c r="E67" i="1"/>
  <c r="E68" i="1"/>
  <c r="E69" i="1"/>
  <c r="E71" i="1"/>
  <c r="E72" i="1"/>
  <c r="E74" i="1"/>
  <c r="E76" i="1"/>
  <c r="E77" i="1"/>
  <c r="E78" i="1"/>
  <c r="E79" i="1"/>
  <c r="E80" i="1"/>
  <c r="E82" i="1"/>
  <c r="E84" i="1"/>
  <c r="E86" i="1"/>
  <c r="E87" i="1"/>
  <c r="E89" i="1"/>
  <c r="E91" i="1"/>
  <c r="E92" i="1"/>
  <c r="E93" i="1"/>
  <c r="E94" i="1"/>
  <c r="E96" i="1"/>
  <c r="E97" i="1"/>
  <c r="E98" i="1"/>
  <c r="E99" i="1"/>
  <c r="E101" i="1"/>
  <c r="E104" i="1"/>
  <c r="E105" i="1"/>
  <c r="E107" i="1"/>
  <c r="E108" i="1"/>
  <c r="E109" i="1"/>
  <c r="E110" i="1"/>
  <c r="E111" i="1"/>
  <c r="E112" i="1"/>
  <c r="E113" i="1"/>
  <c r="E114" i="1"/>
  <c r="E115" i="1"/>
  <c r="E116" i="1"/>
  <c r="E117" i="1"/>
  <c r="E119" i="1"/>
  <c r="E120" i="1"/>
  <c r="E121" i="1"/>
  <c r="E122" i="1"/>
  <c r="E123" i="1"/>
  <c r="E124" i="1"/>
  <c r="E127" i="1"/>
  <c r="E128" i="1"/>
  <c r="E129" i="1"/>
  <c r="E130" i="1"/>
  <c r="E131" i="1"/>
  <c r="E132" i="1"/>
  <c r="E133" i="1"/>
  <c r="E134" i="1"/>
  <c r="D4" i="1"/>
  <c r="D5" i="1"/>
  <c r="D6" i="1"/>
  <c r="D7" i="1"/>
  <c r="D8" i="1"/>
  <c r="D9" i="1"/>
  <c r="D10" i="1"/>
  <c r="D11" i="1"/>
  <c r="D919" i="2" s="1"/>
  <c r="D12" i="1"/>
  <c r="D605" i="2" s="1"/>
  <c r="D13" i="1"/>
  <c r="D688" i="2" s="1"/>
  <c r="D14" i="1"/>
  <c r="D15" i="1"/>
  <c r="D16" i="1"/>
  <c r="D17" i="1"/>
  <c r="D18" i="1"/>
  <c r="D932" i="2" s="1"/>
  <c r="D19" i="1"/>
  <c r="D20" i="1"/>
  <c r="D21" i="1"/>
  <c r="D630" i="2" s="1"/>
  <c r="D22" i="1"/>
  <c r="D1096" i="2" s="1"/>
  <c r="D23" i="1"/>
  <c r="D24" i="1"/>
  <c r="D25" i="1"/>
  <c r="D26" i="1"/>
  <c r="D27" i="1"/>
  <c r="D28" i="1"/>
  <c r="D898" i="2" s="1"/>
  <c r="D29" i="1"/>
  <c r="D30" i="1"/>
  <c r="D31" i="1"/>
  <c r="D852" i="2" s="1"/>
  <c r="D32" i="1"/>
  <c r="D33" i="1"/>
  <c r="D34" i="1"/>
  <c r="D35" i="1"/>
  <c r="D923" i="2" s="1"/>
  <c r="D36" i="1"/>
  <c r="D37" i="1"/>
  <c r="D38" i="1"/>
  <c r="D39" i="1"/>
  <c r="D40" i="1"/>
  <c r="D41" i="1"/>
  <c r="D42" i="1"/>
  <c r="D788" i="2" s="1"/>
  <c r="D43" i="1"/>
  <c r="E43" i="1" s="1"/>
  <c r="D44" i="1"/>
  <c r="D865" i="2" s="1"/>
  <c r="D45" i="1"/>
  <c r="D46" i="1"/>
  <c r="D47" i="1"/>
  <c r="D48" i="1"/>
  <c r="D49" i="1"/>
  <c r="D1049" i="2" s="1"/>
  <c r="D50" i="1"/>
  <c r="D51" i="1"/>
  <c r="D699" i="2" s="1"/>
  <c r="D52" i="1"/>
  <c r="D1074" i="2" s="1"/>
  <c r="D53" i="1"/>
  <c r="D54" i="1"/>
  <c r="D55" i="1"/>
  <c r="E55" i="1" s="1"/>
  <c r="D56" i="1"/>
  <c r="D667" i="2" s="1"/>
  <c r="D57" i="1"/>
  <c r="E57" i="1" s="1"/>
  <c r="D58" i="1"/>
  <c r="D908" i="2" s="1"/>
  <c r="D59" i="1"/>
  <c r="E59" i="1" s="1"/>
  <c r="D60" i="1"/>
  <c r="D61" i="1"/>
  <c r="D62" i="1"/>
  <c r="D1009" i="2" s="1"/>
  <c r="D63" i="1"/>
  <c r="D64" i="1"/>
  <c r="D65" i="1"/>
  <c r="D971" i="2" s="1"/>
  <c r="D66" i="1"/>
  <c r="D67" i="1"/>
  <c r="D68" i="1"/>
  <c r="D851" i="2" s="1"/>
  <c r="D69" i="1"/>
  <c r="D70" i="1"/>
  <c r="E70" i="1" s="1"/>
  <c r="D71" i="1"/>
  <c r="D72" i="1"/>
  <c r="D920" i="2" s="1"/>
  <c r="D73" i="1"/>
  <c r="D74" i="1"/>
  <c r="D75" i="1"/>
  <c r="D76" i="1"/>
  <c r="D77" i="1"/>
  <c r="D578" i="2" s="1"/>
  <c r="D78" i="1"/>
  <c r="D79" i="1"/>
  <c r="D80" i="1"/>
  <c r="D1041" i="2" s="1"/>
  <c r="D81" i="1"/>
  <c r="D82" i="1"/>
  <c r="D83" i="1"/>
  <c r="D1076" i="2" s="1"/>
  <c r="D84" i="1"/>
  <c r="D1032" i="2" s="1"/>
  <c r="D85" i="1"/>
  <c r="D86" i="1"/>
  <c r="D87" i="1"/>
  <c r="D88" i="1"/>
  <c r="D89" i="1"/>
  <c r="D681" i="2" s="1"/>
  <c r="D90" i="1"/>
  <c r="D91" i="1"/>
  <c r="D92" i="1"/>
  <c r="D1075" i="2" s="1"/>
  <c r="D93" i="1"/>
  <c r="D94" i="1"/>
  <c r="D95" i="1"/>
  <c r="D96" i="1"/>
  <c r="D1016" i="2" s="1"/>
  <c r="D97" i="1"/>
  <c r="D98" i="1"/>
  <c r="D99" i="1"/>
  <c r="D100" i="1"/>
  <c r="D101" i="1"/>
  <c r="D102" i="1"/>
  <c r="D103" i="1"/>
  <c r="D104" i="1"/>
  <c r="D105" i="1"/>
  <c r="D106" i="1"/>
  <c r="D107" i="1"/>
  <c r="D583" i="2" s="1"/>
  <c r="D108" i="1"/>
  <c r="D109" i="1"/>
  <c r="D110" i="1"/>
  <c r="D111" i="1"/>
  <c r="D866" i="2" s="1"/>
  <c r="D112" i="1"/>
  <c r="D113" i="1"/>
  <c r="D114" i="1"/>
  <c r="D115" i="1"/>
  <c r="D779" i="2" s="1"/>
  <c r="D116" i="1"/>
  <c r="D117" i="1"/>
  <c r="D1050" i="2" s="1"/>
  <c r="D118" i="1"/>
  <c r="D119" i="1"/>
  <c r="D1022" i="2" s="1"/>
  <c r="D120" i="1"/>
  <c r="D121" i="1"/>
  <c r="D122" i="1"/>
  <c r="D123" i="1"/>
  <c r="D124" i="1"/>
  <c r="D125" i="1"/>
  <c r="D126" i="1"/>
  <c r="D796" i="2" s="1"/>
  <c r="D127" i="1"/>
  <c r="D128" i="1"/>
  <c r="D129" i="1"/>
  <c r="D130" i="1"/>
  <c r="D131" i="1"/>
  <c r="D132" i="1"/>
  <c r="D133" i="1"/>
  <c r="D1097" i="2" s="1"/>
  <c r="D134" i="1"/>
  <c r="D1024" i="2" s="1"/>
  <c r="D135" i="1"/>
  <c r="D136" i="1"/>
  <c r="D1063" i="2" s="1"/>
  <c r="D137" i="1"/>
  <c r="E137" i="1" s="1"/>
  <c r="D138" i="1"/>
  <c r="D878" i="2" s="1"/>
  <c r="D139" i="1"/>
  <c r="D140" i="1"/>
  <c r="D1073" i="2" s="1"/>
  <c r="D141" i="1"/>
  <c r="E141" i="1" s="1"/>
  <c r="D142" i="1"/>
  <c r="D143" i="1"/>
  <c r="D144" i="1"/>
  <c r="D145" i="1"/>
  <c r="D785" i="2" s="1"/>
  <c r="D146" i="1"/>
  <c r="E146" i="1" s="1"/>
  <c r="D147" i="1"/>
  <c r="D1089" i="2" s="1"/>
  <c r="D148" i="1"/>
  <c r="D1021" i="2" s="1"/>
  <c r="D149" i="1"/>
  <c r="D150" i="1"/>
  <c r="D151" i="1"/>
  <c r="D152" i="1"/>
  <c r="D153" i="1"/>
  <c r="D1122" i="2" s="1"/>
  <c r="D154" i="1"/>
  <c r="D155" i="1"/>
  <c r="D156" i="1"/>
  <c r="D157" i="1"/>
  <c r="D840" i="2" s="1"/>
  <c r="D158" i="1"/>
  <c r="D159" i="1"/>
  <c r="D160" i="1"/>
  <c r="D161" i="1"/>
  <c r="D162" i="1"/>
  <c r="D163" i="1"/>
  <c r="D164" i="1"/>
  <c r="D977" i="2" s="1"/>
  <c r="D165" i="1"/>
  <c r="D166" i="1"/>
  <c r="D942" i="2" s="1"/>
  <c r="D167" i="1"/>
  <c r="D168" i="1"/>
  <c r="D1023" i="2" s="1"/>
  <c r="D169" i="1"/>
  <c r="D170" i="1"/>
  <c r="D171" i="1"/>
  <c r="D172" i="1"/>
  <c r="D173" i="1"/>
  <c r="D174" i="1"/>
  <c r="E174" i="1" s="1"/>
  <c r="D175" i="1"/>
  <c r="D844" i="2" s="1"/>
  <c r="D176" i="1"/>
  <c r="E176" i="1" s="1"/>
  <c r="D177" i="1"/>
  <c r="D178" i="1"/>
  <c r="D179" i="1"/>
  <c r="E179" i="1" s="1"/>
  <c r="D180" i="1"/>
  <c r="D965" i="2" s="1"/>
  <c r="D3" i="1"/>
  <c r="D981" i="2" s="1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C36" i="2"/>
  <c r="D36" i="2"/>
  <c r="E36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B44" i="2"/>
  <c r="C44" i="2"/>
  <c r="D44" i="2"/>
  <c r="E44" i="2"/>
  <c r="B45" i="2"/>
  <c r="C45" i="2"/>
  <c r="D45" i="2"/>
  <c r="E45" i="2"/>
  <c r="B46" i="2"/>
  <c r="C46" i="2"/>
  <c r="D46" i="2"/>
  <c r="E46" i="2"/>
  <c r="B47" i="2"/>
  <c r="C47" i="2"/>
  <c r="D47" i="2"/>
  <c r="E47" i="2"/>
  <c r="B48" i="2"/>
  <c r="C48" i="2"/>
  <c r="D48" i="2"/>
  <c r="E48" i="2"/>
  <c r="B49" i="2"/>
  <c r="C49" i="2"/>
  <c r="D49" i="2"/>
  <c r="E49" i="2"/>
  <c r="B50" i="2"/>
  <c r="C50" i="2"/>
  <c r="D50" i="2"/>
  <c r="E50" i="2"/>
  <c r="B51" i="2"/>
  <c r="C51" i="2"/>
  <c r="E51" i="2"/>
  <c r="B52" i="2"/>
  <c r="C52" i="2"/>
  <c r="E52" i="2"/>
  <c r="B53" i="2"/>
  <c r="C53" i="2"/>
  <c r="E53" i="2"/>
  <c r="B54" i="2"/>
  <c r="C54" i="2"/>
  <c r="E54" i="2"/>
  <c r="B55" i="2"/>
  <c r="C55" i="2"/>
  <c r="E55" i="2"/>
  <c r="B56" i="2"/>
  <c r="C56" i="2"/>
  <c r="E56" i="2"/>
  <c r="B57" i="2"/>
  <c r="C57" i="2"/>
  <c r="E57" i="2"/>
  <c r="B58" i="2"/>
  <c r="C58" i="2"/>
  <c r="E58" i="2"/>
  <c r="B59" i="2"/>
  <c r="C59" i="2"/>
  <c r="E59" i="2"/>
  <c r="B60" i="2"/>
  <c r="C60" i="2"/>
  <c r="E60" i="2"/>
  <c r="B61" i="2"/>
  <c r="C61" i="2"/>
  <c r="E61" i="2"/>
  <c r="B62" i="2"/>
  <c r="C62" i="2"/>
  <c r="E62" i="2"/>
  <c r="B63" i="2"/>
  <c r="C63" i="2"/>
  <c r="E63" i="2"/>
  <c r="B64" i="2"/>
  <c r="C64" i="2"/>
  <c r="E64" i="2"/>
  <c r="B65" i="2"/>
  <c r="C65" i="2"/>
  <c r="E65" i="2"/>
  <c r="B66" i="2"/>
  <c r="C66" i="2"/>
  <c r="E66" i="2"/>
  <c r="B67" i="2"/>
  <c r="C67" i="2"/>
  <c r="E67" i="2"/>
  <c r="B68" i="2"/>
  <c r="C68" i="2"/>
  <c r="E68" i="2"/>
  <c r="B69" i="2"/>
  <c r="C69" i="2"/>
  <c r="E69" i="2"/>
  <c r="B70" i="2"/>
  <c r="C70" i="2"/>
  <c r="E70" i="2"/>
  <c r="B71" i="2"/>
  <c r="C71" i="2"/>
  <c r="D71" i="2"/>
  <c r="E71" i="2"/>
  <c r="B72" i="2"/>
  <c r="C72" i="2"/>
  <c r="D72" i="2"/>
  <c r="E72" i="2"/>
  <c r="B73" i="2"/>
  <c r="C73" i="2"/>
  <c r="D73" i="2"/>
  <c r="E73" i="2"/>
  <c r="B74" i="2"/>
  <c r="C74" i="2"/>
  <c r="D74" i="2"/>
  <c r="E74" i="2"/>
  <c r="B75" i="2"/>
  <c r="C75" i="2"/>
  <c r="D75" i="2"/>
  <c r="E75" i="2"/>
  <c r="B76" i="2"/>
  <c r="C76" i="2"/>
  <c r="D76" i="2"/>
  <c r="E76" i="2"/>
  <c r="B77" i="2"/>
  <c r="C77" i="2"/>
  <c r="D77" i="2"/>
  <c r="E77" i="2"/>
  <c r="B78" i="2"/>
  <c r="C78" i="2"/>
  <c r="D78" i="2"/>
  <c r="E78" i="2"/>
  <c r="B79" i="2"/>
  <c r="C79" i="2"/>
  <c r="D79" i="2"/>
  <c r="E79" i="2"/>
  <c r="B80" i="2"/>
  <c r="C80" i="2"/>
  <c r="D80" i="2"/>
  <c r="E80" i="2"/>
  <c r="B81" i="2"/>
  <c r="C81" i="2"/>
  <c r="D81" i="2"/>
  <c r="E81" i="2"/>
  <c r="B82" i="2"/>
  <c r="C82" i="2"/>
  <c r="D82" i="2"/>
  <c r="E82" i="2"/>
  <c r="B83" i="2"/>
  <c r="C83" i="2"/>
  <c r="D83" i="2"/>
  <c r="E83" i="2"/>
  <c r="B84" i="2"/>
  <c r="C84" i="2"/>
  <c r="D84" i="2"/>
  <c r="E84" i="2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D88" i="2"/>
  <c r="E88" i="2"/>
  <c r="B89" i="2"/>
  <c r="C89" i="2"/>
  <c r="D89" i="2"/>
  <c r="E89" i="2"/>
  <c r="B90" i="2"/>
  <c r="C90" i="2"/>
  <c r="D90" i="2"/>
  <c r="E90" i="2"/>
  <c r="B91" i="2"/>
  <c r="C91" i="2"/>
  <c r="D91" i="2"/>
  <c r="E91" i="2"/>
  <c r="B92" i="2"/>
  <c r="C92" i="2"/>
  <c r="D92" i="2"/>
  <c r="E92" i="2"/>
  <c r="B93" i="2"/>
  <c r="C93" i="2"/>
  <c r="D93" i="2"/>
  <c r="E93" i="2"/>
  <c r="B94" i="2"/>
  <c r="C94" i="2"/>
  <c r="D94" i="2"/>
  <c r="E94" i="2"/>
  <c r="B95" i="2"/>
  <c r="C95" i="2"/>
  <c r="D95" i="2"/>
  <c r="E95" i="2"/>
  <c r="B96" i="2"/>
  <c r="C96" i="2"/>
  <c r="D96" i="2"/>
  <c r="E96" i="2"/>
  <c r="B97" i="2"/>
  <c r="C97" i="2"/>
  <c r="D97" i="2"/>
  <c r="E97" i="2"/>
  <c r="B98" i="2"/>
  <c r="C98" i="2"/>
  <c r="D98" i="2"/>
  <c r="E98" i="2"/>
  <c r="B99" i="2"/>
  <c r="C99" i="2"/>
  <c r="D99" i="2"/>
  <c r="E99" i="2"/>
  <c r="B100" i="2"/>
  <c r="C100" i="2"/>
  <c r="D100" i="2"/>
  <c r="E100" i="2"/>
  <c r="B101" i="2"/>
  <c r="C101" i="2"/>
  <c r="D101" i="2"/>
  <c r="E101" i="2"/>
  <c r="B102" i="2"/>
  <c r="C102" i="2"/>
  <c r="D102" i="2"/>
  <c r="E102" i="2"/>
  <c r="B103" i="2"/>
  <c r="C103" i="2"/>
  <c r="D103" i="2"/>
  <c r="E103" i="2"/>
  <c r="B104" i="2"/>
  <c r="C104" i="2"/>
  <c r="D104" i="2"/>
  <c r="E104" i="2"/>
  <c r="B105" i="2"/>
  <c r="C105" i="2"/>
  <c r="D105" i="2"/>
  <c r="E105" i="2"/>
  <c r="B106" i="2"/>
  <c r="C106" i="2"/>
  <c r="D106" i="2"/>
  <c r="E106" i="2"/>
  <c r="B107" i="2"/>
  <c r="C107" i="2"/>
  <c r="D107" i="2"/>
  <c r="E107" i="2"/>
  <c r="B108" i="2"/>
  <c r="C108" i="2"/>
  <c r="D108" i="2"/>
  <c r="E108" i="2"/>
  <c r="B109" i="2"/>
  <c r="C109" i="2"/>
  <c r="D109" i="2"/>
  <c r="E109" i="2"/>
  <c r="B110" i="2"/>
  <c r="C110" i="2"/>
  <c r="D110" i="2"/>
  <c r="E110" i="2"/>
  <c r="B111" i="2"/>
  <c r="C111" i="2"/>
  <c r="D111" i="2"/>
  <c r="E111" i="2"/>
  <c r="B112" i="2"/>
  <c r="C112" i="2"/>
  <c r="D112" i="2"/>
  <c r="E112" i="2"/>
  <c r="B113" i="2"/>
  <c r="C113" i="2"/>
  <c r="D113" i="2"/>
  <c r="E113" i="2"/>
  <c r="B114" i="2"/>
  <c r="C114" i="2"/>
  <c r="D114" i="2"/>
  <c r="E114" i="2"/>
  <c r="B115" i="2"/>
  <c r="C115" i="2"/>
  <c r="D115" i="2"/>
  <c r="E115" i="2"/>
  <c r="B116" i="2"/>
  <c r="C116" i="2"/>
  <c r="D116" i="2"/>
  <c r="E116" i="2"/>
  <c r="B117" i="2"/>
  <c r="C117" i="2"/>
  <c r="D117" i="2"/>
  <c r="E117" i="2"/>
  <c r="B118" i="2"/>
  <c r="C118" i="2"/>
  <c r="D118" i="2"/>
  <c r="E118" i="2"/>
  <c r="B119" i="2"/>
  <c r="C119" i="2"/>
  <c r="D119" i="2"/>
  <c r="E119" i="2"/>
  <c r="B120" i="2"/>
  <c r="C120" i="2"/>
  <c r="D120" i="2"/>
  <c r="E120" i="2"/>
  <c r="B121" i="2"/>
  <c r="C121" i="2"/>
  <c r="D121" i="2"/>
  <c r="E121" i="2"/>
  <c r="B122" i="2"/>
  <c r="C122" i="2"/>
  <c r="D122" i="2"/>
  <c r="E122" i="2"/>
  <c r="B123" i="2"/>
  <c r="C123" i="2"/>
  <c r="D123" i="2"/>
  <c r="E123" i="2"/>
  <c r="B124" i="2"/>
  <c r="C124" i="2"/>
  <c r="D124" i="2"/>
  <c r="E124" i="2"/>
  <c r="B125" i="2"/>
  <c r="C125" i="2"/>
  <c r="D125" i="2"/>
  <c r="E125" i="2"/>
  <c r="B126" i="2"/>
  <c r="C126" i="2"/>
  <c r="D126" i="2"/>
  <c r="E126" i="2"/>
  <c r="B127" i="2"/>
  <c r="C127" i="2"/>
  <c r="D127" i="2"/>
  <c r="E127" i="2"/>
  <c r="B128" i="2"/>
  <c r="C128" i="2"/>
  <c r="D128" i="2"/>
  <c r="E128" i="2"/>
  <c r="B129" i="2"/>
  <c r="C129" i="2"/>
  <c r="D129" i="2"/>
  <c r="E129" i="2"/>
  <c r="B130" i="2"/>
  <c r="C130" i="2"/>
  <c r="D130" i="2"/>
  <c r="E130" i="2"/>
  <c r="B131" i="2"/>
  <c r="C131" i="2"/>
  <c r="D131" i="2"/>
  <c r="E131" i="2"/>
  <c r="B132" i="2"/>
  <c r="C132" i="2"/>
  <c r="D132" i="2"/>
  <c r="E132" i="2"/>
  <c r="B133" i="2"/>
  <c r="C133" i="2"/>
  <c r="D133" i="2"/>
  <c r="E133" i="2"/>
  <c r="B134" i="2"/>
  <c r="C134" i="2"/>
  <c r="D134" i="2"/>
  <c r="E134" i="2"/>
  <c r="B135" i="2"/>
  <c r="C135" i="2"/>
  <c r="D135" i="2"/>
  <c r="E135" i="2"/>
  <c r="B136" i="2"/>
  <c r="C136" i="2"/>
  <c r="D136" i="2"/>
  <c r="E136" i="2"/>
  <c r="B137" i="2"/>
  <c r="C137" i="2"/>
  <c r="D137" i="2"/>
  <c r="E137" i="2"/>
  <c r="B138" i="2"/>
  <c r="C138" i="2"/>
  <c r="D138" i="2"/>
  <c r="E138" i="2"/>
  <c r="B139" i="2"/>
  <c r="C139" i="2"/>
  <c r="D139" i="2"/>
  <c r="E139" i="2"/>
  <c r="B140" i="2"/>
  <c r="C140" i="2"/>
  <c r="D140" i="2"/>
  <c r="E140" i="2"/>
  <c r="B141" i="2"/>
  <c r="C141" i="2"/>
  <c r="D141" i="2"/>
  <c r="E141" i="2"/>
  <c r="B142" i="2"/>
  <c r="C142" i="2"/>
  <c r="D142" i="2"/>
  <c r="E142" i="2"/>
  <c r="B143" i="2"/>
  <c r="C143" i="2"/>
  <c r="D143" i="2"/>
  <c r="E143" i="2"/>
  <c r="B144" i="2"/>
  <c r="C144" i="2"/>
  <c r="D144" i="2"/>
  <c r="E144" i="2"/>
  <c r="B145" i="2"/>
  <c r="C145" i="2"/>
  <c r="D145" i="2"/>
  <c r="E145" i="2"/>
  <c r="B146" i="2"/>
  <c r="C146" i="2"/>
  <c r="D146" i="2"/>
  <c r="E146" i="2"/>
  <c r="B147" i="2"/>
  <c r="C147" i="2"/>
  <c r="D147" i="2"/>
  <c r="E147" i="2"/>
  <c r="B148" i="2"/>
  <c r="C148" i="2"/>
  <c r="D148" i="2"/>
  <c r="E148" i="2"/>
  <c r="B149" i="2"/>
  <c r="C149" i="2"/>
  <c r="D149" i="2"/>
  <c r="E149" i="2"/>
  <c r="B150" i="2"/>
  <c r="C150" i="2"/>
  <c r="D150" i="2"/>
  <c r="E150" i="2"/>
  <c r="B151" i="2"/>
  <c r="C151" i="2"/>
  <c r="D151" i="2"/>
  <c r="E151" i="2"/>
  <c r="B152" i="2"/>
  <c r="C152" i="2"/>
  <c r="D152" i="2"/>
  <c r="E152" i="2"/>
  <c r="B153" i="2"/>
  <c r="C153" i="2"/>
  <c r="D153" i="2"/>
  <c r="E153" i="2"/>
  <c r="B154" i="2"/>
  <c r="C154" i="2"/>
  <c r="D154" i="2"/>
  <c r="E154" i="2"/>
  <c r="B155" i="2"/>
  <c r="C155" i="2"/>
  <c r="D155" i="2"/>
  <c r="E155" i="2"/>
  <c r="B156" i="2"/>
  <c r="C156" i="2"/>
  <c r="D156" i="2"/>
  <c r="E156" i="2"/>
  <c r="B157" i="2"/>
  <c r="C157" i="2"/>
  <c r="D157" i="2"/>
  <c r="E157" i="2"/>
  <c r="B158" i="2"/>
  <c r="C158" i="2"/>
  <c r="D158" i="2"/>
  <c r="E158" i="2"/>
  <c r="B159" i="2"/>
  <c r="C159" i="2"/>
  <c r="D159" i="2"/>
  <c r="E159" i="2"/>
  <c r="B160" i="2"/>
  <c r="C160" i="2"/>
  <c r="D160" i="2"/>
  <c r="E160" i="2"/>
  <c r="B161" i="2"/>
  <c r="C161" i="2"/>
  <c r="D161" i="2"/>
  <c r="E161" i="2"/>
  <c r="B162" i="2"/>
  <c r="C162" i="2"/>
  <c r="D162" i="2"/>
  <c r="E162" i="2"/>
  <c r="B163" i="2"/>
  <c r="C163" i="2"/>
  <c r="D163" i="2"/>
  <c r="E163" i="2"/>
  <c r="B164" i="2"/>
  <c r="C164" i="2"/>
  <c r="D164" i="2"/>
  <c r="E164" i="2"/>
  <c r="B165" i="2"/>
  <c r="C165" i="2"/>
  <c r="D165" i="2"/>
  <c r="E165" i="2"/>
  <c r="B166" i="2"/>
  <c r="C166" i="2"/>
  <c r="D166" i="2"/>
  <c r="E166" i="2"/>
  <c r="B167" i="2"/>
  <c r="C167" i="2"/>
  <c r="D167" i="2"/>
  <c r="E167" i="2"/>
  <c r="B168" i="2"/>
  <c r="C168" i="2"/>
  <c r="D168" i="2"/>
  <c r="E168" i="2"/>
  <c r="B169" i="2"/>
  <c r="C169" i="2"/>
  <c r="D169" i="2"/>
  <c r="E169" i="2"/>
  <c r="B170" i="2"/>
  <c r="C170" i="2"/>
  <c r="D170" i="2"/>
  <c r="E170" i="2"/>
  <c r="B171" i="2"/>
  <c r="C171" i="2"/>
  <c r="D171" i="2"/>
  <c r="E171" i="2"/>
  <c r="B172" i="2"/>
  <c r="C172" i="2"/>
  <c r="D172" i="2"/>
  <c r="E172" i="2"/>
  <c r="B173" i="2"/>
  <c r="C173" i="2"/>
  <c r="D173" i="2"/>
  <c r="E173" i="2"/>
  <c r="B174" i="2"/>
  <c r="C174" i="2"/>
  <c r="D174" i="2"/>
  <c r="E174" i="2"/>
  <c r="B175" i="2"/>
  <c r="C175" i="2"/>
  <c r="D175" i="2"/>
  <c r="E175" i="2"/>
  <c r="B176" i="2"/>
  <c r="C176" i="2"/>
  <c r="D176" i="2"/>
  <c r="E176" i="2"/>
  <c r="B177" i="2"/>
  <c r="C177" i="2"/>
  <c r="D177" i="2"/>
  <c r="E177" i="2"/>
  <c r="B178" i="2"/>
  <c r="C178" i="2"/>
  <c r="D178" i="2"/>
  <c r="E178" i="2"/>
  <c r="B179" i="2"/>
  <c r="C179" i="2"/>
  <c r="D179" i="2"/>
  <c r="E179" i="2"/>
  <c r="B180" i="2"/>
  <c r="C180" i="2"/>
  <c r="D180" i="2"/>
  <c r="E180" i="2"/>
  <c r="B181" i="2"/>
  <c r="C181" i="2"/>
  <c r="D181" i="2"/>
  <c r="E181" i="2"/>
  <c r="B182" i="2"/>
  <c r="C182" i="2"/>
  <c r="D182" i="2"/>
  <c r="E182" i="2"/>
  <c r="B183" i="2"/>
  <c r="C183" i="2"/>
  <c r="D183" i="2"/>
  <c r="E183" i="2"/>
  <c r="B184" i="2"/>
  <c r="C184" i="2"/>
  <c r="D184" i="2"/>
  <c r="E184" i="2"/>
  <c r="B185" i="2"/>
  <c r="C185" i="2"/>
  <c r="D185" i="2"/>
  <c r="E185" i="2"/>
  <c r="B186" i="2"/>
  <c r="C186" i="2"/>
  <c r="D186" i="2"/>
  <c r="E186" i="2"/>
  <c r="B187" i="2"/>
  <c r="C187" i="2"/>
  <c r="D187" i="2"/>
  <c r="E187" i="2"/>
  <c r="B188" i="2"/>
  <c r="C188" i="2"/>
  <c r="D188" i="2"/>
  <c r="E188" i="2"/>
  <c r="B189" i="2"/>
  <c r="C189" i="2"/>
  <c r="D189" i="2"/>
  <c r="E189" i="2"/>
  <c r="B190" i="2"/>
  <c r="C190" i="2"/>
  <c r="D190" i="2"/>
  <c r="E190" i="2"/>
  <c r="B191" i="2"/>
  <c r="C191" i="2"/>
  <c r="D191" i="2"/>
  <c r="E191" i="2"/>
  <c r="B192" i="2"/>
  <c r="C192" i="2"/>
  <c r="D192" i="2"/>
  <c r="E192" i="2"/>
  <c r="B193" i="2"/>
  <c r="C193" i="2"/>
  <c r="D193" i="2"/>
  <c r="E193" i="2"/>
  <c r="B194" i="2"/>
  <c r="C194" i="2"/>
  <c r="D194" i="2"/>
  <c r="E194" i="2"/>
  <c r="B195" i="2"/>
  <c r="C195" i="2"/>
  <c r="D195" i="2"/>
  <c r="E195" i="2"/>
  <c r="B196" i="2"/>
  <c r="C196" i="2"/>
  <c r="D196" i="2"/>
  <c r="E196" i="2"/>
  <c r="B197" i="2"/>
  <c r="C197" i="2"/>
  <c r="D197" i="2"/>
  <c r="E197" i="2"/>
  <c r="B198" i="2"/>
  <c r="C198" i="2"/>
  <c r="D198" i="2"/>
  <c r="E198" i="2"/>
  <c r="B199" i="2"/>
  <c r="C199" i="2"/>
  <c r="D199" i="2"/>
  <c r="E199" i="2"/>
  <c r="B200" i="2"/>
  <c r="C200" i="2"/>
  <c r="D200" i="2"/>
  <c r="E200" i="2"/>
  <c r="B201" i="2"/>
  <c r="C201" i="2"/>
  <c r="D201" i="2"/>
  <c r="E201" i="2"/>
  <c r="B202" i="2"/>
  <c r="C202" i="2"/>
  <c r="D202" i="2"/>
  <c r="E202" i="2"/>
  <c r="B203" i="2"/>
  <c r="C203" i="2"/>
  <c r="D203" i="2"/>
  <c r="E203" i="2"/>
  <c r="B204" i="2"/>
  <c r="C204" i="2"/>
  <c r="D204" i="2"/>
  <c r="E204" i="2"/>
  <c r="B205" i="2"/>
  <c r="C205" i="2"/>
  <c r="D205" i="2"/>
  <c r="E205" i="2"/>
  <c r="B206" i="2"/>
  <c r="C206" i="2"/>
  <c r="D206" i="2"/>
  <c r="E206" i="2"/>
  <c r="B207" i="2"/>
  <c r="C207" i="2"/>
  <c r="D207" i="2"/>
  <c r="E207" i="2"/>
  <c r="B208" i="2"/>
  <c r="C208" i="2"/>
  <c r="D208" i="2"/>
  <c r="E208" i="2"/>
  <c r="B209" i="2"/>
  <c r="C209" i="2"/>
  <c r="D209" i="2"/>
  <c r="E209" i="2"/>
  <c r="B210" i="2"/>
  <c r="C210" i="2"/>
  <c r="D210" i="2"/>
  <c r="E210" i="2"/>
  <c r="B211" i="2"/>
  <c r="C211" i="2"/>
  <c r="D211" i="2"/>
  <c r="E211" i="2"/>
  <c r="B212" i="2"/>
  <c r="C212" i="2"/>
  <c r="D212" i="2"/>
  <c r="E212" i="2"/>
  <c r="B213" i="2"/>
  <c r="C213" i="2"/>
  <c r="D213" i="2"/>
  <c r="E213" i="2"/>
  <c r="B214" i="2"/>
  <c r="C214" i="2"/>
  <c r="D214" i="2"/>
  <c r="E214" i="2"/>
  <c r="B215" i="2"/>
  <c r="C215" i="2"/>
  <c r="D215" i="2"/>
  <c r="E215" i="2"/>
  <c r="B216" i="2"/>
  <c r="C216" i="2"/>
  <c r="D216" i="2"/>
  <c r="E216" i="2"/>
  <c r="B217" i="2"/>
  <c r="C217" i="2"/>
  <c r="D217" i="2"/>
  <c r="E217" i="2"/>
  <c r="B218" i="2"/>
  <c r="C218" i="2"/>
  <c r="D218" i="2"/>
  <c r="E218" i="2"/>
  <c r="B219" i="2"/>
  <c r="C219" i="2"/>
  <c r="D219" i="2"/>
  <c r="E219" i="2"/>
  <c r="B220" i="2"/>
  <c r="C220" i="2"/>
  <c r="D220" i="2"/>
  <c r="E220" i="2"/>
  <c r="B221" i="2"/>
  <c r="C221" i="2"/>
  <c r="D221" i="2"/>
  <c r="E221" i="2"/>
  <c r="B222" i="2"/>
  <c r="C222" i="2"/>
  <c r="D222" i="2"/>
  <c r="E222" i="2"/>
  <c r="B223" i="2"/>
  <c r="C223" i="2"/>
  <c r="D223" i="2"/>
  <c r="E223" i="2"/>
  <c r="B224" i="2"/>
  <c r="C224" i="2"/>
  <c r="D224" i="2"/>
  <c r="E224" i="2"/>
  <c r="B225" i="2"/>
  <c r="C225" i="2"/>
  <c r="D225" i="2"/>
  <c r="E225" i="2"/>
  <c r="B226" i="2"/>
  <c r="C226" i="2"/>
  <c r="D226" i="2"/>
  <c r="E226" i="2"/>
  <c r="B227" i="2"/>
  <c r="C227" i="2"/>
  <c r="D227" i="2"/>
  <c r="E227" i="2"/>
  <c r="B228" i="2"/>
  <c r="C228" i="2"/>
  <c r="D228" i="2"/>
  <c r="E228" i="2"/>
  <c r="B229" i="2"/>
  <c r="C229" i="2"/>
  <c r="D229" i="2"/>
  <c r="E229" i="2"/>
  <c r="B230" i="2"/>
  <c r="C230" i="2"/>
  <c r="D230" i="2"/>
  <c r="E230" i="2"/>
  <c r="B231" i="2"/>
  <c r="C231" i="2"/>
  <c r="D231" i="2"/>
  <c r="E231" i="2"/>
  <c r="B232" i="2"/>
  <c r="C232" i="2"/>
  <c r="D232" i="2"/>
  <c r="E232" i="2"/>
  <c r="B233" i="2"/>
  <c r="C233" i="2"/>
  <c r="D233" i="2"/>
  <c r="E233" i="2"/>
  <c r="B234" i="2"/>
  <c r="C234" i="2"/>
  <c r="D234" i="2"/>
  <c r="E234" i="2"/>
  <c r="B235" i="2"/>
  <c r="C235" i="2"/>
  <c r="D235" i="2"/>
  <c r="E235" i="2"/>
  <c r="B236" i="2"/>
  <c r="C236" i="2"/>
  <c r="D236" i="2"/>
  <c r="E236" i="2"/>
  <c r="B237" i="2"/>
  <c r="C237" i="2"/>
  <c r="D237" i="2"/>
  <c r="E237" i="2"/>
  <c r="B238" i="2"/>
  <c r="C238" i="2"/>
  <c r="D238" i="2"/>
  <c r="E238" i="2"/>
  <c r="B239" i="2"/>
  <c r="C239" i="2"/>
  <c r="D239" i="2"/>
  <c r="E239" i="2"/>
  <c r="B240" i="2"/>
  <c r="C240" i="2"/>
  <c r="D240" i="2"/>
  <c r="E240" i="2"/>
  <c r="B241" i="2"/>
  <c r="C241" i="2"/>
  <c r="D241" i="2"/>
  <c r="E241" i="2"/>
  <c r="B242" i="2"/>
  <c r="C242" i="2"/>
  <c r="D242" i="2"/>
  <c r="E242" i="2"/>
  <c r="B243" i="2"/>
  <c r="C243" i="2"/>
  <c r="D243" i="2"/>
  <c r="E243" i="2"/>
  <c r="B244" i="2"/>
  <c r="C244" i="2"/>
  <c r="D244" i="2"/>
  <c r="E244" i="2"/>
  <c r="B245" i="2"/>
  <c r="C245" i="2"/>
  <c r="D245" i="2"/>
  <c r="E245" i="2"/>
  <c r="B246" i="2"/>
  <c r="C246" i="2"/>
  <c r="D246" i="2"/>
  <c r="E246" i="2"/>
  <c r="B247" i="2"/>
  <c r="C247" i="2"/>
  <c r="D247" i="2"/>
  <c r="E247" i="2"/>
  <c r="B248" i="2"/>
  <c r="C248" i="2"/>
  <c r="D248" i="2"/>
  <c r="E248" i="2"/>
  <c r="B249" i="2"/>
  <c r="C249" i="2"/>
  <c r="D249" i="2"/>
  <c r="E249" i="2"/>
  <c r="B250" i="2"/>
  <c r="C250" i="2"/>
  <c r="D250" i="2"/>
  <c r="E250" i="2"/>
  <c r="B251" i="2"/>
  <c r="C251" i="2"/>
  <c r="D251" i="2"/>
  <c r="E251" i="2"/>
  <c r="B252" i="2"/>
  <c r="C252" i="2"/>
  <c r="D252" i="2"/>
  <c r="E252" i="2"/>
  <c r="B253" i="2"/>
  <c r="C253" i="2"/>
  <c r="D253" i="2"/>
  <c r="E253" i="2"/>
  <c r="B254" i="2"/>
  <c r="C254" i="2"/>
  <c r="D254" i="2"/>
  <c r="E254" i="2"/>
  <c r="B255" i="2"/>
  <c r="C255" i="2"/>
  <c r="D255" i="2"/>
  <c r="E255" i="2"/>
  <c r="B256" i="2"/>
  <c r="C256" i="2"/>
  <c r="D256" i="2"/>
  <c r="E256" i="2"/>
  <c r="B257" i="2"/>
  <c r="C257" i="2"/>
  <c r="D257" i="2"/>
  <c r="E257" i="2"/>
  <c r="B258" i="2"/>
  <c r="C258" i="2"/>
  <c r="D258" i="2"/>
  <c r="E258" i="2"/>
  <c r="B259" i="2"/>
  <c r="C259" i="2"/>
  <c r="D259" i="2"/>
  <c r="E259" i="2"/>
  <c r="B260" i="2"/>
  <c r="C260" i="2"/>
  <c r="D260" i="2"/>
  <c r="E260" i="2"/>
  <c r="B261" i="2"/>
  <c r="C261" i="2"/>
  <c r="D261" i="2"/>
  <c r="E261" i="2"/>
  <c r="B262" i="2"/>
  <c r="C262" i="2"/>
  <c r="D262" i="2"/>
  <c r="E262" i="2"/>
  <c r="B263" i="2"/>
  <c r="C263" i="2"/>
  <c r="D263" i="2"/>
  <c r="E263" i="2"/>
  <c r="B264" i="2"/>
  <c r="C264" i="2"/>
  <c r="D264" i="2"/>
  <c r="E264" i="2"/>
  <c r="B265" i="2"/>
  <c r="C265" i="2"/>
  <c r="D265" i="2"/>
  <c r="E265" i="2"/>
  <c r="B266" i="2"/>
  <c r="C266" i="2"/>
  <c r="D266" i="2"/>
  <c r="E266" i="2"/>
  <c r="B267" i="2"/>
  <c r="C267" i="2"/>
  <c r="D267" i="2"/>
  <c r="E267" i="2"/>
  <c r="B268" i="2"/>
  <c r="C268" i="2"/>
  <c r="D268" i="2"/>
  <c r="E268" i="2"/>
  <c r="B269" i="2"/>
  <c r="C269" i="2"/>
  <c r="D269" i="2"/>
  <c r="E269" i="2"/>
  <c r="B270" i="2"/>
  <c r="C270" i="2"/>
  <c r="D270" i="2"/>
  <c r="E270" i="2"/>
  <c r="B271" i="2"/>
  <c r="C271" i="2"/>
  <c r="D271" i="2"/>
  <c r="E271" i="2"/>
  <c r="B272" i="2"/>
  <c r="C272" i="2"/>
  <c r="D272" i="2"/>
  <c r="E272" i="2"/>
  <c r="B273" i="2"/>
  <c r="C273" i="2"/>
  <c r="D273" i="2"/>
  <c r="E273" i="2"/>
  <c r="B274" i="2"/>
  <c r="C274" i="2"/>
  <c r="D274" i="2"/>
  <c r="E274" i="2"/>
  <c r="B275" i="2"/>
  <c r="C275" i="2"/>
  <c r="D275" i="2"/>
  <c r="E275" i="2"/>
  <c r="B276" i="2"/>
  <c r="C276" i="2"/>
  <c r="D276" i="2"/>
  <c r="E276" i="2"/>
  <c r="B277" i="2"/>
  <c r="C277" i="2"/>
  <c r="D277" i="2"/>
  <c r="E277" i="2"/>
  <c r="B278" i="2"/>
  <c r="C278" i="2"/>
  <c r="D278" i="2"/>
  <c r="E278" i="2"/>
  <c r="B279" i="2"/>
  <c r="C279" i="2"/>
  <c r="D279" i="2"/>
  <c r="E279" i="2"/>
  <c r="B280" i="2"/>
  <c r="C280" i="2"/>
  <c r="D280" i="2"/>
  <c r="E280" i="2"/>
  <c r="B281" i="2"/>
  <c r="C281" i="2"/>
  <c r="D281" i="2"/>
  <c r="E281" i="2"/>
  <c r="B282" i="2"/>
  <c r="C282" i="2"/>
  <c r="D282" i="2"/>
  <c r="E282" i="2"/>
  <c r="B283" i="2"/>
  <c r="C283" i="2"/>
  <c r="D283" i="2"/>
  <c r="E283" i="2"/>
  <c r="B284" i="2"/>
  <c r="C284" i="2"/>
  <c r="D284" i="2"/>
  <c r="E284" i="2"/>
  <c r="B285" i="2"/>
  <c r="C285" i="2"/>
  <c r="D285" i="2"/>
  <c r="E285" i="2"/>
  <c r="B286" i="2"/>
  <c r="C286" i="2"/>
  <c r="D286" i="2"/>
  <c r="E286" i="2"/>
  <c r="B287" i="2"/>
  <c r="C287" i="2"/>
  <c r="D287" i="2"/>
  <c r="E287" i="2"/>
  <c r="B288" i="2"/>
  <c r="C288" i="2"/>
  <c r="D288" i="2"/>
  <c r="E288" i="2"/>
  <c r="B289" i="2"/>
  <c r="C289" i="2"/>
  <c r="D289" i="2"/>
  <c r="E289" i="2"/>
  <c r="B290" i="2"/>
  <c r="C290" i="2"/>
  <c r="D290" i="2"/>
  <c r="E290" i="2"/>
  <c r="B291" i="2"/>
  <c r="C291" i="2"/>
  <c r="D291" i="2"/>
  <c r="E291" i="2"/>
  <c r="B292" i="2"/>
  <c r="C292" i="2"/>
  <c r="D292" i="2"/>
  <c r="E292" i="2"/>
  <c r="B293" i="2"/>
  <c r="C293" i="2"/>
  <c r="D293" i="2"/>
  <c r="E293" i="2"/>
  <c r="B294" i="2"/>
  <c r="C294" i="2"/>
  <c r="D294" i="2"/>
  <c r="E294" i="2"/>
  <c r="B295" i="2"/>
  <c r="C295" i="2"/>
  <c r="D295" i="2"/>
  <c r="E295" i="2"/>
  <c r="B296" i="2"/>
  <c r="C296" i="2"/>
  <c r="D296" i="2"/>
  <c r="E296" i="2"/>
  <c r="B297" i="2"/>
  <c r="C297" i="2"/>
  <c r="D297" i="2"/>
  <c r="E297" i="2"/>
  <c r="B298" i="2"/>
  <c r="C298" i="2"/>
  <c r="D298" i="2"/>
  <c r="E298" i="2"/>
  <c r="B299" i="2"/>
  <c r="C299" i="2"/>
  <c r="D299" i="2"/>
  <c r="E299" i="2"/>
  <c r="B300" i="2"/>
  <c r="C300" i="2"/>
  <c r="D300" i="2"/>
  <c r="E300" i="2"/>
  <c r="B301" i="2"/>
  <c r="C301" i="2"/>
  <c r="D301" i="2"/>
  <c r="E301" i="2"/>
  <c r="B302" i="2"/>
  <c r="C302" i="2"/>
  <c r="D302" i="2"/>
  <c r="E302" i="2"/>
  <c r="B303" i="2"/>
  <c r="C303" i="2"/>
  <c r="D303" i="2"/>
  <c r="E303" i="2"/>
  <c r="B304" i="2"/>
  <c r="C304" i="2"/>
  <c r="D304" i="2"/>
  <c r="E304" i="2"/>
  <c r="B305" i="2"/>
  <c r="C305" i="2"/>
  <c r="D305" i="2"/>
  <c r="E305" i="2"/>
  <c r="B306" i="2"/>
  <c r="C306" i="2"/>
  <c r="D306" i="2"/>
  <c r="E306" i="2"/>
  <c r="B307" i="2"/>
  <c r="C307" i="2"/>
  <c r="D307" i="2"/>
  <c r="E307" i="2"/>
  <c r="B308" i="2"/>
  <c r="C308" i="2"/>
  <c r="D308" i="2"/>
  <c r="E308" i="2"/>
  <c r="B309" i="2"/>
  <c r="C309" i="2"/>
  <c r="D309" i="2"/>
  <c r="E309" i="2"/>
  <c r="B310" i="2"/>
  <c r="C310" i="2"/>
  <c r="D310" i="2"/>
  <c r="E310" i="2"/>
  <c r="B311" i="2"/>
  <c r="C311" i="2"/>
  <c r="D311" i="2"/>
  <c r="E311" i="2"/>
  <c r="B312" i="2"/>
  <c r="C312" i="2"/>
  <c r="D312" i="2"/>
  <c r="E312" i="2"/>
  <c r="B313" i="2"/>
  <c r="C313" i="2"/>
  <c r="D313" i="2"/>
  <c r="E313" i="2"/>
  <c r="B314" i="2"/>
  <c r="C314" i="2"/>
  <c r="D314" i="2"/>
  <c r="E314" i="2"/>
  <c r="B315" i="2"/>
  <c r="C315" i="2"/>
  <c r="D315" i="2"/>
  <c r="E315" i="2"/>
  <c r="B316" i="2"/>
  <c r="C316" i="2"/>
  <c r="D316" i="2"/>
  <c r="E316" i="2"/>
  <c r="B317" i="2"/>
  <c r="C317" i="2"/>
  <c r="D317" i="2"/>
  <c r="E317" i="2"/>
  <c r="B318" i="2"/>
  <c r="C318" i="2"/>
  <c r="D318" i="2"/>
  <c r="E318" i="2"/>
  <c r="B319" i="2"/>
  <c r="C319" i="2"/>
  <c r="D319" i="2"/>
  <c r="E319" i="2"/>
  <c r="B320" i="2"/>
  <c r="C320" i="2"/>
  <c r="D320" i="2"/>
  <c r="E320" i="2"/>
  <c r="B321" i="2"/>
  <c r="C321" i="2"/>
  <c r="D321" i="2"/>
  <c r="E321" i="2"/>
  <c r="B322" i="2"/>
  <c r="C322" i="2"/>
  <c r="D322" i="2"/>
  <c r="E322" i="2"/>
  <c r="B323" i="2"/>
  <c r="C323" i="2"/>
  <c r="D323" i="2"/>
  <c r="E323" i="2"/>
  <c r="B324" i="2"/>
  <c r="C324" i="2"/>
  <c r="D324" i="2"/>
  <c r="E324" i="2"/>
  <c r="B325" i="2"/>
  <c r="C325" i="2"/>
  <c r="D325" i="2"/>
  <c r="E325" i="2"/>
  <c r="B326" i="2"/>
  <c r="C326" i="2"/>
  <c r="D326" i="2"/>
  <c r="E326" i="2"/>
  <c r="B327" i="2"/>
  <c r="C327" i="2"/>
  <c r="D327" i="2"/>
  <c r="E327" i="2"/>
  <c r="B328" i="2"/>
  <c r="C328" i="2"/>
  <c r="D328" i="2"/>
  <c r="E328" i="2"/>
  <c r="B329" i="2"/>
  <c r="C329" i="2"/>
  <c r="D329" i="2"/>
  <c r="E329" i="2"/>
  <c r="B330" i="2"/>
  <c r="C330" i="2"/>
  <c r="D330" i="2"/>
  <c r="E330" i="2"/>
  <c r="B331" i="2"/>
  <c r="C331" i="2"/>
  <c r="D331" i="2"/>
  <c r="E331" i="2"/>
  <c r="B332" i="2"/>
  <c r="C332" i="2"/>
  <c r="D332" i="2"/>
  <c r="E332" i="2"/>
  <c r="B333" i="2"/>
  <c r="C333" i="2"/>
  <c r="D333" i="2"/>
  <c r="E333" i="2"/>
  <c r="B334" i="2"/>
  <c r="C334" i="2"/>
  <c r="D334" i="2"/>
  <c r="E334" i="2"/>
  <c r="B335" i="2"/>
  <c r="C335" i="2"/>
  <c r="D335" i="2"/>
  <c r="E335" i="2"/>
  <c r="B336" i="2"/>
  <c r="C336" i="2"/>
  <c r="D336" i="2"/>
  <c r="E336" i="2"/>
  <c r="B337" i="2"/>
  <c r="C337" i="2"/>
  <c r="D337" i="2"/>
  <c r="E337" i="2"/>
  <c r="B338" i="2"/>
  <c r="C338" i="2"/>
  <c r="D338" i="2"/>
  <c r="E338" i="2"/>
  <c r="B339" i="2"/>
  <c r="C339" i="2"/>
  <c r="D339" i="2"/>
  <c r="E339" i="2"/>
  <c r="B340" i="2"/>
  <c r="C340" i="2"/>
  <c r="D340" i="2"/>
  <c r="E340" i="2"/>
  <c r="B341" i="2"/>
  <c r="C341" i="2"/>
  <c r="D341" i="2"/>
  <c r="E341" i="2"/>
  <c r="B342" i="2"/>
  <c r="C342" i="2"/>
  <c r="D342" i="2"/>
  <c r="E342" i="2"/>
  <c r="B343" i="2"/>
  <c r="C343" i="2"/>
  <c r="D343" i="2"/>
  <c r="E343" i="2"/>
  <c r="B344" i="2"/>
  <c r="C344" i="2"/>
  <c r="D344" i="2"/>
  <c r="E344" i="2"/>
  <c r="B345" i="2"/>
  <c r="C345" i="2"/>
  <c r="D345" i="2"/>
  <c r="E345" i="2"/>
  <c r="B346" i="2"/>
  <c r="C346" i="2"/>
  <c r="D346" i="2"/>
  <c r="E346" i="2"/>
  <c r="B347" i="2"/>
  <c r="C347" i="2"/>
  <c r="D347" i="2"/>
  <c r="E347" i="2"/>
  <c r="B348" i="2"/>
  <c r="C348" i="2"/>
  <c r="D348" i="2"/>
  <c r="E348" i="2"/>
  <c r="B349" i="2"/>
  <c r="C349" i="2"/>
  <c r="D349" i="2"/>
  <c r="E349" i="2"/>
  <c r="B350" i="2"/>
  <c r="C350" i="2"/>
  <c r="D350" i="2"/>
  <c r="E350" i="2"/>
  <c r="B351" i="2"/>
  <c r="C351" i="2"/>
  <c r="D351" i="2"/>
  <c r="E351" i="2"/>
  <c r="B352" i="2"/>
  <c r="C352" i="2"/>
  <c r="D352" i="2"/>
  <c r="E352" i="2"/>
  <c r="B353" i="2"/>
  <c r="C353" i="2"/>
  <c r="D353" i="2"/>
  <c r="E353" i="2"/>
  <c r="B354" i="2"/>
  <c r="C354" i="2"/>
  <c r="D354" i="2"/>
  <c r="E354" i="2"/>
  <c r="B355" i="2"/>
  <c r="C355" i="2"/>
  <c r="D355" i="2"/>
  <c r="E355" i="2"/>
  <c r="B356" i="2"/>
  <c r="C356" i="2"/>
  <c r="D356" i="2"/>
  <c r="E356" i="2"/>
  <c r="B357" i="2"/>
  <c r="C357" i="2"/>
  <c r="D357" i="2"/>
  <c r="E357" i="2"/>
  <c r="B358" i="2"/>
  <c r="C358" i="2"/>
  <c r="D358" i="2"/>
  <c r="E358" i="2"/>
  <c r="B359" i="2"/>
  <c r="C359" i="2"/>
  <c r="D359" i="2"/>
  <c r="E359" i="2"/>
  <c r="B360" i="2"/>
  <c r="C360" i="2"/>
  <c r="D360" i="2"/>
  <c r="E360" i="2"/>
  <c r="B361" i="2"/>
  <c r="C361" i="2"/>
  <c r="D361" i="2"/>
  <c r="E361" i="2"/>
  <c r="B362" i="2"/>
  <c r="C362" i="2"/>
  <c r="D362" i="2"/>
  <c r="E362" i="2"/>
  <c r="B363" i="2"/>
  <c r="C363" i="2"/>
  <c r="D363" i="2"/>
  <c r="E363" i="2"/>
  <c r="B364" i="2"/>
  <c r="C364" i="2"/>
  <c r="D364" i="2"/>
  <c r="E364" i="2"/>
  <c r="B365" i="2"/>
  <c r="C365" i="2"/>
  <c r="D365" i="2"/>
  <c r="E365" i="2"/>
  <c r="B366" i="2"/>
  <c r="C366" i="2"/>
  <c r="D366" i="2"/>
  <c r="E366" i="2"/>
  <c r="B367" i="2"/>
  <c r="C367" i="2"/>
  <c r="D367" i="2"/>
  <c r="E367" i="2"/>
  <c r="B368" i="2"/>
  <c r="C368" i="2"/>
  <c r="D368" i="2"/>
  <c r="E368" i="2"/>
  <c r="B369" i="2"/>
  <c r="C369" i="2"/>
  <c r="D369" i="2"/>
  <c r="E369" i="2"/>
  <c r="B370" i="2"/>
  <c r="C370" i="2"/>
  <c r="D370" i="2"/>
  <c r="E370" i="2"/>
  <c r="B371" i="2"/>
  <c r="C371" i="2"/>
  <c r="D371" i="2"/>
  <c r="E371" i="2"/>
  <c r="B372" i="2"/>
  <c r="C372" i="2"/>
  <c r="D372" i="2"/>
  <c r="E372" i="2"/>
  <c r="B373" i="2"/>
  <c r="C373" i="2"/>
  <c r="D373" i="2"/>
  <c r="E373" i="2"/>
  <c r="B374" i="2"/>
  <c r="C374" i="2"/>
  <c r="D374" i="2"/>
  <c r="E374" i="2"/>
  <c r="B375" i="2"/>
  <c r="C375" i="2"/>
  <c r="D375" i="2"/>
  <c r="E375" i="2"/>
  <c r="B376" i="2"/>
  <c r="C376" i="2"/>
  <c r="D376" i="2"/>
  <c r="E376" i="2"/>
  <c r="B377" i="2"/>
  <c r="C377" i="2"/>
  <c r="D377" i="2"/>
  <c r="E377" i="2"/>
  <c r="B378" i="2"/>
  <c r="C378" i="2"/>
  <c r="D378" i="2"/>
  <c r="E378" i="2"/>
  <c r="B379" i="2"/>
  <c r="C379" i="2"/>
  <c r="D379" i="2"/>
  <c r="E379" i="2"/>
  <c r="B380" i="2"/>
  <c r="C380" i="2"/>
  <c r="D380" i="2"/>
  <c r="E380" i="2"/>
  <c r="B381" i="2"/>
  <c r="C381" i="2"/>
  <c r="D381" i="2"/>
  <c r="E381" i="2"/>
  <c r="B382" i="2"/>
  <c r="C382" i="2"/>
  <c r="D382" i="2"/>
  <c r="E382" i="2"/>
  <c r="B383" i="2"/>
  <c r="C383" i="2"/>
  <c r="D383" i="2"/>
  <c r="E383" i="2"/>
  <c r="B384" i="2"/>
  <c r="C384" i="2"/>
  <c r="D384" i="2"/>
  <c r="E384" i="2"/>
  <c r="B385" i="2"/>
  <c r="C385" i="2"/>
  <c r="D385" i="2"/>
  <c r="E385" i="2"/>
  <c r="B386" i="2"/>
  <c r="C386" i="2"/>
  <c r="D386" i="2"/>
  <c r="E386" i="2"/>
  <c r="B387" i="2"/>
  <c r="C387" i="2"/>
  <c r="D387" i="2"/>
  <c r="E387" i="2"/>
  <c r="B388" i="2"/>
  <c r="C388" i="2"/>
  <c r="D388" i="2"/>
  <c r="E388" i="2"/>
  <c r="B389" i="2"/>
  <c r="C389" i="2"/>
  <c r="D389" i="2"/>
  <c r="E389" i="2"/>
  <c r="B390" i="2"/>
  <c r="C390" i="2"/>
  <c r="D390" i="2"/>
  <c r="E390" i="2"/>
  <c r="B391" i="2"/>
  <c r="C391" i="2"/>
  <c r="D391" i="2"/>
  <c r="E391" i="2"/>
  <c r="B392" i="2"/>
  <c r="C392" i="2"/>
  <c r="D392" i="2"/>
  <c r="E392" i="2"/>
  <c r="B393" i="2"/>
  <c r="C393" i="2"/>
  <c r="D393" i="2"/>
  <c r="E393" i="2"/>
  <c r="B394" i="2"/>
  <c r="C394" i="2"/>
  <c r="D394" i="2"/>
  <c r="E394" i="2"/>
  <c r="B395" i="2"/>
  <c r="C395" i="2"/>
  <c r="D395" i="2"/>
  <c r="E395" i="2"/>
  <c r="B396" i="2"/>
  <c r="C396" i="2"/>
  <c r="D396" i="2"/>
  <c r="E396" i="2"/>
  <c r="B397" i="2"/>
  <c r="C397" i="2"/>
  <c r="D397" i="2"/>
  <c r="E397" i="2"/>
  <c r="B398" i="2"/>
  <c r="C398" i="2"/>
  <c r="D398" i="2"/>
  <c r="E398" i="2"/>
  <c r="B399" i="2"/>
  <c r="C399" i="2"/>
  <c r="D399" i="2"/>
  <c r="E399" i="2"/>
  <c r="B400" i="2"/>
  <c r="C400" i="2"/>
  <c r="D400" i="2"/>
  <c r="E400" i="2"/>
  <c r="B401" i="2"/>
  <c r="C401" i="2"/>
  <c r="D401" i="2"/>
  <c r="E401" i="2"/>
  <c r="B402" i="2"/>
  <c r="C402" i="2"/>
  <c r="D402" i="2"/>
  <c r="E402" i="2"/>
  <c r="B403" i="2"/>
  <c r="C403" i="2"/>
  <c r="D403" i="2"/>
  <c r="E403" i="2"/>
  <c r="B404" i="2"/>
  <c r="C404" i="2"/>
  <c r="D404" i="2"/>
  <c r="E404" i="2"/>
  <c r="B405" i="2"/>
  <c r="C405" i="2"/>
  <c r="D405" i="2"/>
  <c r="E405" i="2"/>
  <c r="B406" i="2"/>
  <c r="C406" i="2"/>
  <c r="D406" i="2"/>
  <c r="E406" i="2"/>
  <c r="B407" i="2"/>
  <c r="C407" i="2"/>
  <c r="D407" i="2"/>
  <c r="E407" i="2"/>
  <c r="B408" i="2"/>
  <c r="C408" i="2"/>
  <c r="D408" i="2"/>
  <c r="E408" i="2"/>
  <c r="B409" i="2"/>
  <c r="C409" i="2"/>
  <c r="D409" i="2"/>
  <c r="E409" i="2"/>
  <c r="B410" i="2"/>
  <c r="C410" i="2"/>
  <c r="D410" i="2"/>
  <c r="E410" i="2"/>
  <c r="B411" i="2"/>
  <c r="C411" i="2"/>
  <c r="D411" i="2"/>
  <c r="E411" i="2"/>
  <c r="B412" i="2"/>
  <c r="C412" i="2"/>
  <c r="D412" i="2"/>
  <c r="E412" i="2"/>
  <c r="B413" i="2"/>
  <c r="C413" i="2"/>
  <c r="D413" i="2"/>
  <c r="E413" i="2"/>
  <c r="B414" i="2"/>
  <c r="C414" i="2"/>
  <c r="D414" i="2"/>
  <c r="E414" i="2"/>
  <c r="B415" i="2"/>
  <c r="C415" i="2"/>
  <c r="D415" i="2"/>
  <c r="E415" i="2"/>
  <c r="B416" i="2"/>
  <c r="C416" i="2"/>
  <c r="D416" i="2"/>
  <c r="E416" i="2"/>
  <c r="B417" i="2"/>
  <c r="C417" i="2"/>
  <c r="D417" i="2"/>
  <c r="E417" i="2"/>
  <c r="B418" i="2"/>
  <c r="C418" i="2"/>
  <c r="D418" i="2"/>
  <c r="E418" i="2"/>
  <c r="B419" i="2"/>
  <c r="C419" i="2"/>
  <c r="D419" i="2"/>
  <c r="E419" i="2"/>
  <c r="B420" i="2"/>
  <c r="C420" i="2"/>
  <c r="D420" i="2"/>
  <c r="E420" i="2"/>
  <c r="B421" i="2"/>
  <c r="C421" i="2"/>
  <c r="D421" i="2"/>
  <c r="E421" i="2"/>
  <c r="B422" i="2"/>
  <c r="C422" i="2"/>
  <c r="D422" i="2"/>
  <c r="E422" i="2"/>
  <c r="B423" i="2"/>
  <c r="C423" i="2"/>
  <c r="D423" i="2"/>
  <c r="E423" i="2"/>
  <c r="B424" i="2"/>
  <c r="C424" i="2"/>
  <c r="D424" i="2"/>
  <c r="E424" i="2"/>
  <c r="B425" i="2"/>
  <c r="C425" i="2"/>
  <c r="D425" i="2"/>
  <c r="E425" i="2"/>
  <c r="B426" i="2"/>
  <c r="C426" i="2"/>
  <c r="D426" i="2"/>
  <c r="E426" i="2"/>
  <c r="B427" i="2"/>
  <c r="C427" i="2"/>
  <c r="D427" i="2"/>
  <c r="E427" i="2"/>
  <c r="B428" i="2"/>
  <c r="C428" i="2"/>
  <c r="D428" i="2"/>
  <c r="E428" i="2"/>
  <c r="B429" i="2"/>
  <c r="C429" i="2"/>
  <c r="D429" i="2"/>
  <c r="E429" i="2"/>
  <c r="B430" i="2"/>
  <c r="C430" i="2"/>
  <c r="D430" i="2"/>
  <c r="E430" i="2"/>
  <c r="B431" i="2"/>
  <c r="C431" i="2"/>
  <c r="D431" i="2"/>
  <c r="E431" i="2"/>
  <c r="B432" i="2"/>
  <c r="C432" i="2"/>
  <c r="D432" i="2"/>
  <c r="E432" i="2"/>
  <c r="B433" i="2"/>
  <c r="C433" i="2"/>
  <c r="D433" i="2"/>
  <c r="E433" i="2"/>
  <c r="B434" i="2"/>
  <c r="C434" i="2"/>
  <c r="D434" i="2"/>
  <c r="E434" i="2"/>
  <c r="B435" i="2"/>
  <c r="C435" i="2"/>
  <c r="D435" i="2"/>
  <c r="E435" i="2"/>
  <c r="B436" i="2"/>
  <c r="C436" i="2"/>
  <c r="D436" i="2"/>
  <c r="E436" i="2"/>
  <c r="B437" i="2"/>
  <c r="C437" i="2"/>
  <c r="D437" i="2"/>
  <c r="E437" i="2"/>
  <c r="B438" i="2"/>
  <c r="C438" i="2"/>
  <c r="D438" i="2"/>
  <c r="E438" i="2"/>
  <c r="B439" i="2"/>
  <c r="C439" i="2"/>
  <c r="D439" i="2"/>
  <c r="E439" i="2"/>
  <c r="B440" i="2"/>
  <c r="C440" i="2"/>
  <c r="D440" i="2"/>
  <c r="E440" i="2"/>
  <c r="B441" i="2"/>
  <c r="C441" i="2"/>
  <c r="D441" i="2"/>
  <c r="E441" i="2"/>
  <c r="B442" i="2"/>
  <c r="C442" i="2"/>
  <c r="D442" i="2"/>
  <c r="E442" i="2"/>
  <c r="B443" i="2"/>
  <c r="C443" i="2"/>
  <c r="D443" i="2"/>
  <c r="E443" i="2"/>
  <c r="B444" i="2"/>
  <c r="C444" i="2"/>
  <c r="D444" i="2"/>
  <c r="E444" i="2"/>
  <c r="B445" i="2"/>
  <c r="C445" i="2"/>
  <c r="D445" i="2"/>
  <c r="E445" i="2"/>
  <c r="B446" i="2"/>
  <c r="C446" i="2"/>
  <c r="D446" i="2"/>
  <c r="E446" i="2"/>
  <c r="B447" i="2"/>
  <c r="C447" i="2"/>
  <c r="D447" i="2"/>
  <c r="E447" i="2"/>
  <c r="B448" i="2"/>
  <c r="C448" i="2"/>
  <c r="D448" i="2"/>
  <c r="E448" i="2"/>
  <c r="B449" i="2"/>
  <c r="C449" i="2"/>
  <c r="D449" i="2"/>
  <c r="E449" i="2"/>
  <c r="B450" i="2"/>
  <c r="C450" i="2"/>
  <c r="D450" i="2"/>
  <c r="E450" i="2"/>
  <c r="B451" i="2"/>
  <c r="C451" i="2"/>
  <c r="D451" i="2"/>
  <c r="E451" i="2"/>
  <c r="B452" i="2"/>
  <c r="C452" i="2"/>
  <c r="D452" i="2"/>
  <c r="E452" i="2"/>
  <c r="B453" i="2"/>
  <c r="C453" i="2"/>
  <c r="D453" i="2"/>
  <c r="E453" i="2"/>
  <c r="B454" i="2"/>
  <c r="C454" i="2"/>
  <c r="D454" i="2"/>
  <c r="E454" i="2"/>
  <c r="B455" i="2"/>
  <c r="C455" i="2"/>
  <c r="D455" i="2"/>
  <c r="E455" i="2"/>
  <c r="B456" i="2"/>
  <c r="C456" i="2"/>
  <c r="D456" i="2"/>
  <c r="E456" i="2"/>
  <c r="B457" i="2"/>
  <c r="C457" i="2"/>
  <c r="D457" i="2"/>
  <c r="E457" i="2"/>
  <c r="B458" i="2"/>
  <c r="C458" i="2"/>
  <c r="D458" i="2"/>
  <c r="E458" i="2"/>
  <c r="B459" i="2"/>
  <c r="C459" i="2"/>
  <c r="D459" i="2"/>
  <c r="E459" i="2"/>
  <c r="B460" i="2"/>
  <c r="C460" i="2"/>
  <c r="D460" i="2"/>
  <c r="E460" i="2"/>
  <c r="B461" i="2"/>
  <c r="C461" i="2"/>
  <c r="D461" i="2"/>
  <c r="E461" i="2"/>
  <c r="B462" i="2"/>
  <c r="C462" i="2"/>
  <c r="D462" i="2"/>
  <c r="E462" i="2"/>
  <c r="B463" i="2"/>
  <c r="C463" i="2"/>
  <c r="D463" i="2"/>
  <c r="E463" i="2"/>
  <c r="B464" i="2"/>
  <c r="C464" i="2"/>
  <c r="D464" i="2"/>
  <c r="E464" i="2"/>
  <c r="B465" i="2"/>
  <c r="C465" i="2"/>
  <c r="D465" i="2"/>
  <c r="E465" i="2"/>
  <c r="B466" i="2"/>
  <c r="C466" i="2"/>
  <c r="D466" i="2"/>
  <c r="E466" i="2"/>
  <c r="B467" i="2"/>
  <c r="C467" i="2"/>
  <c r="D467" i="2"/>
  <c r="E467" i="2"/>
  <c r="B468" i="2"/>
  <c r="C468" i="2"/>
  <c r="D468" i="2"/>
  <c r="E468" i="2"/>
  <c r="B469" i="2"/>
  <c r="C469" i="2"/>
  <c r="D469" i="2"/>
  <c r="E469" i="2"/>
  <c r="B470" i="2"/>
  <c r="C470" i="2"/>
  <c r="D470" i="2"/>
  <c r="E470" i="2"/>
  <c r="B471" i="2"/>
  <c r="C471" i="2"/>
  <c r="D471" i="2"/>
  <c r="E471" i="2"/>
  <c r="B472" i="2"/>
  <c r="C472" i="2"/>
  <c r="D472" i="2"/>
  <c r="E472" i="2"/>
  <c r="B473" i="2"/>
  <c r="C473" i="2"/>
  <c r="D473" i="2"/>
  <c r="E473" i="2"/>
  <c r="B474" i="2"/>
  <c r="C474" i="2"/>
  <c r="D474" i="2"/>
  <c r="E474" i="2"/>
  <c r="B475" i="2"/>
  <c r="C475" i="2"/>
  <c r="D475" i="2"/>
  <c r="E475" i="2"/>
  <c r="B476" i="2"/>
  <c r="C476" i="2"/>
  <c r="D476" i="2"/>
  <c r="E476" i="2"/>
  <c r="B477" i="2"/>
  <c r="C477" i="2"/>
  <c r="D477" i="2"/>
  <c r="E477" i="2"/>
  <c r="B478" i="2"/>
  <c r="C478" i="2"/>
  <c r="D478" i="2"/>
  <c r="E478" i="2"/>
  <c r="B479" i="2"/>
  <c r="C479" i="2"/>
  <c r="D479" i="2"/>
  <c r="E479" i="2"/>
  <c r="B480" i="2"/>
  <c r="C480" i="2"/>
  <c r="D480" i="2"/>
  <c r="E480" i="2"/>
  <c r="B481" i="2"/>
  <c r="C481" i="2"/>
  <c r="D481" i="2"/>
  <c r="E481" i="2"/>
  <c r="B482" i="2"/>
  <c r="C482" i="2"/>
  <c r="D482" i="2"/>
  <c r="E482" i="2"/>
  <c r="B483" i="2"/>
  <c r="C483" i="2"/>
  <c r="D483" i="2"/>
  <c r="E483" i="2"/>
  <c r="B484" i="2"/>
  <c r="C484" i="2"/>
  <c r="D484" i="2"/>
  <c r="E484" i="2"/>
  <c r="B485" i="2"/>
  <c r="C485" i="2"/>
  <c r="D485" i="2"/>
  <c r="E485" i="2"/>
  <c r="B486" i="2"/>
  <c r="C486" i="2"/>
  <c r="D486" i="2"/>
  <c r="E486" i="2"/>
  <c r="B487" i="2"/>
  <c r="C487" i="2"/>
  <c r="D487" i="2"/>
  <c r="E487" i="2"/>
  <c r="B488" i="2"/>
  <c r="C488" i="2"/>
  <c r="D488" i="2"/>
  <c r="E488" i="2"/>
  <c r="B489" i="2"/>
  <c r="C489" i="2"/>
  <c r="D489" i="2"/>
  <c r="E489" i="2"/>
  <c r="B490" i="2"/>
  <c r="C490" i="2"/>
  <c r="D490" i="2"/>
  <c r="E490" i="2"/>
  <c r="B491" i="2"/>
  <c r="C491" i="2"/>
  <c r="D491" i="2"/>
  <c r="E491" i="2"/>
  <c r="D946" i="2" l="1"/>
  <c r="D1124" i="2"/>
  <c r="D1125" i="2"/>
  <c r="D1086" i="2"/>
  <c r="D1087" i="2"/>
  <c r="D1088" i="2"/>
  <c r="D1083" i="2"/>
  <c r="D1084" i="2"/>
  <c r="D1085" i="2"/>
  <c r="D1126" i="2"/>
  <c r="D1127" i="2"/>
  <c r="D1081" i="2"/>
  <c r="D1082" i="2"/>
  <c r="D823" i="2"/>
  <c r="D1091" i="2"/>
  <c r="D1093" i="2"/>
  <c r="D1094" i="2"/>
  <c r="D571" i="2"/>
  <c r="D1123" i="2"/>
  <c r="D666" i="2"/>
  <c r="D1092" i="2"/>
  <c r="D822" i="2"/>
  <c r="D1095" i="2"/>
  <c r="D1065" i="2"/>
  <c r="D1066" i="2"/>
  <c r="D1067" i="2"/>
  <c r="D1044" i="2"/>
  <c r="D1045" i="2"/>
  <c r="D1046" i="2"/>
  <c r="E169" i="1"/>
  <c r="D1035" i="2"/>
  <c r="D1036" i="2"/>
  <c r="D897" i="2"/>
  <c r="D905" i="2"/>
  <c r="D1048" i="2"/>
  <c r="D1017" i="2"/>
  <c r="D1018" i="2"/>
  <c r="D1077" i="2"/>
  <c r="D1078" i="2"/>
  <c r="D1068" i="2"/>
  <c r="D1069" i="2"/>
  <c r="D1070" i="2"/>
  <c r="D1071" i="2"/>
  <c r="D1072" i="2"/>
  <c r="D1055" i="2"/>
  <c r="D1056" i="2"/>
  <c r="D1059" i="2"/>
  <c r="D1060" i="2"/>
  <c r="D1061" i="2"/>
  <c r="D1062" i="2"/>
  <c r="D589" i="2"/>
  <c r="D1079" i="2"/>
  <c r="D1042" i="2"/>
  <c r="D1043" i="2"/>
  <c r="D1039" i="2"/>
  <c r="D1040" i="2"/>
  <c r="D873" i="2"/>
  <c r="D1080" i="2"/>
  <c r="D1033" i="2"/>
  <c r="D1034" i="2"/>
  <c r="D1057" i="2"/>
  <c r="D1058" i="2"/>
  <c r="D1029" i="2"/>
  <c r="D1030" i="2"/>
  <c r="D1027" i="2"/>
  <c r="D1028" i="2"/>
  <c r="D1037" i="2"/>
  <c r="D1038" i="2"/>
  <c r="D784" i="2"/>
  <c r="D1025" i="2"/>
  <c r="D1026" i="2"/>
  <c r="D1051" i="2"/>
  <c r="D1052" i="2"/>
  <c r="D1053" i="2"/>
  <c r="D1054" i="2"/>
  <c r="D864" i="2"/>
  <c r="D1011" i="2"/>
  <c r="D817" i="2"/>
  <c r="D1015" i="2"/>
  <c r="D650" i="2"/>
  <c r="D1010" i="2"/>
  <c r="D904" i="2"/>
  <c r="D921" i="2"/>
  <c r="E171" i="1"/>
  <c r="D902" i="2"/>
  <c r="D903" i="2"/>
  <c r="D959" i="2"/>
  <c r="D960" i="2"/>
  <c r="D961" i="2"/>
  <c r="D943" i="2"/>
  <c r="D944" i="2"/>
  <c r="D915" i="2"/>
  <c r="D916" i="2"/>
  <c r="D607" i="2"/>
  <c r="D947" i="2"/>
  <c r="D978" i="2"/>
  <c r="D979" i="2"/>
  <c r="D595" i="2"/>
  <c r="D941" i="2"/>
  <c r="D975" i="2"/>
  <c r="D976" i="2"/>
  <c r="D689" i="2"/>
  <c r="D917" i="2"/>
  <c r="D918" i="2"/>
  <c r="D930" i="2"/>
  <c r="D931" i="2"/>
  <c r="D949" i="2"/>
  <c r="E106" i="1"/>
  <c r="D933" i="2"/>
  <c r="D934" i="2"/>
  <c r="D690" i="2"/>
  <c r="D972" i="2"/>
  <c r="D692" i="2"/>
  <c r="D973" i="2"/>
  <c r="D974" i="2"/>
  <c r="E83" i="1"/>
  <c r="D922" i="2"/>
  <c r="D967" i="2"/>
  <c r="D968" i="2"/>
  <c r="D629" i="2"/>
  <c r="D963" i="2"/>
  <c r="D736" i="2"/>
  <c r="D911" i="2"/>
  <c r="D628" i="2"/>
  <c r="D964" i="2"/>
  <c r="D980" i="2"/>
  <c r="D594" i="2"/>
  <c r="D926" i="2"/>
  <c r="D927" i="2"/>
  <c r="D928" i="2"/>
  <c r="D929" i="2"/>
  <c r="D682" i="2"/>
  <c r="D913" i="2"/>
  <c r="D914" i="2"/>
  <c r="D909" i="2"/>
  <c r="D910" i="2"/>
  <c r="D924" i="2"/>
  <c r="D925" i="2"/>
  <c r="D906" i="2"/>
  <c r="D907" i="2"/>
  <c r="D596" i="2"/>
  <c r="D935" i="2"/>
  <c r="D606" i="2"/>
  <c r="D950" i="2"/>
  <c r="D680" i="2"/>
  <c r="D966" i="2"/>
  <c r="D951" i="2"/>
  <c r="D952" i="2"/>
  <c r="D953" i="2"/>
  <c r="D954" i="2"/>
  <c r="D955" i="2"/>
  <c r="D956" i="2"/>
  <c r="D957" i="2"/>
  <c r="D958" i="2"/>
  <c r="D969" i="2"/>
  <c r="D970" i="2"/>
  <c r="D900" i="2"/>
  <c r="D901" i="2"/>
  <c r="D841" i="2"/>
  <c r="D842" i="2"/>
  <c r="D843" i="2"/>
  <c r="E167" i="1"/>
  <c r="D892" i="2"/>
  <c r="D859" i="2"/>
  <c r="D860" i="2"/>
  <c r="D857" i="2"/>
  <c r="D858" i="2"/>
  <c r="D862" i="2"/>
  <c r="D863" i="2"/>
  <c r="D884" i="2"/>
  <c r="D885" i="2"/>
  <c r="D687" i="2"/>
  <c r="D867" i="2"/>
  <c r="D604" i="2"/>
  <c r="D845" i="2"/>
  <c r="D846" i="2"/>
  <c r="D893" i="2"/>
  <c r="D894" i="2"/>
  <c r="D895" i="2"/>
  <c r="D535" i="2"/>
  <c r="D850" i="2"/>
  <c r="D899" i="2"/>
  <c r="D879" i="2"/>
  <c r="D880" i="2"/>
  <c r="D881" i="2"/>
  <c r="D584" i="2"/>
  <c r="D896" i="2"/>
  <c r="D882" i="2"/>
  <c r="D883" i="2"/>
  <c r="D553" i="2"/>
  <c r="D871" i="2"/>
  <c r="D598" i="2"/>
  <c r="D872" i="2"/>
  <c r="D853" i="2"/>
  <c r="D854" i="2"/>
  <c r="D868" i="2"/>
  <c r="D869" i="2"/>
  <c r="D870" i="2"/>
  <c r="D874" i="2"/>
  <c r="D875" i="2"/>
  <c r="E23" i="1"/>
  <c r="D861" i="2"/>
  <c r="D608" i="2"/>
  <c r="D888" i="2"/>
  <c r="D891" i="2"/>
  <c r="D855" i="2"/>
  <c r="D856" i="2"/>
  <c r="D889" i="2"/>
  <c r="D890" i="2"/>
  <c r="D876" i="2"/>
  <c r="D877" i="2"/>
  <c r="D886" i="2"/>
  <c r="D887" i="2"/>
  <c r="D847" i="2"/>
  <c r="D848" i="2"/>
  <c r="D849" i="2"/>
  <c r="D770" i="2"/>
  <c r="D826" i="2"/>
  <c r="D771" i="2"/>
  <c r="D824" i="2"/>
  <c r="D825" i="2"/>
  <c r="E177" i="1"/>
  <c r="D801" i="2"/>
  <c r="E163" i="1"/>
  <c r="D782" i="2"/>
  <c r="D783" i="2"/>
  <c r="E159" i="1"/>
  <c r="D808" i="2"/>
  <c r="D809" i="2"/>
  <c r="D798" i="2"/>
  <c r="D799" i="2"/>
  <c r="E148" i="1"/>
  <c r="D760" i="2"/>
  <c r="D815" i="2"/>
  <c r="D816" i="2"/>
  <c r="E135" i="1"/>
  <c r="D765" i="2"/>
  <c r="D766" i="2"/>
  <c r="D693" i="2"/>
  <c r="D747" i="2"/>
  <c r="D748" i="2"/>
  <c r="D749" i="2"/>
  <c r="E125" i="1"/>
  <c r="D761" i="2"/>
  <c r="D762" i="2"/>
  <c r="D745" i="2"/>
  <c r="D746" i="2"/>
  <c r="D777" i="2"/>
  <c r="D778" i="2"/>
  <c r="D767" i="2"/>
  <c r="D768" i="2"/>
  <c r="D769" i="2"/>
  <c r="E103" i="1"/>
  <c r="D763" i="2"/>
  <c r="D764" i="2"/>
  <c r="E102" i="1"/>
  <c r="D754" i="2"/>
  <c r="D755" i="2"/>
  <c r="D533" i="2"/>
  <c r="D797" i="2"/>
  <c r="D654" i="2"/>
  <c r="D792" i="2"/>
  <c r="D793" i="2"/>
  <c r="D795" i="2"/>
  <c r="D794" i="2"/>
  <c r="D818" i="2"/>
  <c r="D819" i="2"/>
  <c r="D743" i="2"/>
  <c r="D744" i="2"/>
  <c r="E75" i="1"/>
  <c r="D751" i="2"/>
  <c r="D717" i="2"/>
  <c r="D813" i="2"/>
  <c r="D814" i="2"/>
  <c r="E63" i="1"/>
  <c r="D739" i="2"/>
  <c r="D772" i="2"/>
  <c r="D773" i="2"/>
  <c r="D802" i="2"/>
  <c r="D803" i="2"/>
  <c r="D804" i="2"/>
  <c r="D805" i="2"/>
  <c r="D593" i="2"/>
  <c r="D750" i="2"/>
  <c r="E34" i="1"/>
  <c r="D780" i="2"/>
  <c r="D781" i="2"/>
  <c r="D774" i="2"/>
  <c r="D775" i="2"/>
  <c r="D776" i="2"/>
  <c r="D789" i="2"/>
  <c r="D790" i="2"/>
  <c r="D791" i="2"/>
  <c r="D811" i="2"/>
  <c r="D812" i="2"/>
  <c r="D674" i="2"/>
  <c r="D740" i="2"/>
  <c r="D741" i="2"/>
  <c r="D742" i="2"/>
  <c r="D820" i="2"/>
  <c r="D821" i="2"/>
  <c r="D647" i="2"/>
  <c r="D800" i="2"/>
  <c r="D492" i="2"/>
  <c r="D759" i="2"/>
  <c r="D752" i="2"/>
  <c r="D753" i="2"/>
  <c r="D756" i="2"/>
  <c r="D757" i="2"/>
  <c r="D758" i="2"/>
  <c r="D543" i="2"/>
  <c r="D810" i="2"/>
  <c r="D806" i="2"/>
  <c r="D807" i="2"/>
  <c r="E88" i="1"/>
  <c r="D735" i="2"/>
  <c r="E147" i="1"/>
  <c r="D719" i="2"/>
  <c r="D720" i="2"/>
  <c r="E3" i="1"/>
  <c r="D626" i="2"/>
  <c r="D627" i="2"/>
  <c r="E180" i="1"/>
  <c r="D679" i="2"/>
  <c r="E178" i="1"/>
  <c r="D518" i="2"/>
  <c r="D519" i="2"/>
  <c r="E175" i="1"/>
  <c r="D653" i="2"/>
  <c r="E173" i="1"/>
  <c r="D510" i="2"/>
  <c r="D511" i="2"/>
  <c r="E172" i="1"/>
  <c r="D500" i="2"/>
  <c r="D501" i="2"/>
  <c r="D502" i="2"/>
  <c r="D503" i="2"/>
  <c r="D504" i="2"/>
  <c r="E170" i="1"/>
  <c r="D574" i="2"/>
  <c r="D575" i="2"/>
  <c r="D576" i="2"/>
  <c r="D577" i="2"/>
  <c r="E168" i="1"/>
  <c r="D558" i="2"/>
  <c r="D559" i="2"/>
  <c r="D560" i="2"/>
  <c r="D561" i="2"/>
  <c r="E166" i="1"/>
  <c r="D597" i="2"/>
  <c r="E165" i="1"/>
  <c r="E164" i="1"/>
  <c r="D497" i="2"/>
  <c r="D498" i="2"/>
  <c r="D499" i="2"/>
  <c r="E162" i="1"/>
  <c r="D562" i="2"/>
  <c r="D563" i="2"/>
  <c r="E161" i="1"/>
  <c r="D585" i="2"/>
  <c r="D586" i="2"/>
  <c r="E160" i="1"/>
  <c r="D670" i="2"/>
  <c r="D671" i="2"/>
  <c r="E158" i="1"/>
  <c r="D655" i="2"/>
  <c r="D656" i="2"/>
  <c r="E157" i="1"/>
  <c r="D675" i="2"/>
  <c r="D676" i="2"/>
  <c r="E156" i="1"/>
  <c r="D672" i="2"/>
  <c r="D673" i="2"/>
  <c r="E155" i="1"/>
  <c r="D587" i="2"/>
  <c r="D588" i="2"/>
  <c r="E154" i="1"/>
  <c r="D617" i="2"/>
  <c r="D618" i="2"/>
  <c r="D619" i="2"/>
  <c r="D620" i="2"/>
  <c r="E153" i="1"/>
  <c r="D572" i="2"/>
  <c r="D573" i="2"/>
  <c r="E152" i="1"/>
  <c r="D694" i="2"/>
  <c r="D695" i="2"/>
  <c r="E151" i="1"/>
  <c r="D534" i="2"/>
  <c r="E150" i="1"/>
  <c r="D691" i="2"/>
  <c r="E149" i="1"/>
  <c r="D531" i="2"/>
  <c r="D532" i="2"/>
  <c r="E145" i="1"/>
  <c r="D641" i="2"/>
  <c r="D642" i="2"/>
  <c r="E144" i="1"/>
  <c r="D660" i="2"/>
  <c r="D661" i="2"/>
  <c r="E143" i="1"/>
  <c r="D658" i="2"/>
  <c r="D659" i="2"/>
  <c r="E142" i="1"/>
  <c r="D632" i="2"/>
  <c r="D633" i="2"/>
  <c r="E140" i="1"/>
  <c r="D554" i="2"/>
  <c r="D555" i="2"/>
  <c r="E139" i="1"/>
  <c r="D624" i="2"/>
  <c r="D625" i="2"/>
  <c r="E138" i="1"/>
  <c r="D612" i="2"/>
  <c r="D613" i="2"/>
  <c r="D614" i="2"/>
  <c r="E136" i="1"/>
  <c r="D581" i="2"/>
  <c r="D582" i="2"/>
  <c r="D634" i="2"/>
  <c r="D635" i="2"/>
  <c r="D636" i="2"/>
  <c r="D702" i="2"/>
  <c r="D703" i="2"/>
  <c r="E126" i="1"/>
  <c r="D697" i="2"/>
  <c r="D698" i="2"/>
  <c r="D495" i="2"/>
  <c r="D496" i="2"/>
  <c r="E118" i="1"/>
  <c r="D696" i="2"/>
  <c r="D664" i="2"/>
  <c r="D665" i="2"/>
  <c r="E100" i="1"/>
  <c r="D621" i="2"/>
  <c r="D622" i="2"/>
  <c r="D623" i="2"/>
  <c r="D685" i="2"/>
  <c r="D686" i="2"/>
  <c r="E95" i="1"/>
  <c r="D515" i="2"/>
  <c r="D516" i="2"/>
  <c r="D517" i="2"/>
  <c r="D643" i="2"/>
  <c r="D644" i="2"/>
  <c r="E90" i="1"/>
  <c r="D512" i="2"/>
  <c r="D513" i="2"/>
  <c r="D514" i="2"/>
  <c r="D590" i="2"/>
  <c r="D591" i="2"/>
  <c r="D592" i="2"/>
  <c r="E85" i="1"/>
  <c r="D527" i="2"/>
  <c r="D528" i="2"/>
  <c r="E81" i="1"/>
  <c r="D548" i="2"/>
  <c r="D549" i="2"/>
  <c r="D550" i="2"/>
  <c r="E73" i="1"/>
  <c r="D683" i="2"/>
  <c r="D684" i="2"/>
  <c r="D662" i="2"/>
  <c r="D663" i="2"/>
  <c r="D544" i="2"/>
  <c r="D545" i="2"/>
  <c r="D668" i="2"/>
  <c r="D669" i="2"/>
  <c r="E53" i="1"/>
  <c r="D525" i="2"/>
  <c r="D526" i="2"/>
  <c r="E52" i="1"/>
  <c r="D556" i="2"/>
  <c r="D557" i="2"/>
  <c r="E49" i="1"/>
  <c r="D538" i="2"/>
  <c r="D539" i="2"/>
  <c r="D540" i="2"/>
  <c r="D541" i="2"/>
  <c r="D542" i="2"/>
  <c r="E47" i="1"/>
  <c r="D601" i="2"/>
  <c r="D602" i="2"/>
  <c r="D603" i="2"/>
  <c r="D493" i="2"/>
  <c r="D494" i="2"/>
  <c r="E44" i="1"/>
  <c r="D657" i="2"/>
  <c r="E42" i="1"/>
  <c r="D523" i="2"/>
  <c r="D524" i="2"/>
  <c r="E40" i="1"/>
  <c r="D645" i="2"/>
  <c r="D646" i="2"/>
  <c r="D700" i="2"/>
  <c r="D701" i="2"/>
  <c r="D639" i="2"/>
  <c r="D640" i="2"/>
  <c r="D648" i="2"/>
  <c r="D649" i="2"/>
  <c r="E31" i="1"/>
  <c r="D637" i="2"/>
  <c r="D638" i="2"/>
  <c r="E30" i="1"/>
  <c r="D677" i="2"/>
  <c r="D678" i="2"/>
  <c r="D651" i="2"/>
  <c r="D652" i="2"/>
  <c r="E26" i="1"/>
  <c r="D599" i="2"/>
  <c r="D600" i="2"/>
  <c r="D546" i="2"/>
  <c r="D547" i="2"/>
  <c r="E18" i="1"/>
  <c r="D579" i="2"/>
  <c r="D580" i="2"/>
  <c r="E14" i="1"/>
  <c r="D564" i="2"/>
  <c r="D565" i="2"/>
  <c r="D507" i="2"/>
  <c r="D508" i="2"/>
  <c r="D509" i="2"/>
  <c r="D529" i="2"/>
  <c r="D530" i="2"/>
  <c r="E9" i="1"/>
  <c r="D551" i="2"/>
  <c r="D552" i="2"/>
  <c r="D536" i="2"/>
  <c r="D537" i="2"/>
  <c r="D506" i="2"/>
  <c r="D631" i="2"/>
  <c r="D566" i="2"/>
  <c r="D567" i="2"/>
  <c r="D568" i="2"/>
  <c r="D520" i="2"/>
  <c r="D521" i="2"/>
  <c r="D522" i="2"/>
  <c r="D569" i="2"/>
  <c r="D570" i="2"/>
  <c r="D609" i="2"/>
  <c r="D610" i="2"/>
  <c r="D611" i="2"/>
  <c r="D615" i="2"/>
  <c r="D616" i="2"/>
  <c r="D68" i="2"/>
  <c r="D69" i="2"/>
  <c r="D56" i="2"/>
  <c r="D57" i="2"/>
  <c r="D62" i="2"/>
  <c r="D63" i="2"/>
  <c r="D66" i="2"/>
  <c r="D67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10" i="2"/>
  <c r="B10" i="9"/>
  <c r="D10" i="9"/>
  <c r="E10" i="2"/>
  <c r="C10" i="2"/>
  <c r="B10" i="2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Y500" i="9" l="1"/>
  <c r="Y499" i="9"/>
  <c r="Y498" i="9"/>
  <c r="Y497" i="9"/>
  <c r="Y496" i="9"/>
  <c r="Y495" i="9"/>
  <c r="Y494" i="9"/>
  <c r="Y493" i="9"/>
  <c r="Y492" i="9"/>
  <c r="Y491" i="9"/>
  <c r="Y490" i="9"/>
  <c r="Y489" i="9"/>
  <c r="Y488" i="9"/>
  <c r="Y487" i="9"/>
  <c r="Y486" i="9"/>
  <c r="Y485" i="9"/>
  <c r="Y484" i="9"/>
  <c r="Y483" i="9"/>
  <c r="Y482" i="9"/>
  <c r="Y481" i="9"/>
  <c r="Y480" i="9"/>
  <c r="Y479" i="9"/>
  <c r="Y478" i="9"/>
  <c r="Y477" i="9"/>
  <c r="Y476" i="9"/>
  <c r="Y475" i="9"/>
  <c r="Y474" i="9"/>
  <c r="Y473" i="9"/>
  <c r="Y472" i="9"/>
  <c r="Y471" i="9"/>
  <c r="Y470" i="9"/>
  <c r="Y469" i="9"/>
  <c r="Y468" i="9"/>
  <c r="Y467" i="9"/>
  <c r="Y466" i="9"/>
  <c r="Y465" i="9"/>
  <c r="Y464" i="9"/>
  <c r="Y463" i="9"/>
  <c r="Y462" i="9"/>
  <c r="Y461" i="9"/>
  <c r="Y460" i="9"/>
  <c r="Y459" i="9"/>
  <c r="Y458" i="9"/>
  <c r="Y457" i="9"/>
  <c r="Y456" i="9"/>
  <c r="Y455" i="9"/>
  <c r="Y454" i="9"/>
  <c r="Y453" i="9"/>
  <c r="Y452" i="9"/>
  <c r="Y451" i="9"/>
  <c r="Y450" i="9"/>
  <c r="Y449" i="9"/>
  <c r="Y448" i="9"/>
  <c r="Y447" i="9"/>
  <c r="Y446" i="9"/>
  <c r="Y445" i="9"/>
  <c r="Y444" i="9"/>
  <c r="Y443" i="9"/>
  <c r="Y442" i="9"/>
  <c r="Y441" i="9"/>
  <c r="Y440" i="9"/>
  <c r="Y439" i="9"/>
  <c r="Y438" i="9"/>
  <c r="Y437" i="9"/>
  <c r="Y436" i="9"/>
  <c r="Y435" i="9"/>
  <c r="Y434" i="9"/>
  <c r="Y433" i="9"/>
  <c r="Y432" i="9"/>
  <c r="Y431" i="9"/>
  <c r="Y430" i="9"/>
  <c r="Y429" i="9"/>
  <c r="Y428" i="9"/>
  <c r="Y427" i="9"/>
  <c r="Y426" i="9"/>
  <c r="Y425" i="9"/>
  <c r="Y424" i="9"/>
  <c r="Y423" i="9"/>
  <c r="Y422" i="9"/>
  <c r="Y421" i="9"/>
  <c r="Y420" i="9"/>
  <c r="Y419" i="9"/>
  <c r="Y418" i="9"/>
  <c r="Y417" i="9"/>
  <c r="Y416" i="9"/>
  <c r="Y415" i="9"/>
  <c r="Y414" i="9"/>
  <c r="Y413" i="9"/>
  <c r="Y412" i="9"/>
  <c r="Y411" i="9"/>
  <c r="Y410" i="9"/>
  <c r="Y409" i="9"/>
  <c r="Y408" i="9"/>
  <c r="Y407" i="9"/>
  <c r="Y406" i="9"/>
  <c r="Y405" i="9"/>
  <c r="Y404" i="9"/>
  <c r="Y403" i="9"/>
  <c r="Y402" i="9"/>
  <c r="Y401" i="9"/>
  <c r="Y400" i="9"/>
  <c r="Y399" i="9"/>
  <c r="Y398" i="9"/>
  <c r="Y397" i="9"/>
  <c r="Y396" i="9"/>
  <c r="Y395" i="9"/>
  <c r="Y394" i="9"/>
  <c r="Y393" i="9"/>
  <c r="Y392" i="9"/>
  <c r="Y391" i="9"/>
  <c r="Y390" i="9"/>
  <c r="Y389" i="9"/>
  <c r="Y388" i="9"/>
  <c r="Y387" i="9"/>
  <c r="Y386" i="9"/>
  <c r="Y385" i="9"/>
  <c r="Y384" i="9"/>
  <c r="Y383" i="9"/>
  <c r="Y382" i="9"/>
  <c r="Y381" i="9"/>
  <c r="Y380" i="9"/>
  <c r="Y379" i="9"/>
  <c r="Y378" i="9"/>
  <c r="Y377" i="9"/>
  <c r="Y376" i="9"/>
  <c r="Y375" i="9"/>
  <c r="Y374" i="9"/>
  <c r="Y373" i="9"/>
  <c r="Y372" i="9"/>
  <c r="Y371" i="9"/>
  <c r="Y370" i="9"/>
  <c r="Y369" i="9"/>
  <c r="Y368" i="9"/>
  <c r="Y367" i="9"/>
  <c r="Y366" i="9"/>
  <c r="Y365" i="9"/>
  <c r="Y364" i="9"/>
  <c r="Y363" i="9"/>
  <c r="Y362" i="9"/>
  <c r="Y361" i="9"/>
  <c r="Y360" i="9"/>
  <c r="Y359" i="9"/>
  <c r="Y358" i="9"/>
  <c r="Y357" i="9"/>
  <c r="Y356" i="9"/>
  <c r="Y355" i="9"/>
  <c r="Y354" i="9"/>
  <c r="Y353" i="9"/>
  <c r="Y352" i="9"/>
  <c r="Y351" i="9"/>
  <c r="Y350" i="9"/>
  <c r="Y349" i="9"/>
  <c r="Y348" i="9"/>
  <c r="Y347" i="9"/>
  <c r="Y346" i="9"/>
  <c r="Y345" i="9"/>
  <c r="Y344" i="9"/>
  <c r="Y343" i="9"/>
  <c r="Y342" i="9"/>
  <c r="Y341" i="9"/>
  <c r="Y340" i="9"/>
  <c r="Y339" i="9"/>
  <c r="Y338" i="9"/>
  <c r="Y337" i="9"/>
  <c r="Y336" i="9"/>
  <c r="Y335" i="9"/>
  <c r="Y334" i="9"/>
  <c r="Y333" i="9"/>
  <c r="Y332" i="9"/>
  <c r="Y331" i="9"/>
  <c r="Y330" i="9"/>
  <c r="Y329" i="9"/>
  <c r="Y328" i="9"/>
  <c r="Y327" i="9"/>
  <c r="Y326" i="9"/>
  <c r="Y325" i="9"/>
  <c r="Y324" i="9"/>
  <c r="Y323" i="9"/>
  <c r="Y322" i="9"/>
  <c r="Y321" i="9"/>
  <c r="Y320" i="9"/>
  <c r="Y319" i="9"/>
  <c r="Y318" i="9"/>
  <c r="Y317" i="9"/>
  <c r="Y316" i="9"/>
  <c r="Y315" i="9"/>
  <c r="Y314" i="9"/>
  <c r="Y313" i="9"/>
  <c r="Y312" i="9"/>
  <c r="Y311" i="9"/>
  <c r="Y310" i="9"/>
  <c r="Y309" i="9"/>
  <c r="Y308" i="9"/>
  <c r="Y307" i="9"/>
  <c r="Y306" i="9"/>
  <c r="Y305" i="9"/>
  <c r="Y304" i="9"/>
  <c r="Y303" i="9"/>
  <c r="Y302" i="9"/>
  <c r="Y301" i="9"/>
  <c r="Y300" i="9"/>
  <c r="Y299" i="9"/>
  <c r="Y298" i="9"/>
  <c r="Y297" i="9"/>
  <c r="Y296" i="9"/>
  <c r="Y295" i="9"/>
  <c r="Y294" i="9"/>
  <c r="Y293" i="9"/>
  <c r="Y292" i="9"/>
  <c r="Y291" i="9"/>
  <c r="Y290" i="9"/>
  <c r="Y289" i="9"/>
  <c r="Y288" i="9"/>
  <c r="Y287" i="9"/>
  <c r="Y286" i="9"/>
  <c r="Y285" i="9"/>
  <c r="Y284" i="9"/>
  <c r="Y283" i="9"/>
  <c r="Y282" i="9"/>
  <c r="Y281" i="9"/>
  <c r="Y280" i="9"/>
  <c r="Y279" i="9"/>
  <c r="Y278" i="9"/>
  <c r="Y277" i="9"/>
  <c r="Y276" i="9"/>
  <c r="Y275" i="9"/>
  <c r="Y274" i="9"/>
  <c r="Y273" i="9"/>
  <c r="Y272" i="9"/>
  <c r="Y271" i="9"/>
  <c r="Y270" i="9"/>
  <c r="Y269" i="9"/>
  <c r="Y268" i="9"/>
  <c r="Y267" i="9"/>
  <c r="Y266" i="9"/>
  <c r="Y265" i="9"/>
  <c r="Y264" i="9"/>
  <c r="Y263" i="9"/>
  <c r="Y262" i="9"/>
  <c r="Y261" i="9"/>
  <c r="Y260" i="9"/>
  <c r="Y259" i="9"/>
  <c r="Y258" i="9"/>
  <c r="Y257" i="9"/>
  <c r="Y256" i="9"/>
  <c r="Y255" i="9"/>
  <c r="Y254" i="9"/>
  <c r="Y253" i="9"/>
  <c r="Y252" i="9"/>
  <c r="Y251" i="9"/>
  <c r="Y250" i="9"/>
  <c r="Y249" i="9"/>
  <c r="Y248" i="9"/>
  <c r="Y247" i="9"/>
  <c r="Y246" i="9"/>
  <c r="Y245" i="9"/>
  <c r="Y244" i="9"/>
  <c r="Y243" i="9"/>
  <c r="Y242" i="9"/>
  <c r="Y241" i="9"/>
  <c r="Y240" i="9"/>
  <c r="Y239" i="9"/>
  <c r="Y238" i="9"/>
  <c r="Y237" i="9"/>
  <c r="Y236" i="9"/>
  <c r="Y235" i="9"/>
  <c r="Y234" i="9"/>
  <c r="Y233" i="9"/>
  <c r="Y232" i="9"/>
  <c r="Y231" i="9"/>
  <c r="Y230" i="9"/>
  <c r="Y229" i="9"/>
  <c r="Y228" i="9"/>
  <c r="Y227" i="9"/>
  <c r="Y226" i="9"/>
  <c r="Y225" i="9"/>
  <c r="Y224" i="9"/>
  <c r="Y223" i="9"/>
  <c r="Y222" i="9"/>
  <c r="Y221" i="9"/>
  <c r="Y220" i="9"/>
  <c r="Y219" i="9"/>
  <c r="Y218" i="9"/>
  <c r="Y217" i="9"/>
  <c r="Y216" i="9"/>
  <c r="Y215" i="9"/>
  <c r="Y214" i="9"/>
  <c r="Y213" i="9"/>
  <c r="Y212" i="9"/>
  <c r="Y211" i="9"/>
  <c r="Y210" i="9"/>
  <c r="Y209" i="9"/>
  <c r="Y208" i="9"/>
  <c r="Y207" i="9"/>
  <c r="Y206" i="9"/>
  <c r="Y205" i="9"/>
  <c r="Y204" i="9"/>
  <c r="Y203" i="9"/>
  <c r="Y202" i="9"/>
  <c r="Y201" i="9"/>
  <c r="Y200" i="9"/>
  <c r="Y199" i="9"/>
  <c r="Y198" i="9"/>
  <c r="Y197" i="9"/>
  <c r="Y196" i="9"/>
  <c r="Y195" i="9"/>
  <c r="Y194" i="9"/>
  <c r="Y193" i="9"/>
  <c r="Y192" i="9"/>
  <c r="Y191" i="9"/>
  <c r="Y190" i="9"/>
  <c r="Y189" i="9"/>
  <c r="Y188" i="9"/>
  <c r="Y187" i="9"/>
  <c r="Y186" i="9"/>
  <c r="Y185" i="9"/>
  <c r="Y184" i="9"/>
  <c r="Y183" i="9"/>
  <c r="Y182" i="9"/>
  <c r="Y181" i="9"/>
  <c r="Y180" i="9"/>
  <c r="Y179" i="9"/>
  <c r="Y178" i="9"/>
  <c r="Y177" i="9"/>
  <c r="Y176" i="9"/>
  <c r="Y175" i="9"/>
  <c r="Y174" i="9"/>
  <c r="Y173" i="9"/>
  <c r="Y172" i="9"/>
  <c r="Y171" i="9"/>
  <c r="Y170" i="9"/>
  <c r="Y169" i="9"/>
  <c r="Y168" i="9"/>
  <c r="Y167" i="9"/>
  <c r="Y166" i="9"/>
  <c r="Y165" i="9"/>
  <c r="Y164" i="9"/>
  <c r="Y163" i="9"/>
  <c r="Y162" i="9"/>
  <c r="Y161" i="9"/>
  <c r="Y160" i="9"/>
  <c r="Y159" i="9"/>
  <c r="Y158" i="9"/>
  <c r="Y157" i="9"/>
  <c r="Y156" i="9"/>
  <c r="Y155" i="9"/>
  <c r="Y154" i="9"/>
  <c r="Y153" i="9"/>
  <c r="Y152" i="9"/>
  <c r="Y151" i="9"/>
  <c r="Y150" i="9"/>
  <c r="Y149" i="9"/>
  <c r="Y148" i="9"/>
  <c r="Y147" i="9"/>
  <c r="Y146" i="9"/>
  <c r="Y145" i="9"/>
  <c r="Y144" i="9"/>
  <c r="Y143" i="9"/>
  <c r="Y142" i="9"/>
  <c r="Y141" i="9"/>
  <c r="Y140" i="9"/>
  <c r="Y139" i="9"/>
  <c r="Y138" i="9"/>
  <c r="Y137" i="9"/>
  <c r="Y136" i="9"/>
  <c r="Y135" i="9"/>
  <c r="Y134" i="9"/>
  <c r="Y133" i="9"/>
  <c r="Y132" i="9"/>
  <c r="Y131" i="9"/>
  <c r="Y130" i="9"/>
  <c r="Y129" i="9"/>
  <c r="Y128" i="9"/>
  <c r="Y127" i="9"/>
  <c r="Y126" i="9"/>
  <c r="Y125" i="9"/>
  <c r="Y124" i="9"/>
  <c r="Y123" i="9"/>
  <c r="Y122" i="9"/>
  <c r="Y121" i="9"/>
  <c r="Y120" i="9"/>
  <c r="Y119" i="9"/>
  <c r="Y118" i="9"/>
  <c r="Y117" i="9"/>
  <c r="Y116" i="9"/>
  <c r="Y115" i="9"/>
  <c r="Y114" i="9"/>
  <c r="Y113" i="9"/>
  <c r="Y112" i="9"/>
  <c r="Y111" i="9"/>
  <c r="Y110" i="9"/>
  <c r="Y109" i="9"/>
  <c r="Y108" i="9"/>
  <c r="Y107" i="9"/>
  <c r="Y106" i="9"/>
  <c r="Y105" i="9"/>
  <c r="Y104" i="9"/>
  <c r="Y103" i="9"/>
  <c r="Y102" i="9"/>
  <c r="Y101" i="9"/>
  <c r="Y100" i="9"/>
  <c r="Y99" i="9"/>
  <c r="Y98" i="9"/>
  <c r="Y97" i="9"/>
  <c r="Y96" i="9"/>
  <c r="Y95" i="9"/>
  <c r="Y94" i="9"/>
  <c r="Y93" i="9"/>
  <c r="Y92" i="9"/>
  <c r="Y91" i="9"/>
  <c r="Y90" i="9"/>
  <c r="Y89" i="9"/>
  <c r="Y88" i="9"/>
  <c r="Y87" i="9"/>
  <c r="Y86" i="9"/>
  <c r="Y85" i="9"/>
  <c r="Y84" i="9"/>
  <c r="Y83" i="9"/>
  <c r="Y82" i="9"/>
  <c r="Y81" i="9"/>
  <c r="Y80" i="9"/>
  <c r="Y79" i="9"/>
  <c r="Y78" i="9"/>
  <c r="Y77" i="9"/>
  <c r="Y76" i="9"/>
  <c r="Y75" i="9"/>
  <c r="Y74" i="9"/>
  <c r="Y73" i="9"/>
  <c r="Y72" i="9"/>
  <c r="Y71" i="9"/>
  <c r="Y70" i="9"/>
  <c r="Y69" i="9"/>
  <c r="Y68" i="9"/>
  <c r="Y67" i="9"/>
  <c r="Y66" i="9"/>
  <c r="Y65" i="9"/>
  <c r="Y64" i="9"/>
  <c r="Y63" i="9"/>
  <c r="Y62" i="9"/>
  <c r="Y61" i="9"/>
  <c r="Y60" i="9"/>
  <c r="Y59" i="9"/>
  <c r="Y58" i="9"/>
  <c r="Y57" i="9"/>
  <c r="Y56" i="9"/>
  <c r="Y55" i="9"/>
  <c r="Y54" i="9"/>
  <c r="Y53" i="9"/>
  <c r="Y52" i="9"/>
  <c r="Y51" i="9"/>
  <c r="Y50" i="9"/>
  <c r="Y49" i="9"/>
  <c r="Y48" i="9"/>
  <c r="Y47" i="9"/>
  <c r="Y46" i="9"/>
  <c r="Y45" i="9"/>
  <c r="Y44" i="9"/>
  <c r="Y43" i="9"/>
  <c r="Y42" i="9"/>
  <c r="Y41" i="9"/>
  <c r="Y40" i="9"/>
  <c r="Y39" i="9"/>
  <c r="Y38" i="9"/>
  <c r="Y37" i="9"/>
  <c r="Y36" i="9"/>
  <c r="Y35" i="9"/>
  <c r="Y34" i="9"/>
  <c r="Y33" i="9"/>
  <c r="Y32" i="9"/>
  <c r="Y31" i="9"/>
  <c r="Y30" i="9"/>
  <c r="Y29" i="9"/>
  <c r="Y28" i="9"/>
  <c r="Y27" i="9"/>
  <c r="Y26" i="9"/>
  <c r="Y25" i="9"/>
  <c r="Y24" i="9"/>
  <c r="Y23" i="9"/>
  <c r="Y22" i="9"/>
  <c r="Y21" i="9"/>
  <c r="Y20" i="9"/>
  <c r="Y19" i="9"/>
  <c r="Y18" i="9"/>
  <c r="Y17" i="9"/>
  <c r="Y16" i="9"/>
  <c r="Y15" i="9"/>
  <c r="Y14" i="9"/>
  <c r="Y13" i="9"/>
  <c r="Y12" i="9"/>
  <c r="Y11" i="9"/>
  <c r="Y10" i="9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Y2" i="1" a="1"/>
  <c r="AY2" i="1" s="1"/>
  <c r="D59" i="2" l="1"/>
  <c r="D60" i="2"/>
  <c r="D61" i="2"/>
  <c r="D51" i="2"/>
  <c r="D52" i="2"/>
  <c r="D70" i="2"/>
  <c r="D58" i="2"/>
  <c r="D64" i="2"/>
  <c r="D65" i="2"/>
  <c r="D53" i="2"/>
  <c r="D54" i="2"/>
  <c r="D55" i="2"/>
  <c r="D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<sst xmlns="http://schemas.openxmlformats.org/spreadsheetml/2006/main" count="7731" uniqueCount="1878">
  <si>
    <t>NOME</t>
  </si>
  <si>
    <t>CHAPA</t>
  </si>
  <si>
    <t>CH SEMANAL</t>
  </si>
  <si>
    <t>CH LETIVA</t>
  </si>
  <si>
    <t>CH NÃO-LETIVA</t>
  </si>
  <si>
    <t>EQUIPE (RH)</t>
  </si>
  <si>
    <t>CPF</t>
  </si>
  <si>
    <t>STATUS</t>
  </si>
  <si>
    <t>CARGO</t>
  </si>
  <si>
    <t>MÓDULO</t>
  </si>
  <si>
    <t>ORDEM</t>
  </si>
  <si>
    <t>DIA</t>
  </si>
  <si>
    <t>HORÁRIOS</t>
  </si>
  <si>
    <t>ID</t>
  </si>
  <si>
    <t>NATUREZA</t>
  </si>
  <si>
    <t>GRUPO ATIVIDADE</t>
  </si>
  <si>
    <t>ATOR</t>
  </si>
  <si>
    <t>ATIVIDADE</t>
  </si>
  <si>
    <t>CLASSE DE ANÁLISE</t>
  </si>
  <si>
    <t>GLOSSÁRIO</t>
  </si>
  <si>
    <t>TIPO ATIVIDADE</t>
  </si>
  <si>
    <t>OBSERVAÇÃO</t>
  </si>
  <si>
    <t>CHAVE</t>
  </si>
  <si>
    <t>CH MIN VAL</t>
  </si>
  <si>
    <t>CH MAX VAL</t>
  </si>
  <si>
    <t>ADRIANA DOS SANTOS SOUZA CREVELIN</t>
  </si>
  <si>
    <t>012009006172</t>
  </si>
  <si>
    <t>JULIANA MORAES DA SILVA</t>
  </si>
  <si>
    <t>29290419865</t>
  </si>
  <si>
    <t>ATIVO</t>
  </si>
  <si>
    <t>PROFESSOR REGENTE</t>
  </si>
  <si>
    <t>51|2026</t>
  </si>
  <si>
    <t>2 - Segunda</t>
  </si>
  <si>
    <t>19:00 às 20:30</t>
  </si>
  <si>
    <t>ADRIANO PARRAS MENEGATTI</t>
  </si>
  <si>
    <t>012009004349</t>
  </si>
  <si>
    <t>08784034939</t>
  </si>
  <si>
    <t>PROFESSOR DE ENSINO SUPERIOR EAD</t>
  </si>
  <si>
    <t>52|2026</t>
  </si>
  <si>
    <t>3 - Terça</t>
  </si>
  <si>
    <t>20:40 às 22:10</t>
  </si>
  <si>
    <t>Ensino</t>
  </si>
  <si>
    <t>Aulas</t>
  </si>
  <si>
    <t>Professor EAD, Professor Regente</t>
  </si>
  <si>
    <t xml:space="preserve">Planejamento da Aula </t>
  </si>
  <si>
    <t>Atividades de Ensino</t>
  </si>
  <si>
    <t>Organizar os materiais e recursos didáticos para ministração da aula, bem como elaborar o portfólio da disciplina.</t>
  </si>
  <si>
    <t>Horas não letivas</t>
  </si>
  <si>
    <t>Deve ser feito registro por disciplina</t>
  </si>
  <si>
    <t>Planejamento_Aula</t>
  </si>
  <si>
    <t>ADRIANO RUY MATSUO</t>
  </si>
  <si>
    <t>012009003801</t>
  </si>
  <si>
    <t>05088387970</t>
  </si>
  <si>
    <t>53|2026</t>
  </si>
  <si>
    <t>ESTENDIDA</t>
  </si>
  <si>
    <t>4 - Quarta</t>
  </si>
  <si>
    <t>Planejamento da Disciplina</t>
  </si>
  <si>
    <t>Atualizar ementa, bibliografia e plano de ensino, conforme deliberação do NDE. Elaborar o plano de ação da disciplina. Elaborar os slides padrão para a aula ao vivo. Realizar o apoio e orientação aos Tutores de Prática e aos Professores Mediadores vinculados às suas disciplinas.</t>
  </si>
  <si>
    <t>Planejamento_Disciplina</t>
  </si>
  <si>
    <t>ADRIELE ANDRADE CEOLA</t>
  </si>
  <si>
    <t>012009003713</t>
  </si>
  <si>
    <t>09015334919</t>
  </si>
  <si>
    <t>54|2026</t>
  </si>
  <si>
    <t>5 - Quinta</t>
  </si>
  <si>
    <t>Orientação</t>
  </si>
  <si>
    <t>Professor EAD, Professor Regente, Professor Mediador</t>
  </si>
  <si>
    <t>Orientar Estágio Curricular (Obrigatório)</t>
  </si>
  <si>
    <t>Estágio curricular</t>
  </si>
  <si>
    <t>Orientar e acompanhar as atividades referentes ao Estágio Curricular junto aos estudantes e supervisores/preceptores. Realizar plantões mensais com os estudantes, gravar tutoriais, participação em seminário, elaborar e cadastrar  propostas avaliativas.</t>
  </si>
  <si>
    <t>Deve ser feito registro por disciplina e turma</t>
  </si>
  <si>
    <t>Orientar_Estagio</t>
  </si>
  <si>
    <t>ALEXANDRE LUIS PONCE MARTINS</t>
  </si>
  <si>
    <t>012009004457</t>
  </si>
  <si>
    <t>06923731950</t>
  </si>
  <si>
    <t>6 - Sexta</t>
  </si>
  <si>
    <t>Professor EAD, Professor Regente, Professor Regente de Polo</t>
  </si>
  <si>
    <t>Orientar Preceptoria e Supervisão (Saúde/Educação)</t>
  </si>
  <si>
    <t>Preceptoria e supervisão em estágios curriculares obrigatórios.</t>
  </si>
  <si>
    <t>Orientar_Preceptoria</t>
  </si>
  <si>
    <t>ALINE DOS SANTOS PRETO DE SOUZA</t>
  </si>
  <si>
    <t>012009005709</t>
  </si>
  <si>
    <t>00780598954</t>
  </si>
  <si>
    <t>Orientar Projeto de Monitoria</t>
  </si>
  <si>
    <t>Orient. Ensino - Demais</t>
  </si>
  <si>
    <t xml:space="preserve">Orientar Projetos de Monitoria, a partir dos dados enviados pelo Núcleo de Monitoria. Produzir nivelamento, oficinas e projetos de ensino. </t>
  </si>
  <si>
    <t>Orientar_Monitoria</t>
  </si>
  <si>
    <t>AMANDA FERREIRA GUIMARAES</t>
  </si>
  <si>
    <t>012009006176</t>
  </si>
  <si>
    <t>34572496870</t>
  </si>
  <si>
    <t>ADMISSÃO PROX.MÊS</t>
  </si>
  <si>
    <t>Orientar Trabalho de Conclusão de Curso (TCC)</t>
  </si>
  <si>
    <t>TCC/Monografia</t>
  </si>
  <si>
    <t>Orientar e acompanhar as atividades referentes ao TCC/Monografia junto aos estudantes. Realizar plantões periodicos e/ou bancas com os estudantes.</t>
  </si>
  <si>
    <t>Deve ser feito registro por turma</t>
  </si>
  <si>
    <t>Orientar_TCC</t>
  </si>
  <si>
    <t>ANA CLAUDIA DE ABREU</t>
  </si>
  <si>
    <t>012009004231</t>
  </si>
  <si>
    <t>07853006942</t>
  </si>
  <si>
    <t xml:space="preserve">Produção de material didático </t>
  </si>
  <si>
    <t>Produção de material didático - Gravações</t>
  </si>
  <si>
    <t>Gravações</t>
  </si>
  <si>
    <t>Produzir materiais gravados para as disciplinas, tais como: gravação de aulas conceituais, gravação de aulas em pontes de feriados, gravação de autoatividades, gravação de podcasts, gravação de cápsulas de conhecimento, gravação de atividades práticas, entre outros.</t>
  </si>
  <si>
    <t>Produção_Gravação</t>
  </si>
  <si>
    <t>ANA ELISA LAVEZO</t>
  </si>
  <si>
    <t>012009003540</t>
  </si>
  <si>
    <t>02651880914</t>
  </si>
  <si>
    <t xml:space="preserve">Produção de material didático - Livros e Outros </t>
  </si>
  <si>
    <t>Gestão da disciplina</t>
  </si>
  <si>
    <t>Revisar livro da disciplina. Produzir, revisar e atualizar materiais didáticos, tais como: trilhas de aprendizagens, materiais complementares, diretrizes, e-books, manuais, objetos de aprendizagem, entre outros relativos às disciplinas.</t>
  </si>
  <si>
    <t>Produção_Livros</t>
  </si>
  <si>
    <t>ANA LUCIA SALES DE LIMA</t>
  </si>
  <si>
    <t>012009003558</t>
  </si>
  <si>
    <t>04130621980</t>
  </si>
  <si>
    <t xml:space="preserve">Produção de material didático - Roteiro de Vídeos </t>
  </si>
  <si>
    <t>Elaboração de roteiros de vídeos</t>
  </si>
  <si>
    <t>Elaborar roteiros/materiais de apoio para as gravações dos vídeos, tais como: aulas conceituais, aulas em pontes de feriados, autoatividades, podcasts, cápsulas de conhecimento, materiais para redes sociais, entre outros.</t>
  </si>
  <si>
    <t>Produção_Roteiro_Video</t>
  </si>
  <si>
    <t>ANA PAULA CAVALCANTE LIMAO DA SILVA</t>
  </si>
  <si>
    <t>012009004350</t>
  </si>
  <si>
    <t>00951182927</t>
  </si>
  <si>
    <t>Extensão</t>
  </si>
  <si>
    <t>Organização e Acompanhamento</t>
  </si>
  <si>
    <t>Elaborar Projeto de Extensão</t>
  </si>
  <si>
    <t>Elaborar Projeto de Extensão de acordo com as premissas estabelecidas e mediante aprovações necessárias dentro da BU.</t>
  </si>
  <si>
    <t>Deve ser feito registro por projeto</t>
  </si>
  <si>
    <t>Elaborar_Extensão</t>
  </si>
  <si>
    <t>ANDERSON DOUGLAS DA SILVA</t>
  </si>
  <si>
    <t>012009006177</t>
  </si>
  <si>
    <t>34254592876</t>
  </si>
  <si>
    <t>Orientar Projeto de  Extensão</t>
  </si>
  <si>
    <t>Orientar e acompanhar as atividades referentes à Extensão junto aos estudantes. Realizar plantões mensais com os estudantes.</t>
  </si>
  <si>
    <t>Orientar_Extensão</t>
  </si>
  <si>
    <t>ANDERSON KATSUMI MIYATAKE</t>
  </si>
  <si>
    <t>012009003470</t>
  </si>
  <si>
    <t>34064839846</t>
  </si>
  <si>
    <t>Pesquisa</t>
  </si>
  <si>
    <t>Orientação Pesquisa</t>
  </si>
  <si>
    <t>Conselho editorial</t>
  </si>
  <si>
    <t>Orient.IC/TI</t>
  </si>
  <si>
    <t>Compor e atuar junto ao conselho editorial das revistas institucionais.</t>
  </si>
  <si>
    <t>Conselho_Editorial</t>
  </si>
  <si>
    <t>ANDRESSA MARTINS DIAS FERREIRA</t>
  </si>
  <si>
    <t>012009005339</t>
  </si>
  <si>
    <t>07256864990</t>
  </si>
  <si>
    <t>Orientação de Iniciação Científica</t>
  </si>
  <si>
    <t xml:space="preserve">Orientar estudantes de graduação em projetos de Iniciação Científica, promovendo a formação acadêmica por meio da participação em atividades investigativas, bem como orientar e organizar  artigos para publicação em eventos e revistas. </t>
  </si>
  <si>
    <t>Deve ser feito registro por estudante</t>
  </si>
  <si>
    <t>Orientar_IC</t>
  </si>
  <si>
    <t>ANGELA FERREIRA DE LIMA PIZZAIA</t>
  </si>
  <si>
    <t>012009004467</t>
  </si>
  <si>
    <t>93494599904</t>
  </si>
  <si>
    <t>Coordenador de Curso, Professor EAD, Professor Regente, Professor Mediador</t>
  </si>
  <si>
    <t>Projeto de Inovação</t>
  </si>
  <si>
    <t>UA com Base Regulatória</t>
  </si>
  <si>
    <t>Desenvolver ou participar de iniciativas voltadas à criação, testagem ou implementação de soluções inovadoras.</t>
  </si>
  <si>
    <t>Projeto_Inovação</t>
  </si>
  <si>
    <t>ANTONIO ALVES PEREIRA JUNIOR</t>
  </si>
  <si>
    <t>012009006181</t>
  </si>
  <si>
    <t>06235685947</t>
  </si>
  <si>
    <t>Projeto de Pesquisa</t>
  </si>
  <si>
    <t>Participar ou coordenar projetos de pesquisa científica vinculados à instituição, com objetivos definidos, cronograma, metodologia e registro formal junto à área responsável. A atividade pode envolver coleta e análise de dados, elaboração de relatórios, artigos e participação em eventos científicos.</t>
  </si>
  <si>
    <t>Projeto_Pesquisa</t>
  </si>
  <si>
    <t>AUGUSTO JOAO STRICTAR MORETTO JUNIOR</t>
  </si>
  <si>
    <t>012009003638</t>
  </si>
  <si>
    <t>07999576905</t>
  </si>
  <si>
    <t>Planejamento</t>
  </si>
  <si>
    <t>Administrativas</t>
  </si>
  <si>
    <t>Atividades Administrativas/Gestão</t>
  </si>
  <si>
    <t>Realizar atividades administrativas relacionadas ao curso, de acordo com orientação da coordenação. Por exemplo: ajustar e revisar atas, acompanhar e coletar assinaturas nas atas, acompanhar e elaborar portfólios de atividades do curso, participar de avaliações de MEC, entre outros.</t>
  </si>
  <si>
    <t>Atividade_Administrativa</t>
  </si>
  <si>
    <t>BARBARA LETICIA DA SILVA GUEDES DE MOURA</t>
  </si>
  <si>
    <t>012009005453</t>
  </si>
  <si>
    <t>GISLAINE CARDOSO DE SOUZA FIAES</t>
  </si>
  <si>
    <t>06229448947</t>
  </si>
  <si>
    <t>Gestão Acadêmica</t>
  </si>
  <si>
    <t>Banco de Questões</t>
  </si>
  <si>
    <t>Elaborar, cadastrar, revisar e cancelar questões de acordo com as premissas estabelecidas para cada BU</t>
  </si>
  <si>
    <t>Banco_Questões</t>
  </si>
  <si>
    <t>BIANCA PAIXAO IZALBERTI</t>
  </si>
  <si>
    <t>012009004310</t>
  </si>
  <si>
    <t>06937762933</t>
  </si>
  <si>
    <t>Formação Docente</t>
  </si>
  <si>
    <t>Formação continuada</t>
  </si>
  <si>
    <t>Participar de programas, cursos, oficinas, reuniões, treinamentos ou eventos institucionais voltados ao desenvolvimento pedagógico, tecnológico ou científico, com o objetivo de aprimorar a atuação docente e alinhar práticas ao projeto educacional da instituição.</t>
  </si>
  <si>
    <t>Formação_Docente</t>
  </si>
  <si>
    <t>BRUNA MAYARA ROLDAO FERREIRA</t>
  </si>
  <si>
    <t>012009005987</t>
  </si>
  <si>
    <t>06489968916</t>
  </si>
  <si>
    <t>Organização do ENADE</t>
  </si>
  <si>
    <t>Gestão pedagógica</t>
  </si>
  <si>
    <t>Atuar na organização de processos relativos ao ENADE. Preencher questionário de avaliação prática dos estudantes (licenciaturas).</t>
  </si>
  <si>
    <t>Organização_ENADE</t>
  </si>
  <si>
    <t>CARINA SERON DA FONSECA</t>
  </si>
  <si>
    <t>012009006205</t>
  </si>
  <si>
    <t>06982676994</t>
  </si>
  <si>
    <t>Organização de Eventos Acadêmicos</t>
  </si>
  <si>
    <t>Eventos</t>
  </si>
  <si>
    <t>Organizar e participar de eventos acadêmicos de interesse da BU.</t>
  </si>
  <si>
    <t>Organização_Eventos</t>
  </si>
  <si>
    <t>CARLA FABIANA DE ANDRADE GONCALVES IORI</t>
  </si>
  <si>
    <t>012009003517</t>
  </si>
  <si>
    <t>03652555996</t>
  </si>
  <si>
    <t>Unidade Acadêmica Com Base Regulatória</t>
  </si>
  <si>
    <t>Conselho Profissional</t>
  </si>
  <si>
    <t>Participar da composição de conselho profissional (CAU, CREA, CRA, COREN, entre outros).</t>
  </si>
  <si>
    <t>Deve ser feito registro por conselho</t>
  </si>
  <si>
    <t>Conselho_Profissional</t>
  </si>
  <si>
    <t>CAROLINE PREVIATO SOUZA</t>
  </si>
  <si>
    <t>012009004488</t>
  </si>
  <si>
    <t>06374431952</t>
  </si>
  <si>
    <t>CPA - Comissão Própria de Avaliação</t>
  </si>
  <si>
    <t>Participar da Comissão Própria de Avaliação - CPA - de acordo com a Lei 10.861/2004 (SINAES).</t>
  </si>
  <si>
    <t>Considera-se que CPA organiza reuniões de trabalho um vez ao mês com duração de uma ou duas horas no máximo</t>
  </si>
  <si>
    <t>CPA</t>
  </si>
  <si>
    <t>CAROLINE WOLF TRENTINI SCHIPFER</t>
  </si>
  <si>
    <t>012009006209</t>
  </si>
  <si>
    <t>05209839982</t>
  </si>
  <si>
    <t>NDE - Núcleo Docente Estruturante</t>
  </si>
  <si>
    <t>Compor o Núcleo Docente Estruturante (NDE) dos cursos de graduação. Estas atividades devem ser exercidas apenas por Professores TI ou TP. Atribuição deve ser encaminhada via ofício e aprovação da Pro-Reitoria da BU.</t>
  </si>
  <si>
    <t>Considera-se um encontro mensal de uma hora ou duas no máximo para o NDE. Participar do NDE não consiste apenas em participar das reuniões. Há aprovações de materiais, ementas, entre outros.</t>
  </si>
  <si>
    <t>NDE</t>
  </si>
  <si>
    <t>CLAUDETE CRISTINA IWATA</t>
  </si>
  <si>
    <t>012009003393</t>
  </si>
  <si>
    <t>60216115949</t>
  </si>
  <si>
    <t>Participação em Núcleo</t>
  </si>
  <si>
    <t>Atuar como membro de núcleos institucionais, contribuindo com análises, pareceres e propostas voltadas ao desenvolvimento pedagógico e à avaliação institucional, conforme as diretrizes da IES e legislação vigente.</t>
  </si>
  <si>
    <t>Avaliar a periodicidade dessas atividades</t>
  </si>
  <si>
    <t>Participação_Núcleo</t>
  </si>
  <si>
    <t>CLAUDIA CRISTINA BATISTELA FRANCISCO</t>
  </si>
  <si>
    <t>012009003473</t>
  </si>
  <si>
    <t>03283083908</t>
  </si>
  <si>
    <t>Disciplina EAD - Curso Presencial (Disciplinas On-line e Disciplinas Digitais)</t>
  </si>
  <si>
    <t xml:space="preserve">Cadastrar banco de questões. Realizar orientações aos estudantes, atendimento de protocolo e revisão de avaliação. </t>
  </si>
  <si>
    <t>Disciplinas_Digitais</t>
  </si>
  <si>
    <t>CLEBER MENA LEAO JUNIOR</t>
  </si>
  <si>
    <t>012009006141</t>
  </si>
  <si>
    <t>00517327007</t>
  </si>
  <si>
    <t>CRISTINA CEREZUELA</t>
  </si>
  <si>
    <t>012009006182</t>
  </si>
  <si>
    <t>88380270991</t>
  </si>
  <si>
    <t>CRISTINA KOZAN DE BRITO</t>
  </si>
  <si>
    <t>012009006183</t>
  </si>
  <si>
    <t>04243159980</t>
  </si>
  <si>
    <t>CYNTIA DANIELLE PINTO GOMES</t>
  </si>
  <si>
    <t>012009006090</t>
  </si>
  <si>
    <t>03316790942</t>
  </si>
  <si>
    <t>DANIELA CARLA MONTEIRO</t>
  </si>
  <si>
    <t>012009003455</t>
  </si>
  <si>
    <t>01922159905</t>
  </si>
  <si>
    <t>DANIELA FAGUNDES CARNELOS NUNES</t>
  </si>
  <si>
    <t>012009006206</t>
  </si>
  <si>
    <t>07641785980</t>
  </si>
  <si>
    <t>DANIELA SIKORSKI</t>
  </si>
  <si>
    <t>012009003544</t>
  </si>
  <si>
    <t>02913298966</t>
  </si>
  <si>
    <t>DIOGO BOCHNIA ZULIANI</t>
  </si>
  <si>
    <t>012009003457</t>
  </si>
  <si>
    <t>03872419900</t>
  </si>
  <si>
    <t>EDMILSON DE LIMA LESSA</t>
  </si>
  <si>
    <t>012009005549</t>
  </si>
  <si>
    <t>08384214743</t>
  </si>
  <si>
    <t>EDSON RIBEIRO DE BRITTO DE ALMEIDA JUNIOR</t>
  </si>
  <si>
    <t>012009005037</t>
  </si>
  <si>
    <t>09307081999</t>
  </si>
  <si>
    <t>EDUARDO SALES DE LIMA</t>
  </si>
  <si>
    <t>012009003704</t>
  </si>
  <si>
    <t>26631459800</t>
  </si>
  <si>
    <t>ELIEL NERIS JOAQUIM</t>
  </si>
  <si>
    <t>012009006198</t>
  </si>
  <si>
    <t>04759793976</t>
  </si>
  <si>
    <t>ELISABETE CAMILO</t>
  </si>
  <si>
    <t>012009003830</t>
  </si>
  <si>
    <t>55578306934</t>
  </si>
  <si>
    <t>FERNANDA LEANDRO DOMANSKI</t>
  </si>
  <si>
    <t>012009006187</t>
  </si>
  <si>
    <t>03679887981</t>
  </si>
  <si>
    <t>FERNANDA SANTOS GARCIA</t>
  </si>
  <si>
    <t>012009006188</t>
  </si>
  <si>
    <t>05832693973</t>
  </si>
  <si>
    <t>FLAVIA REGINA MIECOANSKI</t>
  </si>
  <si>
    <t>012009006189</t>
  </si>
  <si>
    <t>07016960951</t>
  </si>
  <si>
    <t>GABRIEL COUTINHO CALVI</t>
  </si>
  <si>
    <t>012009005578</t>
  </si>
  <si>
    <t>06617016971</t>
  </si>
  <si>
    <t>GRACIELA LUCCA BRACCINI</t>
  </si>
  <si>
    <t>012009003534</t>
  </si>
  <si>
    <t>58029419015</t>
  </si>
  <si>
    <t>GUILHERME NETO FERRARI</t>
  </si>
  <si>
    <t>012009006190</t>
  </si>
  <si>
    <t>45562321807</t>
  </si>
  <si>
    <t>HEIDER JEFERSON GONCALVES</t>
  </si>
  <si>
    <t>012009003555</t>
  </si>
  <si>
    <t>00472246909</t>
  </si>
  <si>
    <t>HELOISE BEATRIZ QUESADA</t>
  </si>
  <si>
    <t>012009006191</t>
  </si>
  <si>
    <t>07742465965</t>
  </si>
  <si>
    <t>HELOUISE HELLEN DE GODOI VIOLA</t>
  </si>
  <si>
    <t>012009005858</t>
  </si>
  <si>
    <t>73533254100</t>
  </si>
  <si>
    <t>HERMISTEN MAIA PEREIRA DA COSTA</t>
  </si>
  <si>
    <t>012009003346</t>
  </si>
  <si>
    <t>69342555772</t>
  </si>
  <si>
    <t>HEVILA MARIA VIEIRA RUY</t>
  </si>
  <si>
    <t>012009006234</t>
  </si>
  <si>
    <t>11134592981</t>
  </si>
  <si>
    <t>HUGO LEONARDO LIPPI AREAS</t>
  </si>
  <si>
    <t>012009006214</t>
  </si>
  <si>
    <t>08441614970</t>
  </si>
  <si>
    <t>HUGO SANTANA CASTELETTO</t>
  </si>
  <si>
    <t>012009003528</t>
  </si>
  <si>
    <t>36960591880</t>
  </si>
  <si>
    <t>ISABELA ANTUNES DE SOUZA LIMA</t>
  </si>
  <si>
    <t>012009006215</t>
  </si>
  <si>
    <t>46550698804</t>
  </si>
  <si>
    <t>IVANILDA DE ALMEIDA MEIRA NOVAIS</t>
  </si>
  <si>
    <t>012009004198</t>
  </si>
  <si>
    <t>04169975979</t>
  </si>
  <si>
    <t>IZABELLA DURANTE TEMPORINI FURTADO</t>
  </si>
  <si>
    <t>012009006192</t>
  </si>
  <si>
    <t>10820077909</t>
  </si>
  <si>
    <t>JAKELLINE BRAGA DOS SANTOS</t>
  </si>
  <si>
    <t>012009003978</t>
  </si>
  <si>
    <t>FABIANE CARNIEL</t>
  </si>
  <si>
    <t>08582042906</t>
  </si>
  <si>
    <t>JANI BOLSONELLO GUERREIRO MARTINS</t>
  </si>
  <si>
    <t>012009006193</t>
  </si>
  <si>
    <t>96548240197</t>
  </si>
  <si>
    <t>JOAO LUIS DEQUI ARAUJO</t>
  </si>
  <si>
    <t>012009003845</t>
  </si>
  <si>
    <t>06240112917</t>
  </si>
  <si>
    <t>JOAQUIM GAMA DE CARVALHO</t>
  </si>
  <si>
    <t>012009005027</t>
  </si>
  <si>
    <t>82633053572</t>
  </si>
  <si>
    <t>JOSE CAMPOS DE ARAUJO RIBEIRO NETO</t>
  </si>
  <si>
    <t>012009003968</t>
  </si>
  <si>
    <t>01896699502</t>
  </si>
  <si>
    <t>JOSE CESAR FIGUEIREDO JUNKER</t>
  </si>
  <si>
    <t>012009006216</t>
  </si>
  <si>
    <t>34521142877</t>
  </si>
  <si>
    <t>JULIANA DA SILVA ARAUJO ALENCAR</t>
  </si>
  <si>
    <t>012009003508</t>
  </si>
  <si>
    <t>00572107994</t>
  </si>
  <si>
    <t>JULIANA FRANCO AFONSO</t>
  </si>
  <si>
    <t>012009003454</t>
  </si>
  <si>
    <t>00626760917</t>
  </si>
  <si>
    <t>JULLY OYAMA TAKIZAWA</t>
  </si>
  <si>
    <t>012009005223</t>
  </si>
  <si>
    <t>06638474944</t>
  </si>
  <si>
    <t>KARLA ROBERTA NEUMANN</t>
  </si>
  <si>
    <t>012009004589</t>
  </si>
  <si>
    <t>07171220931</t>
  </si>
  <si>
    <t>LARISSA VALONE SANGA</t>
  </si>
  <si>
    <t>012009000104</t>
  </si>
  <si>
    <t>04692124970</t>
  </si>
  <si>
    <t>LICENÇA MATER.</t>
  </si>
  <si>
    <t>LEILA MARCHEZI TAVARES MENANDRO</t>
  </si>
  <si>
    <t>012009005582</t>
  </si>
  <si>
    <t>08764099741</t>
  </si>
  <si>
    <t>LEONARDO DA SILVA FERREIRA</t>
  </si>
  <si>
    <t>012009006237</t>
  </si>
  <si>
    <t>07049748943</t>
  </si>
  <si>
    <t>LEONARDO SILVA PAIAO</t>
  </si>
  <si>
    <t>012009003936</t>
  </si>
  <si>
    <t>03807022902</t>
  </si>
  <si>
    <t>LETICIA SUZANE MOUREIRA DE LARA</t>
  </si>
  <si>
    <t>012009003465</t>
  </si>
  <si>
    <t>88495361949</t>
  </si>
  <si>
    <t>LIGIA MARIA CRUBELATI BULLA ALVES</t>
  </si>
  <si>
    <t>012009006194</t>
  </si>
  <si>
    <t>06462706996</t>
  </si>
  <si>
    <t>LUCAS FERREIRA SANTIAGO</t>
  </si>
  <si>
    <t>012009003875</t>
  </si>
  <si>
    <t>21987183835</t>
  </si>
  <si>
    <t>LUCAS RAFAEL SAPATINI DOS SANTOS</t>
  </si>
  <si>
    <t>012009006201</t>
  </si>
  <si>
    <t>10453828922</t>
  </si>
  <si>
    <t>LUCIANO XAVIER DE AZEVEDO</t>
  </si>
  <si>
    <t>012009003676</t>
  </si>
  <si>
    <t>02642040933</t>
  </si>
  <si>
    <t>LUIZ GUSTAVO DE PAULO</t>
  </si>
  <si>
    <t>012009005324</t>
  </si>
  <si>
    <t>06444167930</t>
  </si>
  <si>
    <t>LUIZ HENRIQUE PALOSCHI TOME</t>
  </si>
  <si>
    <t>012009003543</t>
  </si>
  <si>
    <t>07077059910</t>
  </si>
  <si>
    <t>MARCELO CRISTIAN VIEIRA</t>
  </si>
  <si>
    <t>012009002197</t>
  </si>
  <si>
    <t>29282191885</t>
  </si>
  <si>
    <t>MARCELO VOTTO TEXEIRA</t>
  </si>
  <si>
    <t>012009005713</t>
  </si>
  <si>
    <t>00703022008</t>
  </si>
  <si>
    <t>MARGARETE CAMPOS VIEIRA</t>
  </si>
  <si>
    <t>012009006203</t>
  </si>
  <si>
    <t>88465861900</t>
  </si>
  <si>
    <t>MARIA CAROLINA MIESSE</t>
  </si>
  <si>
    <t>012009004461</t>
  </si>
  <si>
    <t>11300262990</t>
  </si>
  <si>
    <t>MARIA NATALIA CHIMIRRI PERES</t>
  </si>
  <si>
    <t>012009006236</t>
  </si>
  <si>
    <t>06925647999</t>
  </si>
  <si>
    <t>MARIANA ARDENGUE</t>
  </si>
  <si>
    <t>012009004121</t>
  </si>
  <si>
    <t>09420076970</t>
  </si>
  <si>
    <t>MARIANA BARRETO POLTRONIERI</t>
  </si>
  <si>
    <t>012009006212</t>
  </si>
  <si>
    <t>06219796942</t>
  </si>
  <si>
    <t>MARTA CIRERA</t>
  </si>
  <si>
    <t>012009005581</t>
  </si>
  <si>
    <t>09723836890</t>
  </si>
  <si>
    <t>MAYCON VINICIUS DE SENNA RIBEIRO</t>
  </si>
  <si>
    <t>012009003848</t>
  </si>
  <si>
    <t>06437643994</t>
  </si>
  <si>
    <t>MELISSA CUMANI ARAGAO</t>
  </si>
  <si>
    <t>012009006213</t>
  </si>
  <si>
    <t>LEANDRO RANUCCI SILVA</t>
  </si>
  <si>
    <t>10038129965</t>
  </si>
  <si>
    <t>MILENA KELLER BULLA</t>
  </si>
  <si>
    <t>012009004027</t>
  </si>
  <si>
    <t>05636084986</t>
  </si>
  <si>
    <t>MURILO DE OLIVEIRA LAZARIN</t>
  </si>
  <si>
    <t>012009006217</t>
  </si>
  <si>
    <t>04449132971</t>
  </si>
  <si>
    <t>NATALIA BRANCO LOPES KRAWCZUN</t>
  </si>
  <si>
    <t>012009006132</t>
  </si>
  <si>
    <t>00739176994</t>
  </si>
  <si>
    <t>NATALY DE CARVALHO FUGI</t>
  </si>
  <si>
    <t>012009004311</t>
  </si>
  <si>
    <t>06253073990</t>
  </si>
  <si>
    <t>NAYARA PELEGRINELLO PANAGE</t>
  </si>
  <si>
    <t>012009004273</t>
  </si>
  <si>
    <t>05077334951</t>
  </si>
  <si>
    <t>NORMA SUELY DE SOUZA CARVALHO</t>
  </si>
  <si>
    <t>012009005489</t>
  </si>
  <si>
    <t>47368640600</t>
  </si>
  <si>
    <t>PAMELLA CRISTINA BASSETI DE SOUZA</t>
  </si>
  <si>
    <t>012009006219</t>
  </si>
  <si>
    <t>07194604922</t>
  </si>
  <si>
    <t>PAULA VALERIA VIOTTI MOREIRA</t>
  </si>
  <si>
    <t>012009005913</t>
  </si>
  <si>
    <t>04627315961</t>
  </si>
  <si>
    <t>PAULO DE MELO CINTRA DAMIAO</t>
  </si>
  <si>
    <t>012009003476</t>
  </si>
  <si>
    <t>01540111857</t>
  </si>
  <si>
    <t>PEDRO ARTHUR DE MELO NASCIMENTO</t>
  </si>
  <si>
    <t>012009004318</t>
  </si>
  <si>
    <t>04649250536</t>
  </si>
  <si>
    <t>PEDRO ENRRIQUE SILVA PEIXOTO</t>
  </si>
  <si>
    <t>012009005844</t>
  </si>
  <si>
    <t>09285166440</t>
  </si>
  <si>
    <t>PEDRO HENRIQUE CREMONEZ ROSA</t>
  </si>
  <si>
    <t>012009006220</t>
  </si>
  <si>
    <t>06944200937</t>
  </si>
  <si>
    <t>QUEILA TURCHETTO</t>
  </si>
  <si>
    <t>012009004151</t>
  </si>
  <si>
    <t>05532900965</t>
  </si>
  <si>
    <t>RAFAEL SALMAZO</t>
  </si>
  <si>
    <t>012009006221</t>
  </si>
  <si>
    <t>00776263978</t>
  </si>
  <si>
    <t>RAONY ROBSON RUIZ</t>
  </si>
  <si>
    <t>012009006222</t>
  </si>
  <si>
    <t>07610382990</t>
  </si>
  <si>
    <t>RAQUEL DE ARAUJO BOMFIM GARCIA</t>
  </si>
  <si>
    <t>012009003803</t>
  </si>
  <si>
    <t>01713102927</t>
  </si>
  <si>
    <t>RAUL GRECO JUNIOR</t>
  </si>
  <si>
    <t>012009005662</t>
  </si>
  <si>
    <t>34373835829</t>
  </si>
  <si>
    <t>RENATA CRISTINA DE SOUZA</t>
  </si>
  <si>
    <t>012009006223</t>
  </si>
  <si>
    <t>04112152990</t>
  </si>
  <si>
    <t>RICARDO AZENHA LOUREIRO ALBUQUERQUE</t>
  </si>
  <si>
    <t>012009002898</t>
  </si>
  <si>
    <t>17857888842</t>
  </si>
  <si>
    <t>FÉRIAS</t>
  </si>
  <si>
    <t>RICARDO CARDOSO DE OLIVEIRA</t>
  </si>
  <si>
    <t>012009004049</t>
  </si>
  <si>
    <t>03971506950</t>
  </si>
  <si>
    <t>RIZIA FERRELLI LOURES LOYOLA FRANCO</t>
  </si>
  <si>
    <t>012009005535</t>
  </si>
  <si>
    <t>32457909880</t>
  </si>
  <si>
    <t>ROBERSON VIEIRA MACHADO</t>
  </si>
  <si>
    <t>012009003816</t>
  </si>
  <si>
    <t>05233572907</t>
  </si>
  <si>
    <t>ROSANGELA DE OLIVEIRA</t>
  </si>
  <si>
    <t>012009003748</t>
  </si>
  <si>
    <t>04233005980</t>
  </si>
  <si>
    <t>SAMUEL RENAN BORGES BELINATO</t>
  </si>
  <si>
    <t>012009005492</t>
  </si>
  <si>
    <t>10386225907</t>
  </si>
  <si>
    <t>SAULO HENRIQUE JUSTINIANO SILVA</t>
  </si>
  <si>
    <t>012009004723</t>
  </si>
  <si>
    <t>06647117903</t>
  </si>
  <si>
    <t>SIMONE SANTANA PEREIRA</t>
  </si>
  <si>
    <t>012009003935</t>
  </si>
  <si>
    <t>02197571940</t>
  </si>
  <si>
    <t>SUZANA MOREIRA FERREIRA</t>
  </si>
  <si>
    <t>012009003709</t>
  </si>
  <si>
    <t>06174110931</t>
  </si>
  <si>
    <t>TAIS PIRES DE OLIVEIRA</t>
  </si>
  <si>
    <t>012009004326</t>
  </si>
  <si>
    <t>08249013980</t>
  </si>
  <si>
    <t>TATIANE GARCIA DA SILVA</t>
  </si>
  <si>
    <t>012009003760</t>
  </si>
  <si>
    <t>02297247958</t>
  </si>
  <si>
    <t>TAYENE ELIZE MACAO</t>
  </si>
  <si>
    <t>012009006225</t>
  </si>
  <si>
    <t>08799384981</t>
  </si>
  <si>
    <t>TEREZA CRISTINA DE CARVALHO</t>
  </si>
  <si>
    <t>012009003575</t>
  </si>
  <si>
    <t>25681015807</t>
  </si>
  <si>
    <t>THANISE PITELLI DE NIGRO</t>
  </si>
  <si>
    <t>012009004035</t>
  </si>
  <si>
    <t>04603429916</t>
  </si>
  <si>
    <t>THIAGO FERNANDO PIRES ALVES</t>
  </si>
  <si>
    <t>012009005012</t>
  </si>
  <si>
    <t>07823421917</t>
  </si>
  <si>
    <t>THIAGO HENRIQUE MARTINEZ BLANCO</t>
  </si>
  <si>
    <t>012009003838</t>
  </si>
  <si>
    <t>07711582978</t>
  </si>
  <si>
    <t>THIAGO LEANDRO MORENO</t>
  </si>
  <si>
    <t>012009004226</t>
  </si>
  <si>
    <t>05333276951</t>
  </si>
  <si>
    <t>TIAGO SOARES DE OLIVEIRA</t>
  </si>
  <si>
    <t>012009005681</t>
  </si>
  <si>
    <t>07778930960</t>
  </si>
  <si>
    <t>UGO ANDREATA GALIMBERTTI</t>
  </si>
  <si>
    <t>012009006226</t>
  </si>
  <si>
    <t>04611716945</t>
  </si>
  <si>
    <t>VANDERLEI ANTONIO BACHEGA JUNIOR</t>
  </si>
  <si>
    <t>012009006227</t>
  </si>
  <si>
    <t>10114545995</t>
  </si>
  <si>
    <t>VANESSA PAOLA POVOLO GASPARI</t>
  </si>
  <si>
    <t>012009005304</t>
  </si>
  <si>
    <t>18064946808</t>
  </si>
  <si>
    <t>VERONI FRIEDRICH</t>
  </si>
  <si>
    <t>012009003512</t>
  </si>
  <si>
    <t>92912923972</t>
  </si>
  <si>
    <t>VERONICA CALVO BUZZI LEITE</t>
  </si>
  <si>
    <t>012009005112</t>
  </si>
  <si>
    <t>06077507903</t>
  </si>
  <si>
    <t>VERONICA KARINA IPOLITO</t>
  </si>
  <si>
    <t>012009003731</t>
  </si>
  <si>
    <t>05350521977</t>
  </si>
  <si>
    <t>VICTOR DE MARQUI PEDROSO</t>
  </si>
  <si>
    <t>012009003435</t>
  </si>
  <si>
    <t>04230427930</t>
  </si>
  <si>
    <t>VICTORIA ADRYELLE NASCIMENTO MANSANO ZANELATO</t>
  </si>
  <si>
    <t>012009004522</t>
  </si>
  <si>
    <t>09742863970</t>
  </si>
  <si>
    <t>WELINGTON JUNIOR JORGE MANZATO</t>
  </si>
  <si>
    <t>012009003910</t>
  </si>
  <si>
    <t>04921147906</t>
  </si>
  <si>
    <t>YANA KELLEN DIOCLECIO MENDES</t>
  </si>
  <si>
    <t>012009005501</t>
  </si>
  <si>
    <t>09314339408</t>
  </si>
  <si>
    <t>LUCAS MEN BENATTI</t>
  </si>
  <si>
    <t>012009006258</t>
  </si>
  <si>
    <t>09773753905</t>
  </si>
  <si>
    <t>GUILHERME HERREIRA ALVES</t>
  </si>
  <si>
    <t>012009006260</t>
  </si>
  <si>
    <t>NATHALIA MARIA VALERIO</t>
  </si>
  <si>
    <t>012009006244</t>
  </si>
  <si>
    <t>JOANA BALTER MARTINS DA SILVA</t>
  </si>
  <si>
    <t>012009006246</t>
  </si>
  <si>
    <t>07939731718</t>
  </si>
  <si>
    <t>WELLEM APARECIDA DE FREITAS SEMCZUK</t>
  </si>
  <si>
    <t>012009006250</t>
  </si>
  <si>
    <t>05805624923</t>
  </si>
  <si>
    <t>INDIANARA PAULA PINHEIRO FERMINO</t>
  </si>
  <si>
    <t>012009006257</t>
  </si>
  <si>
    <t>05592355939</t>
  </si>
  <si>
    <t>JEFERSON CAMARGO FUKUSHIMA</t>
  </si>
  <si>
    <t>012009006263</t>
  </si>
  <si>
    <t>EMILY FERNANDES</t>
  </si>
  <si>
    <t>012009006261</t>
  </si>
  <si>
    <t>01754828450</t>
  </si>
  <si>
    <t>IGOR SILVA DE SA</t>
  </si>
  <si>
    <t>012009006248</t>
  </si>
  <si>
    <t>04821566192</t>
  </si>
  <si>
    <t>ROBERTA DA FONSECA COUTINHO PONTES</t>
  </si>
  <si>
    <t>012009006249</t>
  </si>
  <si>
    <t>LUIS FERNANDO MOREIRA DA SILVA</t>
  </si>
  <si>
    <t>012009006245</t>
  </si>
  <si>
    <t>TATIANE CRISTINA ALBUQUERQUE ALVES</t>
  </si>
  <si>
    <t>012009006247</t>
  </si>
  <si>
    <t>04688559984</t>
  </si>
  <si>
    <t>ARTHUR DA SILVA GOMES</t>
  </si>
  <si>
    <t>012009006305</t>
  </si>
  <si>
    <t>08917110665</t>
  </si>
  <si>
    <t>BRUNA EDUARDA KUBLISKI FOLMER ROMAN</t>
  </si>
  <si>
    <t>012009006311</t>
  </si>
  <si>
    <t>07445248900</t>
  </si>
  <si>
    <t>BRUNO DA SILVA BORGES</t>
  </si>
  <si>
    <t>012009006309</t>
  </si>
  <si>
    <t>03203790009</t>
  </si>
  <si>
    <t>ELISANGELA GISELE DO CARMO</t>
  </si>
  <si>
    <t>012009006304</t>
  </si>
  <si>
    <t>09557701730</t>
  </si>
  <si>
    <t>FABIO LUIS HEGETO</t>
  </si>
  <si>
    <t>012009006316</t>
  </si>
  <si>
    <t>03764711906</t>
  </si>
  <si>
    <t>GUARACY CARLOS DA SILVEIRA</t>
  </si>
  <si>
    <t>012009006310</t>
  </si>
  <si>
    <t>26858645802</t>
  </si>
  <si>
    <t>ISADORA GABRIELLA SILVA PALMIERI</t>
  </si>
  <si>
    <t>012009006312</t>
  </si>
  <si>
    <t>08580763908</t>
  </si>
  <si>
    <t>JOSE DE SOUSA MAGALHAES</t>
  </si>
  <si>
    <t>012009006308</t>
  </si>
  <si>
    <t>05133032358</t>
  </si>
  <si>
    <t>LARISSA DE MENEZES ALVANHAN</t>
  </si>
  <si>
    <t>012009006314</t>
  </si>
  <si>
    <t>05201189954</t>
  </si>
  <si>
    <t>MELISSA CAROLINA DE MOURA</t>
  </si>
  <si>
    <t>012009006307</t>
  </si>
  <si>
    <t>27068944825</t>
  </si>
  <si>
    <t>TALITA MEIRELES FLORES</t>
  </si>
  <si>
    <t>012009006315</t>
  </si>
  <si>
    <t>01716039150</t>
  </si>
  <si>
    <t>VICTORIA DE MENEZES PIFFERO</t>
  </si>
  <si>
    <t>012009006322</t>
  </si>
  <si>
    <t>01849490090</t>
  </si>
  <si>
    <t>ALEXANDRE AMADO DE MOURA</t>
  </si>
  <si>
    <t>012009006280</t>
  </si>
  <si>
    <t>04699002960</t>
  </si>
  <si>
    <t>BIANCA JOHANNY DOS SANTOS LIMA ASSUNCAO</t>
  </si>
  <si>
    <t>012009006277</t>
  </si>
  <si>
    <t>11195852444</t>
  </si>
  <si>
    <t>CORINA APARECIDA FERNANDES</t>
  </si>
  <si>
    <t>012009006299</t>
  </si>
  <si>
    <t>06593408603</t>
  </si>
  <si>
    <t>ELAINE SANTOS</t>
  </si>
  <si>
    <t>012009006265</t>
  </si>
  <si>
    <t>05663478655</t>
  </si>
  <si>
    <t>HELTON RIBEIRO NUNES</t>
  </si>
  <si>
    <t>012009006283</t>
  </si>
  <si>
    <t>01583708995</t>
  </si>
  <si>
    <t>MYLLENA MARCELA GANZERT FERNANDES</t>
  </si>
  <si>
    <t>012009006279</t>
  </si>
  <si>
    <t>02992575178</t>
  </si>
  <si>
    <t>RENATA MARIANE DE SOUZA PROVENSI</t>
  </si>
  <si>
    <t>012009006282</t>
  </si>
  <si>
    <t>09087655924</t>
  </si>
  <si>
    <t>THIAGO DE PAULA SILVA</t>
  </si>
  <si>
    <t>012009006281</t>
  </si>
  <si>
    <t>12711978630</t>
  </si>
  <si>
    <t>ADRIANO APARECIDO DE OLIVEIRA</t>
  </si>
  <si>
    <t>012009003424</t>
  </si>
  <si>
    <t>05869941903</t>
  </si>
  <si>
    <t>GUSTAVO GONCALVES KREPSKI</t>
  </si>
  <si>
    <t>012009004339</t>
  </si>
  <si>
    <t>07081213901</t>
  </si>
  <si>
    <t>SUELEN RODRIGUES DA LUZ</t>
  </si>
  <si>
    <t>012009002882</t>
  </si>
  <si>
    <t>06642554930</t>
  </si>
  <si>
    <t>ALDO LOPES DA COSTA JUNIOR</t>
  </si>
  <si>
    <t>012009005387</t>
  </si>
  <si>
    <t>06070475348</t>
  </si>
  <si>
    <t>ANA PAULA MONTEMEZZO DE FARIAS</t>
  </si>
  <si>
    <t>012009002566</t>
  </si>
  <si>
    <t>06401842946</t>
  </si>
  <si>
    <t>BARBARA RIBEIRO TONSIC</t>
  </si>
  <si>
    <t>012009004054</t>
  </si>
  <si>
    <t>09833425984</t>
  </si>
  <si>
    <t>LARISSA BEZERRA</t>
  </si>
  <si>
    <t>012009002461</t>
  </si>
  <si>
    <t>08470964917</t>
  </si>
  <si>
    <t>MARIA LUIZA COSTA BORIM</t>
  </si>
  <si>
    <t>012009006347</t>
  </si>
  <si>
    <t>06589867917</t>
  </si>
  <si>
    <t>HILKA PELIZZA VIER MACHADO</t>
  </si>
  <si>
    <t>012009003546</t>
  </si>
  <si>
    <t>SOLANGE MUNHOZ ARROYO LOPES</t>
  </si>
  <si>
    <t>39039412987</t>
  </si>
  <si>
    <t>PROFESSOR DE ENSINO SUPERIOR PRESENCIAL</t>
  </si>
  <si>
    <t>PAULA POLASTRI</t>
  </si>
  <si>
    <t>012009004528</t>
  </si>
  <si>
    <t>31647968895</t>
  </si>
  <si>
    <t>GIULIANO TORRIERI NIGRO</t>
  </si>
  <si>
    <t>012009005440</t>
  </si>
  <si>
    <t>33359368843</t>
  </si>
  <si>
    <t>ALINE LOPES</t>
  </si>
  <si>
    <t>012009004482</t>
  </si>
  <si>
    <t>02938062923</t>
  </si>
  <si>
    <t>MARIA LIGIA GANACIM GRANADO RODRIGUES</t>
  </si>
  <si>
    <t>012009004012</t>
  </si>
  <si>
    <t>04105492900</t>
  </si>
  <si>
    <t>ANGELA MARA DE BARROS LARA</t>
  </si>
  <si>
    <t>012009004010</t>
  </si>
  <si>
    <t>03672467839</t>
  </si>
  <si>
    <t>LUCIANA CRISTINA SOTO HEREK</t>
  </si>
  <si>
    <t>012009003655</t>
  </si>
  <si>
    <t>03092833961</t>
  </si>
  <si>
    <t>JALYSON VIEIRA LOPES</t>
  </si>
  <si>
    <t>012009006361</t>
  </si>
  <si>
    <t>00888335342</t>
  </si>
  <si>
    <t>KARLA KATHERINE DE SOUZA SEULE</t>
  </si>
  <si>
    <t>012009006359</t>
  </si>
  <si>
    <t>05392006973</t>
  </si>
  <si>
    <t>MURIELK SEBRIAN VALVASSORE</t>
  </si>
  <si>
    <t>012009006356</t>
  </si>
  <si>
    <t>39213789823</t>
  </si>
  <si>
    <t>NATHALIE AKIE OMACHI RODRIGUES</t>
  </si>
  <si>
    <t>012009006333</t>
  </si>
  <si>
    <t>09421786963</t>
  </si>
  <si>
    <t>THAYNA SILVA QUIRINO</t>
  </si>
  <si>
    <t>012009006360</t>
  </si>
  <si>
    <t>41763895831</t>
  </si>
  <si>
    <t>FABRICIO RODRIGUES FREIRE</t>
  </si>
  <si>
    <t>012009006366</t>
  </si>
  <si>
    <t>61671193334</t>
  </si>
  <si>
    <t>TATIANA NILSON DOS SANTOS</t>
  </si>
  <si>
    <t>012009006376</t>
  </si>
  <si>
    <t>06415574930</t>
  </si>
  <si>
    <t>MARCUS GRILO</t>
  </si>
  <si>
    <t>012009006368</t>
  </si>
  <si>
    <t>34310769802</t>
  </si>
  <si>
    <t>AGESINALDO MATOS SILVA JUNIOR</t>
  </si>
  <si>
    <t>012009006375</t>
  </si>
  <si>
    <t>35234092844</t>
  </si>
  <si>
    <t>MARCOS OLIVEIRA DA COSTA</t>
  </si>
  <si>
    <t>012009006374</t>
  </si>
  <si>
    <t>02930487208</t>
  </si>
  <si>
    <t>EDGAR AUGUSTO GONCALVES GURGEL DO AMARAL</t>
  </si>
  <si>
    <t>012009006369</t>
  </si>
  <si>
    <t>30488893291</t>
  </si>
  <si>
    <t>MARCIA REGINA ZEMELLA LUCCAS</t>
  </si>
  <si>
    <t>012009006370</t>
  </si>
  <si>
    <t>11814684859</t>
  </si>
  <si>
    <t>ANA LUISA LOURENCO MORETTO</t>
  </si>
  <si>
    <t>012009006371</t>
  </si>
  <si>
    <t>58465243115</t>
  </si>
  <si>
    <t>FABIO LUIZ ZANARDI COLTRO</t>
  </si>
  <si>
    <t>012009006367</t>
  </si>
  <si>
    <t>02443842908</t>
  </si>
  <si>
    <t>GUYLERME VELASCO DE SOUZA FIGUEIREDO</t>
  </si>
  <si>
    <t>012009006373</t>
  </si>
  <si>
    <t>10185777775</t>
  </si>
  <si>
    <t>ALEXANDER RODRIGUES DE CASTRO</t>
  </si>
  <si>
    <t>012009003703</t>
  </si>
  <si>
    <t>03361302951</t>
  </si>
  <si>
    <t>MARCOS AURELIO BRAMBILLA</t>
  </si>
  <si>
    <t>012009004271</t>
  </si>
  <si>
    <t>06851418967</t>
  </si>
  <si>
    <t>NIKOLAS OLEKSZECHEN</t>
  </si>
  <si>
    <t>012009003771</t>
  </si>
  <si>
    <t>06837848976</t>
  </si>
  <si>
    <t>RUBIA CARVALHO GOMES CORREA</t>
  </si>
  <si>
    <t>012009003896</t>
  </si>
  <si>
    <t>06068062961</t>
  </si>
  <si>
    <t>LUCIANO ANISIO GARCIA</t>
  </si>
  <si>
    <t>012009006561</t>
  </si>
  <si>
    <t>KLEBER LOPES PETRY</t>
  </si>
  <si>
    <t>83622020920</t>
  </si>
  <si>
    <t>PATRICIA APARECIDA GAION</t>
  </si>
  <si>
    <t>012009006535</t>
  </si>
  <si>
    <t>MARA CECILIA RAFAEL LOPES</t>
  </si>
  <si>
    <t>03703595930</t>
  </si>
  <si>
    <t>ANGELICA VINCI DO NASCIMENTO GIMENES RIOS</t>
  </si>
  <si>
    <t>012009006502</t>
  </si>
  <si>
    <t>JUDSON RICARDO RIBEIRO DA SILVA</t>
  </si>
  <si>
    <t>08847384931</t>
  </si>
  <si>
    <t>MARCELO NEGRI SOARES</t>
  </si>
  <si>
    <t>012009003673</t>
  </si>
  <si>
    <t>IVAN DIAS DA MOTTA</t>
  </si>
  <si>
    <t>67969070949</t>
  </si>
  <si>
    <t>MARIA LIGIA GANACIM GRANADO RODRIGUES ELIAS</t>
  </si>
  <si>
    <t>NELSON NUNES TENORIO JUNIOR</t>
  </si>
  <si>
    <t>MARIO HENRIQUE VIEIRA CARDOSO</t>
  </si>
  <si>
    <t>012009006510</t>
  </si>
  <si>
    <t>MARCIA MARIA PREVIATO DE SOUZA</t>
  </si>
  <si>
    <t>06318907939</t>
  </si>
  <si>
    <t>RENATO CASTRO DA SILVA</t>
  </si>
  <si>
    <t>ROBERTO RODOLFO GEORG UEBEL</t>
  </si>
  <si>
    <t>012009006534</t>
  </si>
  <si>
    <t>EDUARDO BATISTA DA SILVA</t>
  </si>
  <si>
    <t>01615705007</t>
  </si>
  <si>
    <t>VALDERICE HERTH JUNKES</t>
  </si>
  <si>
    <t>012009006162</t>
  </si>
  <si>
    <t>CRISLAINE RODRIGUES GALAN</t>
  </si>
  <si>
    <t>07629464908</t>
  </si>
  <si>
    <t>TUTOR FACILITADOR ONLINE</t>
  </si>
  <si>
    <t>LUIS FERNANDO BRANDAO DE MAGALHAES</t>
  </si>
  <si>
    <t>012009006856</t>
  </si>
  <si>
    <t>TIAGO CALAZAN ELIAS</t>
  </si>
  <si>
    <t>95819797787</t>
  </si>
  <si>
    <t>ROGERIO VITAL LACERDA</t>
  </si>
  <si>
    <t>012009007021</t>
  </si>
  <si>
    <t>65496639549</t>
  </si>
  <si>
    <t>LORENA MARQUES DAGOSTIN</t>
  </si>
  <si>
    <t>012009006643</t>
  </si>
  <si>
    <t>08552038978</t>
  </si>
  <si>
    <t>SAMARA SOARES BRAGA DA SILVA</t>
  </si>
  <si>
    <t>012009007241</t>
  </si>
  <si>
    <t>LESSYANE REZENDE DE MATOS SOUZA BONJORNO</t>
  </si>
  <si>
    <t>07492345984</t>
  </si>
  <si>
    <t>MARIA ELIANA CAMARGO FERREIRA</t>
  </si>
  <si>
    <t>012009007541</t>
  </si>
  <si>
    <t>05834637973</t>
  </si>
  <si>
    <t>RICHAR NICOLAS DURAN ANDRADES</t>
  </si>
  <si>
    <t>012009007263</t>
  </si>
  <si>
    <t>ANTONELI DA SILVA RAMOS</t>
  </si>
  <si>
    <t>09821595103</t>
  </si>
  <si>
    <t>MARCELO NOGUEIRA TIROLLI</t>
  </si>
  <si>
    <t>012009007484</t>
  </si>
  <si>
    <t>FABIO AUGUSTO GENTILIN</t>
  </si>
  <si>
    <t>25920035846</t>
  </si>
  <si>
    <t>WALERIA HENRIQUE DOS SANTOS LEONEL</t>
  </si>
  <si>
    <t>REJANE SARTORI</t>
  </si>
  <si>
    <t>012009003458</t>
  </si>
  <si>
    <t>50644513934</t>
  </si>
  <si>
    <t>BRUNO SILVA EMERICK</t>
  </si>
  <si>
    <t>012009007266</t>
  </si>
  <si>
    <t>09309838663</t>
  </si>
  <si>
    <t>FABIO VICTOR BUENO DE MORAIS</t>
  </si>
  <si>
    <t>012009004266</t>
  </si>
  <si>
    <t>23042013855</t>
  </si>
  <si>
    <t>LUANA MAGRI TUNIN</t>
  </si>
  <si>
    <t>012009007352</t>
  </si>
  <si>
    <t>05337677926</t>
  </si>
  <si>
    <t>LUISA MARIA PEIXOTO TALENTO</t>
  </si>
  <si>
    <t>012009007371</t>
  </si>
  <si>
    <t>ANDREA CRISTINA SHIMA DA MOTTA</t>
  </si>
  <si>
    <t>99582805587</t>
  </si>
  <si>
    <t>EDMAR ALVES SENNE</t>
  </si>
  <si>
    <t>012009007280</t>
  </si>
  <si>
    <t>SILVIO CESAR DE CASTRO</t>
  </si>
  <si>
    <t>38521042892</t>
  </si>
  <si>
    <t>EUDES VITOR BEZERRA</t>
  </si>
  <si>
    <t>012009006298</t>
  </si>
  <si>
    <t>05516758610</t>
  </si>
  <si>
    <t>WEDERLEY MENDES MIRANDA</t>
  </si>
  <si>
    <t>012009007261</t>
  </si>
  <si>
    <t>68306490649</t>
  </si>
  <si>
    <t>JOSE BRUNO DA SILVA SANTOS</t>
  </si>
  <si>
    <t>012009007540</t>
  </si>
  <si>
    <t>12056202492</t>
  </si>
  <si>
    <t>LEONARDO PESTILLO DE OLIVEIRA</t>
  </si>
  <si>
    <t>012009003399</t>
  </si>
  <si>
    <t>BRAULIO HENRIQUE MAGNANI BRANCO</t>
  </si>
  <si>
    <t>31253589810</t>
  </si>
  <si>
    <t>ANDREIA MOREIRA DA FONSECA BOECHAT</t>
  </si>
  <si>
    <t>012009007750</t>
  </si>
  <si>
    <t>FABIO LUIZ IBA</t>
  </si>
  <si>
    <t>09163936747</t>
  </si>
  <si>
    <t>FERNANDO MARCOS BRIGNOLI</t>
  </si>
  <si>
    <t>012009007696</t>
  </si>
  <si>
    <t>07241462963</t>
  </si>
  <si>
    <t>BIANCA TEIXEIRA DE OLIVEIRA</t>
  </si>
  <si>
    <t>012009007762</t>
  </si>
  <si>
    <t>LIGIA FIEDLER</t>
  </si>
  <si>
    <t>09346067900</t>
  </si>
  <si>
    <t>VANDER LUIZ DA SILVA</t>
  </si>
  <si>
    <t>012009007778</t>
  </si>
  <si>
    <t>08428218994</t>
  </si>
  <si>
    <t>PROFESSOR RPA</t>
  </si>
  <si>
    <t>000000000000</t>
  </si>
  <si>
    <t>00000000000</t>
  </si>
  <si>
    <t>RPA</t>
  </si>
  <si>
    <r>
      <rPr>
        <b/>
        <sz val="11"/>
        <color theme="1"/>
        <rFont val="Aptos Narrow"/>
        <family val="2"/>
        <scheme val="minor"/>
      </rPr>
      <t>Devem ser inseridas:</t>
    </r>
    <r>
      <rPr>
        <sz val="11"/>
        <color theme="1"/>
        <rFont val="Aptos Narrow"/>
        <family val="2"/>
        <scheme val="minor"/>
      </rPr>
      <t xml:space="preserve">
- Disciplinas com aulas transmitidas ao vivo;
- Disciplinas com aulas que tenham sido gravadas especificamente para serem usadas ao vivo neste módulo;
</t>
    </r>
    <r>
      <rPr>
        <b/>
        <sz val="11"/>
        <color theme="1"/>
        <rFont val="Aptos Narrow"/>
        <family val="2"/>
        <scheme val="minor"/>
      </rPr>
      <t>Não devem ser inseridas:</t>
    </r>
    <r>
      <rPr>
        <sz val="11"/>
        <color theme="1"/>
        <rFont val="Aptos Narrow"/>
        <family val="2"/>
        <scheme val="minor"/>
      </rPr>
      <t xml:space="preserve">
- Disciplinas com aulas reaproveitadas de anos anteriores;
- Disciplinas sem aulas ao vivo;</t>
    </r>
  </si>
  <si>
    <t>LISTAS SUSPENSAS (Apenas Seleção)</t>
  </si>
  <si>
    <t>DIGITÁVEIS</t>
  </si>
  <si>
    <t>PROFESSOR(A)</t>
  </si>
  <si>
    <t>DIA DA TRANSMISSÃO</t>
  </si>
  <si>
    <t>HORÁRIO</t>
  </si>
  <si>
    <t>DISCIPLINA (NOME)</t>
  </si>
  <si>
    <t>R$ (RPA)</t>
  </si>
  <si>
    <t>GESTÃO DE PESSOAS E DESENVOLVIMENTO DE EQUIPES</t>
  </si>
  <si>
    <t>ESTATÍSTICA</t>
  </si>
  <si>
    <t>GEOMETRIA ANALÍTICA E ÁLGEBRA LINEAR</t>
  </si>
  <si>
    <t>PROBABILIDADE E ESTATÍSTICA PARA ANÁLISE DE DADOS</t>
  </si>
  <si>
    <t>CÁLCULO APLICADO À QUÍMICA</t>
  </si>
  <si>
    <t>MENTALIDADE CRIATIVA E EMPREENDEDORA</t>
  </si>
  <si>
    <t>CONCEITOS DA ADMINISTRAÇÃO E ÉTICA EMPRESARIAL</t>
  </si>
  <si>
    <t>TEORIAS DA ADMINISTRAÇÃO</t>
  </si>
  <si>
    <t>PESQUISA DE OPINIÃO PÚBLICA</t>
  </si>
  <si>
    <t>PROGRAMAÇÃO E CÁLCULO NUMÉRICO</t>
  </si>
  <si>
    <t>SISTEMAS DE ENERGIA SOLAR TÉRMICA E FOTOVOLTAICA</t>
  </si>
  <si>
    <t>ELETRÔNICA ANALÓGICA</t>
  </si>
  <si>
    <t>SINAIS E SISTEMAS LINEARES</t>
  </si>
  <si>
    <t>ATELIÊ DE ARQUITETURA: EDIFÍCIOS VERTICAIS</t>
  </si>
  <si>
    <t>ATELIÊ DE PROJETO DE ARQUITETURA: EDIFÍCIOS VERTICAIS</t>
  </si>
  <si>
    <t>DESENHO ARQUITETÔNICO AUXILIADO POR COMPUTADOR</t>
  </si>
  <si>
    <t>DESENHO UNIVERSAL</t>
  </si>
  <si>
    <t>DESENHO TÉCNICO</t>
  </si>
  <si>
    <t>ATELIÊ DE PROJETO DE ARQUITETURA: RESIDENCIAL</t>
  </si>
  <si>
    <t>TEORIA DA ARQUITETURA E URBANISMO</t>
  </si>
  <si>
    <t>ESTÉTICA E HISTÓRIA DA ARTE</t>
  </si>
  <si>
    <t>ARTE CONTEMPORÂNEA</t>
  </si>
  <si>
    <t>TEORIA DO URBANISMO</t>
  </si>
  <si>
    <t>TEORIA E HISTÓRIA DA ARQUITETURA, DO URBANISMO E DO PAISAGISMO</t>
  </si>
  <si>
    <t>PLANEJAMENTO E DESENVOLVIMENTO URBANO</t>
  </si>
  <si>
    <t>ARTE DIGITAL</t>
  </si>
  <si>
    <t>FUNDAMENTOS DA LINGUAGEM VISUAL</t>
  </si>
  <si>
    <t>LINGUAGEM POÉTICA DAS ARTES CÊNICAS</t>
  </si>
  <si>
    <t>CONTEXTO HISTÓRICO DO TEATRO</t>
  </si>
  <si>
    <t>POLÍTICAS EDUCACIONAIS E ORGANIZAÇÃO DA EDUCAÇÃO BÁSICA</t>
  </si>
  <si>
    <t>PENSAMENTO CLÍNICO E POSTURA TERAPÊUTICA</t>
  </si>
  <si>
    <t>ATIVIDADE FÍSICA E QUALIDADE DE VIDA</t>
  </si>
  <si>
    <t>ATLETISMO</t>
  </si>
  <si>
    <t>MUSCULAÇÃO E EXERCÍCIOS RESISTIDOS</t>
  </si>
  <si>
    <t>LUTAS</t>
  </si>
  <si>
    <t>CENÁRIOS ECONÔMICOS</t>
  </si>
  <si>
    <t>FUNDAMENTOS DA CATALOGAÇÃO</t>
  </si>
  <si>
    <t>CIÊNCIAS POLÍTICAS E SOCIAIS</t>
  </si>
  <si>
    <t>CIÊNCIA POLÍTICA</t>
  </si>
  <si>
    <t>TÉCNICAS DE NEGOCIAÇÃO E VENDAS</t>
  </si>
  <si>
    <t>CULTURA DIGITAL E COMUNICAÇÃO NAS ORGANIZAÇÕES</t>
  </si>
  <si>
    <t>ANÁLISE ERGONÔMICA DO TRABALHO</t>
  </si>
  <si>
    <t>DIREITO CIVIL, AMBIENTAL, AGRÁRIO E LEGISLAÇÃO TRIBUTÁRIA</t>
  </si>
  <si>
    <t>FUNDAMENTOS DO MARKETING</t>
  </si>
  <si>
    <t>GESTÃO DA INOVAÇÃO E TECNOLOGIA</t>
  </si>
  <si>
    <t>NEGÓCIOS INOVADORES E STARTUPS</t>
  </si>
  <si>
    <t>LOGÍSTICA EMPRESARIAL</t>
  </si>
  <si>
    <t>FUNDAMENTOS E ARQUITETURA DE COMPUTADORES</t>
  </si>
  <si>
    <t>CLOUD COMPUTING</t>
  </si>
  <si>
    <t>IMERSÃO PROFISSIONAL: PROJETO DE INTERFACE</t>
  </si>
  <si>
    <t>INTERFACE HUMANO-COMPUTADOR</t>
  </si>
  <si>
    <t>GESTÃO DE BIBLIOTECAS</t>
  </si>
  <si>
    <t>BIOLOGIA MOLECULAR E FORENSE​</t>
  </si>
  <si>
    <t>BIOQUÍMICA CLÍNICA</t>
  </si>
  <si>
    <t>DIDÁTICA</t>
  </si>
  <si>
    <t>CONTABILIDADE AVANÇADA</t>
  </si>
  <si>
    <t>CONTABILIDADE INTRODUTÓRIA</t>
  </si>
  <si>
    <t>ETNOMATEMÁTICA E HISTÓRIA DA MATEMÁTICA</t>
  </si>
  <si>
    <t>PRÁTICA DE ENSINO: ETNOMATEMÁTICA E HISTÓRIA DA MATEMÁTICA</t>
  </si>
  <si>
    <t>PERÍCIA, ARBITRAGEM E ATUÁRIA</t>
  </si>
  <si>
    <t>PLANEJAMENTO E GESTÃO DE NEGÓCIOS</t>
  </si>
  <si>
    <t>COMPORTAMENTO DO CONSUMIDOR</t>
  </si>
  <si>
    <t>MARKETING VERDE E SOCIAL</t>
  </si>
  <si>
    <t>QUÍMICA E ANÁLISES QUÍMICAS EM ALIMENTOS</t>
  </si>
  <si>
    <t>Horário não informado ainda no mapa pedagógico.</t>
  </si>
  <si>
    <t>NEUROCIÊNCIA DA FELICIDADE E INTUIÇÃO</t>
  </si>
  <si>
    <t>SAÚDE INTEGRATIVA</t>
  </si>
  <si>
    <t>AVALIAÇÃO, DIAGNÓSTICO E TERAPÊUTICA</t>
  </si>
  <si>
    <t>INTRODUÇÃO A TERAPIA OCUPACIONAL E BIOÉTICA</t>
  </si>
  <si>
    <t>CINEMA CONTEMPORÂNEO</t>
  </si>
  <si>
    <t>PRÁTICAS CAMBIAIS E FINANCEIRAS INTERNACIONAIS</t>
  </si>
  <si>
    <t>EDUCAÇÃO, DIREITOS HUMANOS E CIDADANIA</t>
  </si>
  <si>
    <t>GESTÃO EM PROGRAMAS E PROJETOS SOCIAIS</t>
  </si>
  <si>
    <t>ESTADO E PROTEÇÃO SOCIAL</t>
  </si>
  <si>
    <t>ARTE, COMUNICAÇÃO E NOVAS MÍDIAS</t>
  </si>
  <si>
    <t>CORPO, DANÇA, EXPRESSÃO E MOVIMENTO</t>
  </si>
  <si>
    <t>DANÇAS FOLCLÓRICAS E AS PROPOSIÇÕES COREOGRÁFICAS</t>
  </si>
  <si>
    <t>ESTATÍSTICA E PROBABILIDADE</t>
  </si>
  <si>
    <t>FUNDAMENTOS DE BOTÂNICA</t>
  </si>
  <si>
    <t>INTRODUÇÃO À ENGENHARIA</t>
  </si>
  <si>
    <t>MAPEAMENTO DE PROCESSOS</t>
  </si>
  <si>
    <t>QUÍMICA INORGÂNICA E ORGÂNICA</t>
  </si>
  <si>
    <t>ENERGIA HIDRÁULICA E SISTEMAS DE GERAÇÃO HIDRELÉTRICA</t>
  </si>
  <si>
    <t>FUNDAÇÕES E OBRAS DE TERRA</t>
  </si>
  <si>
    <t>TEORIA DAS ESTRUTURAS</t>
  </si>
  <si>
    <t>ECONOMIA INDUSTRIAL</t>
  </si>
  <si>
    <t>MICROECONOMIA II</t>
  </si>
  <si>
    <t>FORMAÇÃO ECONÔMICA DO BRASIL</t>
  </si>
  <si>
    <t>HISTÓRIA ECONÔMICA GERAL</t>
  </si>
  <si>
    <t>COSMETOLOGIA</t>
  </si>
  <si>
    <t>TERAPIAS COLETIVAS</t>
  </si>
  <si>
    <t>ELETROTERMOFOTOTERAPIA E INOVAÇÃO TECNOLÓGICA</t>
  </si>
  <si>
    <t>ESTÉTICA FACIAL</t>
  </si>
  <si>
    <t>ELETROTERMOFOTOTERAPIA</t>
  </si>
  <si>
    <t>FISIOTERAPIA COMO PROFISSÃO</t>
  </si>
  <si>
    <t>POLÍTICAS EDUCACIONAIS E FUNCIONAMENTO DA EDUCAÇÃO ESPECIAL</t>
  </si>
  <si>
    <t>METODOLOGIA DO ENSINO DA ARTE E DA MÚSICA</t>
  </si>
  <si>
    <t>TEORIA E PRÁTICA: DEFICIÊNCIA VISUAL</t>
  </si>
  <si>
    <t>NEUROCIÊNCIA E APRENDIZAGEM</t>
  </si>
  <si>
    <t>TEORIAS PEDAGÓGICAS APLICADAS À EDUCAÇÃO ESPECIAL</t>
  </si>
  <si>
    <t>TRANSTORNO GLOBAL DO DESENVOLVIMENTO: ENSINO E APRENDIZAGEM NO CONTEXTO INCLUSIVO</t>
  </si>
  <si>
    <t>PROCESSOS DE APRENDIZAGEM APLICADOS AO TEA</t>
  </si>
  <si>
    <t>PROJETO MECÂNICO</t>
  </si>
  <si>
    <t>TERMODINÂMICA</t>
  </si>
  <si>
    <t>FUNDAMENTOS AVANÇADOS DA PRÁTICA ASSISTENCIAL</t>
  </si>
  <si>
    <t>GESTÃO DO PROCESSO DE TRABALHO</t>
  </si>
  <si>
    <t>SAÚDE COLETIVA</t>
  </si>
  <si>
    <t>CINESIOTERAPIA</t>
  </si>
  <si>
    <t>CONTROLE ESTATÍSTICO DO PROCESSO</t>
  </si>
  <si>
    <t>ENGENHARIA DO PRODUTO</t>
  </si>
  <si>
    <t>FUNDAMENTOS DE SAÚDE E SEGURANÇA NO TRABALHO</t>
  </si>
  <si>
    <t>PROCESSOS DE NEGÓCIO</t>
  </si>
  <si>
    <t>DESIGN DE INTERAÇÃO</t>
  </si>
  <si>
    <t>FARMÁCIA HOSPITALAR</t>
  </si>
  <si>
    <t>INTRODUÇÃO AO CÁLCULO</t>
  </si>
  <si>
    <t>FÍSICA APLICADA ÀS CIÊNCIAS DA NATUREZA</t>
  </si>
  <si>
    <t>MECÂNICA I</t>
  </si>
  <si>
    <t>APRENDIZAGEM E EDUCAÇÃO FINANCEIRA</t>
  </si>
  <si>
    <t>FISIOTERAPIA TRAUMATO-ORTOPÉDICA</t>
  </si>
  <si>
    <t>POLÍTICAS PÚBLICAS E SOCIAIS</t>
  </si>
  <si>
    <t>INCLUSÃO E INTEGRAÇÃO DE GRUPOS MINORITÁRIOS</t>
  </si>
  <si>
    <t>ADMINISTRAÇÃO VOLTADA À GESTÃO PÚBLICA</t>
  </si>
  <si>
    <t>GESTÃO ESTRATÉGICA DA EXPERIÊNCIA DO CLIENTE</t>
  </si>
  <si>
    <t>ANÁLISES TÉCNICAS DE INVESTIMENTOS</t>
  </si>
  <si>
    <t>ASSESSORIA DE IMPRENSA</t>
  </si>
  <si>
    <t>A PROFISSÃO DE RELAÇÕES PÚBLICAS</t>
  </si>
  <si>
    <t>ESTÉTICA E COMUNICAÇÃO</t>
  </si>
  <si>
    <t>PRODUÇÃO JORNALÍSTICA EM ÁUDIO</t>
  </si>
  <si>
    <t>INGLÊS INSTRUMENTAL</t>
  </si>
  <si>
    <t>LÍNGUA PORTUGUESA I</t>
  </si>
  <si>
    <t>LÍNGUA PORTUGUESA III</t>
  </si>
  <si>
    <t>METODOLOGIA DO ENSINO DA LÍNGUA PORTUGUESA I</t>
  </si>
  <si>
    <t>LÍNGUA INGLESA II</t>
  </si>
  <si>
    <t>METODOLOGIA DO ENSINO DE LÍNGUA INGLESA: TEORIA E PRÁTICA</t>
  </si>
  <si>
    <t>GESTÃO DA QUALIDADE</t>
  </si>
  <si>
    <t>TOXICOLOGIA AMBIENTAL E OCUPACIONAL</t>
  </si>
  <si>
    <t>LÍNGUA PORTUGUESA: LEITURA E PRODUÇÃO DE TEXTO</t>
  </si>
  <si>
    <t>INTRODUÇÃO À LIBRAS</t>
  </si>
  <si>
    <t>LÍNGUA DE SINAIS: TRADUÇÃO E INTERPRETAÇÃO</t>
  </si>
  <si>
    <t>GEOMETRIA ANALÍTICA</t>
  </si>
  <si>
    <t>ÁLGEBRA LINEAR E VETORIAL</t>
  </si>
  <si>
    <t>MARKETING DIGITAL E NOVAS MÍDIAS</t>
  </si>
  <si>
    <t>NEGÓCIOS SUSTENTÁVEIS E RESPONSABILIDADE SOCIAL CORPORATIVA</t>
  </si>
  <si>
    <t>FUNDAMENTOS DE HARMONIA MUSICAL</t>
  </si>
  <si>
    <t>HARMONIA E CONTRAPONTO NA MÚSICA</t>
  </si>
  <si>
    <t>MÚSICA E TECNOLOGIA NA EDUCAÇÃO</t>
  </si>
  <si>
    <t>INICIAÇÃO AO INSTRUMENTO DE TECLADO</t>
  </si>
  <si>
    <t>TEORIA DO DIREITO</t>
  </si>
  <si>
    <t>FUNDAMENTOS DE DIREITO CIVIL</t>
  </si>
  <si>
    <t>DIREITOS HUMANOS, CIDADANIA E SEGURANÇA</t>
  </si>
  <si>
    <t>FÍSICA APLICADA À BIOLOGIA</t>
  </si>
  <si>
    <t>MATEMÁTICA FINANCEIRA E INVESTIMENTOS IMOBILIÁRIOS</t>
  </si>
  <si>
    <t>DIREITO DE FAMÍLIA</t>
  </si>
  <si>
    <t>TECNOLOGIA AMBIENTAL CERVEJEIRA</t>
  </si>
  <si>
    <t>HIGIENE DO TRABALHO</t>
  </si>
  <si>
    <t>PROTEÇÃO CONTRA INCÊNDIOS E EXPLOSÕES</t>
  </si>
  <si>
    <t>METODOLOGIA DA MATEMÁTICA: CAMPOS DO CONHECIMENTO</t>
  </si>
  <si>
    <t>PLANEJAMENTO ESTRATÉGICO</t>
  </si>
  <si>
    <t>INSTRUMENTAÇÃO EM PODOLOGIA</t>
  </si>
  <si>
    <t>AGÊNCIA DE COMUNICAÇÃO, GESTÃO DE NEGÓCIOS E ASPECTOS JURÍDICOS</t>
  </si>
  <si>
    <t>CRIAÇÃO E PRODUÇÃO PUBLICITÁRIA MULTIMÍDIA</t>
  </si>
  <si>
    <t>ESTRATÉGIAS DE BRANDED CONTENT E DE INBOUND MARKETING</t>
  </si>
  <si>
    <t>DIAGNÓSTICO E INTERVENÇÃO PSICOPEDAGÓGICO INSTITUCIONAL</t>
  </si>
  <si>
    <t>NEUROPATOLOGIA APLICADA À PSICOPEDAGOGIA</t>
  </si>
  <si>
    <t>HISTÓRIA DA PEDAGOGIA: IDENTIDADE E PRÁTICA DO PEDAGOGO</t>
  </si>
  <si>
    <t>MULTIMEIOS E APRENDIZAGEM</t>
  </si>
  <si>
    <t>BIOSSEGURANÇA E BIOÉTICA</t>
  </si>
  <si>
    <t>ANÁLISE E PROJETO ORIENTADO A OBJETOS</t>
  </si>
  <si>
    <t>Contrato RPA para essa disciplina no módulo.</t>
  </si>
  <si>
    <t>R$ 3.162,00</t>
  </si>
  <si>
    <t>PATOLOGIA GERAL</t>
  </si>
  <si>
    <t>RADIOLOGIA ODONTOLÓGICA</t>
  </si>
  <si>
    <t>TÉCNICAS RADIOLÓGICAS DA COLUNA VERTEBRAL, TÓRAX, ABDOME E CRÂNIO</t>
  </si>
  <si>
    <t>ANÁLISE DE MALWARE E ENGENHARIA REVERSA</t>
  </si>
  <si>
    <t>R$ 1.240,00</t>
  </si>
  <si>
    <t>IMERSÃO PROFISSIONAL: PRÁTICA DE ENGENHARIA REVERSA</t>
  </si>
  <si>
    <t>DIREITO E SERVIÇO SOCIAL</t>
  </si>
  <si>
    <t>OFICINA: SERVIÇO SOCIAL E FORMAÇÃO PROFISSIONAL</t>
  </si>
  <si>
    <t>FORMAÇÃO DO PENSAMENTO SOCIOLÓGICO BRASILEIRO: O POVO</t>
  </si>
  <si>
    <t>SOCIOLOGIA DO MUNDO DO TRABALHO E DAS ORGANIZAÇÕES</t>
  </si>
  <si>
    <t>CONHECIMENTO FILOSÓFICO E A MODERNIDADE</t>
  </si>
  <si>
    <t>PENSAMENTO CRÍTICO</t>
  </si>
  <si>
    <t>PENSAMENTO SOCIOLÓGICO</t>
  </si>
  <si>
    <t>CRIMINOLOGIA</t>
  </si>
  <si>
    <t>A MAQUIAGEM E A CARACTERIZAÇÃO ARTÍSTICA</t>
  </si>
  <si>
    <t>HISTÓRIA DA ARTE E DO DESIGN</t>
  </si>
  <si>
    <t>PROCESSO CRIATIVO</t>
  </si>
  <si>
    <t>TÉCNICAS DE REPRESENTAÇÃO</t>
  </si>
  <si>
    <t>ACONSELHAMENTO CRISTÃO</t>
  </si>
  <si>
    <t>ESPIRITUALIDADE CRISTÃ</t>
  </si>
  <si>
    <t>MÉTODOS DE ESTUDOS BÍBLICOS NO NOVO TESTAMENTO</t>
  </si>
  <si>
    <t>PANORAMA BÍBLICO</t>
  </si>
  <si>
    <t>TEOLOGIA SOBRE SER HUMANO, SALVAÇÃO, IGREJA E ESCATOLOGIA</t>
  </si>
  <si>
    <t>RECURSOS TERAPÊUTICOS EM TERAPIA OCUPACIONAL</t>
  </si>
  <si>
    <t>TEORIAS E TÉCNICAS DE TRABALHO EM GRUPOS</t>
  </si>
  <si>
    <t>BIOLOGIA VEGETAL</t>
  </si>
  <si>
    <t>ESTATÍSTICA E EXPERIMENTAÇÃO AGRÍCOLA</t>
  </si>
  <si>
    <t>FERTILIDADE DO SOLO</t>
  </si>
  <si>
    <t>MANEJO E CONSERVAÇÃO DO SOLO</t>
  </si>
  <si>
    <t>FUNDAMENTOS DA GESTÃO AMBIENTAL</t>
  </si>
  <si>
    <t>BIOESTATÍSTICA</t>
  </si>
  <si>
    <t>PRODUÇÃO E NUTRIÇÃO ANIMAL</t>
  </si>
  <si>
    <t>BEM-ESTAR EM ANIMAIS DE COMPANHIA</t>
  </si>
  <si>
    <t>CONTABILIDADE NO AGRONEGÓCIO</t>
  </si>
  <si>
    <t>ELABORAÇÃO E ANÁLISE DE PROJETOS AGROPECUÁRIOS</t>
  </si>
  <si>
    <t>NOÇÕES DE GESTÃO FINANCEIRA E COMÉRCIO EXTERIOR NO AGRONEGÓCIO</t>
  </si>
  <si>
    <t>TECNOLOGIAS SUSTENTÁVEIS E AGRICULTURA DE BAIXO CARBONO</t>
  </si>
  <si>
    <t>EMBRIOLOGIA E HISTOLOGIA</t>
  </si>
  <si>
    <t>ZOOLOGIA DE VERTEBRADOS</t>
  </si>
  <si>
    <t>ENFERMAGEM EM SAÚDE COLETIVA</t>
  </si>
  <si>
    <t>METODOLOGIA DO ENSINO DE GEOGRAFIA</t>
  </si>
  <si>
    <t>FUNDAMENTOS DO PROCESSO DE CUIDAR NO ENVELHECIMENTO</t>
  </si>
  <si>
    <t>SISTEMA E ORGANIZAÇÃO DA SAÚDE</t>
  </si>
  <si>
    <t>BIOLOGIA CELULAR E MOLECULAR</t>
  </si>
  <si>
    <t>EDUCAÇÃO POSITIVA</t>
  </si>
  <si>
    <t>CINEMA BRASILEIRO</t>
  </si>
  <si>
    <t>INTRODUÇÃO À COMUNICAÇÃO SOCIAL</t>
  </si>
  <si>
    <t>JORNALISMO PARA PLATAFORMAS AUDIOVISUAIS</t>
  </si>
  <si>
    <t>TEORIAS E GÊNEROS CINEMATOGRÁFICOS</t>
  </si>
  <si>
    <t>ASPECTOS SEMÂNTICOS E PRAGMÁTICOS DAS LÍNGUAS</t>
  </si>
  <si>
    <t>LEITURA E PRODUÇÃO TEXTUAL</t>
  </si>
  <si>
    <t>LINGUAGEM JURÍDICA</t>
  </si>
  <si>
    <t>PRÁTICA PROFISSIONAL DO DESIGNER DE INTERIORES</t>
  </si>
  <si>
    <t>FISIOLOGIA VEGETAL</t>
  </si>
  <si>
    <t>EDUCAÇÃO AMBIENTAL</t>
  </si>
  <si>
    <t>CONTROLE DE QUALIDADE, HIGIENE E LEGISLAÇÃO CERVEJEIRA</t>
  </si>
  <si>
    <t>MERCADO CERVEJEIRO</t>
  </si>
  <si>
    <t>MERCADO CERVEJEIRO E ESCOLAS CERVEJEIRAS</t>
  </si>
  <si>
    <t>GERÊNCIA DE INFRAESTRUTURA</t>
  </si>
  <si>
    <t>R$ 1.400,00</t>
  </si>
  <si>
    <t>NEUROFISIOLOGIA E APRENDIZAGEM</t>
  </si>
  <si>
    <t>FÍSICA GERAL E EXPERIMENTAL I</t>
  </si>
  <si>
    <t>INTRODUÇÃO À FÍSICA EXPERIMENTAL</t>
  </si>
  <si>
    <t>TERMODINÂMICA II</t>
  </si>
  <si>
    <t>DESENVOLVIMENTO DO CONHECIMENTO LÓGICO</t>
  </si>
  <si>
    <t>HISTÓRIA DA FILOSOFIA</t>
  </si>
  <si>
    <t>ESTÉTICA E FILOSOFIA DA ARTE</t>
  </si>
  <si>
    <t>BIOLOGIA E BIODIVERSIDADE</t>
  </si>
  <si>
    <t>GEOLOGIA E PEDOLOGIA</t>
  </si>
  <si>
    <t>GEOGRAFIA POLÍTICA, ECONÔMICA, TERRITÓRIOS E REDES</t>
  </si>
  <si>
    <t>GEOMORFOLOGIA</t>
  </si>
  <si>
    <t>FOTOGRAFIA ARTÍSTICA, EDITORIAL E DE MODA</t>
  </si>
  <si>
    <t>ESTADO, GOVERNO E POLÍTICAS PÚBLICAS</t>
  </si>
  <si>
    <t>DOCUMENTOS E TECNOLOGIAS APLICADAS AO ENSINO DE HISTÓRIA</t>
  </si>
  <si>
    <t>HISTÓRIA DAS RELIGIÕES</t>
  </si>
  <si>
    <t>HISTÓRIA MEDIEVAL</t>
  </si>
  <si>
    <t>HISTÓRIA MODERNA</t>
  </si>
  <si>
    <t>HIDROGEOGRAFIA</t>
  </si>
  <si>
    <t>HEMATOLOGIA CLÍNICA</t>
  </si>
  <si>
    <t>FUNDAMENTOS DE FARMACOLOGIA APLICADA À PODOLOGIA</t>
  </si>
  <si>
    <t>FÍSICO-QUÍMICA I</t>
  </si>
  <si>
    <t>FÍSICO-QUÍMICA II</t>
  </si>
  <si>
    <t>PROTOCOLOS DE REDES</t>
  </si>
  <si>
    <t>REDES SEM FIO</t>
  </si>
  <si>
    <t>IMERSÃO PROFISSIONAL: PROJETO DE REDES WIRELESS</t>
  </si>
  <si>
    <t>HISTÓRIA DO PENSAMENTO GEOGRÁFICO</t>
  </si>
  <si>
    <t>FUNDAMENTOS E FUNÇÕES DA LIBRAS</t>
  </si>
  <si>
    <t>LÍNGUA DE SINAIS: ESTUDOS SINTÁTICOS</t>
  </si>
  <si>
    <t>FUTSAL E FUTEBOL</t>
  </si>
  <si>
    <t>METODOLOGIA DO ENSINO DE FUTSAL E FUTEBOL</t>
  </si>
  <si>
    <t>TREINAMENTO ESPORTIVO</t>
  </si>
  <si>
    <t>SOCIOLOGIA, ECOLOGIA E RESPONSABILIDADE SOCIAL</t>
  </si>
  <si>
    <t>FARMACOLOGIA APLICADA</t>
  </si>
  <si>
    <t>PRINCÍPIOS DA TEORIA MUSICAL</t>
  </si>
  <si>
    <t>QUÍMICA ANALÍTICA E INSTRUMENTAL</t>
  </si>
  <si>
    <t>ALFABETIZAÇÃO E LETRAMENTO NA EDUCAÇÃO ESPECIAL</t>
  </si>
  <si>
    <t>LÚDICO E LITERATURA INFANTIL NA PRÁTICA PSICOPEDAGÓGICA</t>
  </si>
  <si>
    <t>MICROECONOMIA I</t>
  </si>
  <si>
    <t>PSICOLOGIA ORGANIZACIONAL</t>
  </si>
  <si>
    <t>ÉTICA DO PROFISSIONAL DA NUTRIÇÃO</t>
  </si>
  <si>
    <t>IMPACTOS DA GLOBALIZAÇÃO NO CONTEXTO DA SEGURANÇA ALIMENTAR</t>
  </si>
  <si>
    <t>ESTRUTURAS, PESQUISA E ORDENAÇÃO DE DADOS</t>
  </si>
  <si>
    <t xml:space="preserve">EDMAR ALVES SENNE </t>
  </si>
  <si>
    <t>R$ 1.110,00</t>
  </si>
  <si>
    <t>DESENVOLVIMENTO WEB COM FRAMEWORK</t>
  </si>
  <si>
    <t>TEORIA DOS JOGOS</t>
  </si>
  <si>
    <t>PROJETO DE APLICAÇÕES MÓVEIS</t>
  </si>
  <si>
    <t>Ricardo Francisco de Pierre Satin</t>
  </si>
  <si>
    <t>EXPERIÊNCIA PROFISSIONAL: PROJETO DE SEGURANÇA E AUDITORIA</t>
  </si>
  <si>
    <t>SEGURANÇA E AUDITORIA DE SISTEMAS</t>
  </si>
  <si>
    <t>Fabricio Rodrigues Freire</t>
  </si>
  <si>
    <t>FUNDAMENTOS DE BIG DATA</t>
  </si>
  <si>
    <t>ROMULO FERREIRA DOS SANTOS</t>
  </si>
  <si>
    <t>TÓPICOS ESPECIAIS EM ENGENHARIA DE SOFTWARE I</t>
  </si>
  <si>
    <t>R$ 3.747,00</t>
  </si>
  <si>
    <t xml:space="preserve">DATA WAREHOUSE </t>
  </si>
  <si>
    <t>FAUSTO ANDRADE DOS SANTOS</t>
  </si>
  <si>
    <t>REDES DE COMPUTADORES</t>
  </si>
  <si>
    <t>PSICOPATOLOGIA E SAÚDE MENTAL</t>
  </si>
  <si>
    <t>INTERVENÇÃO PROFISSIONAL EM EDUCAÇÃO FÍSICA</t>
  </si>
  <si>
    <t>Maria Luiza Costa Borim</t>
  </si>
  <si>
    <t>ANÁLISE PREDITIVA E CLASSIFICAÇÃO​</t>
  </si>
  <si>
    <t>Edson Orivaldo Lessa Jr</t>
  </si>
  <si>
    <t>DESENVOLVIMENTO DE APLICAÇÕES ANDROID</t>
  </si>
  <si>
    <t>R$ 2.803,00</t>
  </si>
  <si>
    <t>TEORIA DA COMPUTAÇÃO</t>
  </si>
  <si>
    <t>MICROPROCESSADORES E MICROCONTROLADORES</t>
  </si>
  <si>
    <t>Camila Maria Galo da Silva</t>
  </si>
  <si>
    <t>SISTEMAS DE SEGURANÇA RESIDENCIAL E PREDIAL</t>
  </si>
  <si>
    <t>MARIANA LISA TAVARES BLUMATI</t>
  </si>
  <si>
    <t>TEORIAS DA HISTÓRIA</t>
  </si>
  <si>
    <t>MATERIAIS TÊXTEIS</t>
  </si>
  <si>
    <t>Luciane da Silva Barbosa</t>
  </si>
  <si>
    <t>R$ 957,90</t>
  </si>
  <si>
    <t>ECONOMETRIA</t>
  </si>
  <si>
    <t>Marcio José Szpaki Zaparolli</t>
  </si>
  <si>
    <t>TEORIA DAS ESTRUTURAS II</t>
  </si>
  <si>
    <t>ANA LIDIA DA SILVA CASCALES CORRÊA</t>
  </si>
  <si>
    <t>TOPOGRAFIA</t>
  </si>
  <si>
    <t>RODRIGO JOSÉ PAIVA CRUZ</t>
  </si>
  <si>
    <t>PERÍCIA GRAFOTÉCNICA</t>
  </si>
  <si>
    <t>Marina Helena da Silva Lopes Menezes</t>
  </si>
  <si>
    <t>PERÍCIA TOXICOLÓGICA</t>
  </si>
  <si>
    <t>VINÍCIUS PIRES RINCÃO</t>
  </si>
  <si>
    <t>GENÉTICA E EMBRIOLOGIA</t>
  </si>
  <si>
    <t xml:space="preserve">Camila Cristina Ianoni Matiusso </t>
  </si>
  <si>
    <t>R$ 3.257,00</t>
  </si>
  <si>
    <t>FUNDAMENTOS DA CIÊNCIA DA FELICIDADE</t>
  </si>
  <si>
    <t>GUSTAVO ARNS DE OLIVEIRA</t>
  </si>
  <si>
    <t>R$ 8.000,00</t>
  </si>
  <si>
    <t>FONTES DE INFORMAÇÃO: TIPOS, AVALIAÇÃO E SERVIÇOS</t>
  </si>
  <si>
    <t>TÉCNICAS DE MACHINE LEARNING (APRENDIZAGEM DE MÁQUINA)</t>
  </si>
  <si>
    <t>BIOENERGIA E BIOMASSA</t>
  </si>
  <si>
    <t>Paula Polastri</t>
  </si>
  <si>
    <t>ACIONAMENTOS ELÉTRICOS</t>
  </si>
  <si>
    <t>ELETRÔNICA DIGITAL</t>
  </si>
  <si>
    <t>COZINHA INTERNACIONAL (LÂMINAS DE RECEITAS)</t>
  </si>
  <si>
    <t>COZINHA INTERNACIONAL (LIVRO PRÁTICO)</t>
  </si>
  <si>
    <t>HISTÓRIA DA ALIMENTAÇÃO</t>
  </si>
  <si>
    <t>COZINHA BRASILEIRA DE RAIZ (LÂMINAS DE RECEITAS)</t>
  </si>
  <si>
    <t>Andrea Cristina Shima da Motta</t>
  </si>
  <si>
    <t>ZOOLOGIA</t>
  </si>
  <si>
    <t>PROFESSOR EM CONTRATAÇÃO</t>
  </si>
  <si>
    <t>IMERSÃO PROFISSIONAL: CRIANDO UMA APLICAÇÃO ANDROID</t>
  </si>
  <si>
    <t>PLANEJAMENTO E ORGANIZAÇÃO DO TURISMO</t>
  </si>
  <si>
    <t>IMERSÃO PROFISSIONAL: REDES NEURAIS APLICADAS</t>
  </si>
  <si>
    <t>REDES NEURAIS CONVOLUCIONAIS</t>
  </si>
  <si>
    <t>IMERSÃO PROFISSIONAL: DESENVOLVIMENTO DE APLICAÇÕES WEB</t>
  </si>
  <si>
    <t>PROGRAMAÇÃO BACK END</t>
  </si>
  <si>
    <t>IMERSÃO PROFISSIONAL: MODELAGEM DE PROCESSOS DE NEGÓCIO</t>
  </si>
  <si>
    <t>SEMANA DE CONHECIMENTOS GERAIS - PALESTRA 01 - SCG - CINEMA E CULTURA BRASILEIRA</t>
  </si>
  <si>
    <t>CARLOS GUILHERME VOGEL DO AMARAL FILHO</t>
  </si>
  <si>
    <t>R$ 500,00</t>
  </si>
  <si>
    <t>SEMANA DE CONHECIMENTOS GERAIS - PALESTRA 2- SCG - CINEMA E CULTURA BRASILEIRO</t>
  </si>
  <si>
    <t>Lucas dos Reis Tiago Pereira</t>
  </si>
  <si>
    <t>SEMANA DE CONHECIMENTOS GERAIS - PALESTRA 3 - CINEMA E CULTURA BRASILEIRA</t>
  </si>
  <si>
    <t>Murilo de Oliveira Lazarin</t>
  </si>
  <si>
    <t>ALIMENTOS FUNCIONAIS</t>
  </si>
  <si>
    <t>AVALIAÇÃO NUTRICIONAL</t>
  </si>
  <si>
    <t>HISTÓRIA DA SAÚDE PÚBLICA NO BRASIL</t>
  </si>
  <si>
    <t>GESTÃO DE UNIDADES DE ALIMENTAÇÃO E NUTRIÇÃO</t>
  </si>
  <si>
    <t>HOTELARIA E ESTRUTURA HOSPITALAR</t>
  </si>
  <si>
    <t>INFORMÁTICA INDUSTRIAL</t>
  </si>
  <si>
    <t>VIBRAÇÕES MECÂNICAS E ACÚSTICAS</t>
  </si>
  <si>
    <t>EDUCAÇÃO FÍSICA NA ED. INFANTIL E NOS ANOS INICIAIS DO ENSINO FUNDAMENTAL</t>
  </si>
  <si>
    <t>HIGIENE E LEGISLAÇÃO - SISTEMAS DE SEGURANÇA ALIMENTAR</t>
  </si>
  <si>
    <t>INTELIGÊNCIA ARTIFICIAL APLICADA A JOGOS</t>
  </si>
  <si>
    <t>PRODUÇÃO E ANIMAÇÃO PARA JOGOS</t>
  </si>
  <si>
    <t>NUTRIÇÃO APLICADA À ENFERMAGEM</t>
  </si>
  <si>
    <t>QUÍMICA INORGÂNICA</t>
  </si>
  <si>
    <t>INTRODUÇÃO EM REDES DE COMPUTADORES</t>
  </si>
  <si>
    <t>TECNOLOGIA DE EMBALAGENS E ROTULAGEM NUTRICIONAL</t>
  </si>
  <si>
    <t>INTELIGÊNCIA ARTIFICIAL E MACHINE LEARNING</t>
  </si>
  <si>
    <t>DESENVOLVIMENTO DE JOGOS MOBILE</t>
  </si>
  <si>
    <t>IMERSÃO PROFISSIONAL: DESENVOLVIMENTO DE JOGO MOBILE</t>
  </si>
  <si>
    <t>SISTEMAS DE INFORMAÇÃO NO SETOR PÚBLICO</t>
  </si>
  <si>
    <t>GO - PROJETO DE VIDA</t>
  </si>
  <si>
    <t>GESTÃO DA EXPERIÊNCIA DO CONSUMIDOR</t>
  </si>
  <si>
    <t>GESTÃO PLANEJAMENTO RURAL E AGROINDUSTRIA</t>
  </si>
  <si>
    <t>GESTÃO DE PRODUTOS, MARCAS E SERVIÇOS</t>
  </si>
  <si>
    <t>GESTÃO EXECUTIVA DE ALTA PERFORMANCE</t>
  </si>
  <si>
    <t>TÉCNICAS DE COMUNICAÇÃO E ORATÓRIA</t>
  </si>
  <si>
    <t>LOGÍSTICA REVERSA</t>
  </si>
  <si>
    <t>GESTÃO DE CUSTOS E FORMAÇÃO DO PREÇO DE VENDA</t>
  </si>
  <si>
    <t>CONTABILIDADE DE CUSTOS</t>
  </si>
  <si>
    <t>GESTÃO DOS CUSTOS LOGÍSTICOS</t>
  </si>
  <si>
    <t>ESTRUTURAS DE DADOS</t>
  </si>
  <si>
    <t>TÓPICOS EM COMPUTAÇÃO II</t>
  </si>
  <si>
    <t>INTELIGÊNCIA ARTIFICIAL</t>
  </si>
  <si>
    <t>ETHICAL HACKER</t>
  </si>
  <si>
    <t>IMERSÃO PROFISSIONAL: FÁBRICA DE SOFTWARE</t>
  </si>
  <si>
    <t>PROCESSAMENTO DE LINGUAGEM NATURAL</t>
  </si>
  <si>
    <t>CÁLCULO E FÍSICA PARA AGRONOMIA</t>
  </si>
  <si>
    <t>MECÂNICA II</t>
  </si>
  <si>
    <t>EDAFOLOGIA E GEOMORFOLOGIA</t>
  </si>
  <si>
    <t>HIDRÁULICA E IRRIGAÇÃO</t>
  </si>
  <si>
    <t>BIOQUÍMICA</t>
  </si>
  <si>
    <t>PARASITOLOGIA CLINICA</t>
  </si>
  <si>
    <t>DERMATOLOGIA E DISFUNÇÕES DA PELE</t>
  </si>
  <si>
    <t>FUNDAMENTOS DA MEDICINA TRADICIONAL CHINESA</t>
  </si>
  <si>
    <t>MECANIZAÇÃO AGRÍCOLA</t>
  </si>
  <si>
    <t>HORTICULTURA E AGROECOLOGIA</t>
  </si>
  <si>
    <t>CIÊNCIAS DO AMBIENTE</t>
  </si>
  <si>
    <t>QUÍMICA AMBIENTAL</t>
  </si>
  <si>
    <t>ATELIÊ DE ARQUITETURA, URBANISMO E PAISAGISMO</t>
  </si>
  <si>
    <t>ATELIÊ DE ARQUITETURA: RESIDENCIAL</t>
  </si>
  <si>
    <t>ATELIÊ DE PAISAGISMO URBANO</t>
  </si>
  <si>
    <t>ARQUITETURA E SOCIEDADE</t>
  </si>
  <si>
    <t>CONFORTO AMBIENTAL: ILUMINAÇÃO E ERGONOMIA</t>
  </si>
  <si>
    <t>PLÁSTICA E MODELOS TRIDIMENSIONAIS</t>
  </si>
  <si>
    <t>ATELIÊ DE ARQUITETURA: COMERCIAL</t>
  </si>
  <si>
    <t>CONFORTO AMBIENTAL E LUMINOTÉCNICA</t>
  </si>
  <si>
    <t>INSTALAÇÕES PREDIAIS</t>
  </si>
  <si>
    <t>ESTRUTURAS DE CONCRETO II</t>
  </si>
  <si>
    <t>HISTÓRIA DA ARTE: DO SURGIMENTO AOS PERÍODOS ARTÍSTICOS</t>
  </si>
  <si>
    <t>TÉCNICA DE MODELAGEM ARTÍSTICA</t>
  </si>
  <si>
    <t>CULTURA POPULAR E O PATRIMÔNIO HISTÓRICO ARTÍSTICO NACIONAL</t>
  </si>
  <si>
    <t>ARTE BRASILEIRA</t>
  </si>
  <si>
    <t>PRODUÇÃO FONOGRÁFICA E LEGISLAÇÃO</t>
  </si>
  <si>
    <t>PROGRAMAÇÃO DE BANCO DE DADOS</t>
  </si>
  <si>
    <t>IMERSÃO PROFISSIONAL: PROJETO PRÁTICO DE BANCO DE DADOS</t>
  </si>
  <si>
    <t>MANUTENÇÃO DE SOFTWARE</t>
  </si>
  <si>
    <t>EXPERIÊNCIA PROFISSIONAL: DESENVOLVIMENTO DE APLICAÇÃO</t>
  </si>
  <si>
    <t>SISTEMAS DISTRIBUÍDOS</t>
  </si>
  <si>
    <t>PROCESSAMENTO PARALELO E DISTRIBUÍDO EM BANCO DE DADOS</t>
  </si>
  <si>
    <t>GESTÃO DE SERVIÇOS EM TI</t>
  </si>
  <si>
    <t>GOVERNANÇA EM TECNOLOGIA DA INFORMAÇÃO</t>
  </si>
  <si>
    <t>BOAS PRÁTICAS DE GOVERNANÇA DE TI</t>
  </si>
  <si>
    <t>IMERSÃO PROFISSIONAL: PROJETO DE BOAS PRÁTICAS EM GOVERNANÇA DE TI</t>
  </si>
  <si>
    <t>BEM-ESTAR EM ANIMAIS SILVESTRES E DE ZOOLÓGICO</t>
  </si>
  <si>
    <t>BEM-ESTAR EM ANIMAIS DE PRODUÇÃO</t>
  </si>
  <si>
    <t>ATIVIDADE INTEGRADORA COMUM I: HISTÓRIA DA EDUCAÇÃO FÍSICA</t>
  </si>
  <si>
    <t>JOGOS E BRINCADEIRAS NA ESCOLA</t>
  </si>
  <si>
    <t>BASQUETE E HANDEBOL</t>
  </si>
  <si>
    <t>PSICOLOGIA DO ESPORTE E DO EXERCÍCIO</t>
  </si>
  <si>
    <t>JOGOS, BRINQUEDOS E BRINCADEIRAS</t>
  </si>
  <si>
    <t>EPIDEMIOLOGIA NA EDUCAÇÃO FÍSICA</t>
  </si>
  <si>
    <t>PRÁTICAS CORPORAIS E BEM-ESTAR</t>
  </si>
  <si>
    <t>EXERCÍCIOS FÍSICOS NAS DIFERENTES POPULAÇÕES</t>
  </si>
  <si>
    <t>ESTUDOS MÉTRICOS</t>
  </si>
  <si>
    <t>REGRAS, FORMATOS E TENDÊNCIAS DA CATALOGAÇÃO</t>
  </si>
  <si>
    <t>CONSERVAÇÃO, PRESERVAÇÃO E GESTÃO DE DOCUMENTOS</t>
  </si>
  <si>
    <t>FUNDAMENTOS DA GENÉTICA HUMANA</t>
  </si>
  <si>
    <t>QUÍMICA GERAL E ORGÂNICA</t>
  </si>
  <si>
    <t>QUÍMICA GERAL</t>
  </si>
  <si>
    <t>IMUNOLOGIA CLINICA</t>
  </si>
  <si>
    <t>TOXICOLOGIA E ANÁLISES TOXICOLÓGICAS</t>
  </si>
  <si>
    <t>ZOOLOGIA DE INVERTEBRADOS E PARASITOLOGIA</t>
  </si>
  <si>
    <t>PRÁTICA PEDAGÓGICA: UNIDADES TEMÁTICAS, OBJETOS DE CONHECIMENTO E HABILIDADES</t>
  </si>
  <si>
    <t>CONTROLADORIA</t>
  </si>
  <si>
    <t>CONTABILIDADE E LEGISLAÇÃO TRABALHISTA</t>
  </si>
  <si>
    <t>CONTABILIDADE E PLANEJAMENTO TRIBUTÁRIO</t>
  </si>
  <si>
    <t>CONTABILIDADE INTERMEDIÁRIA</t>
  </si>
  <si>
    <t>CONTABILIDADE APLICADA AO SETOR PÚBLICO</t>
  </si>
  <si>
    <t>CONTABILIDADE DE CUSTOS EM GESTÃO HOSPITALAR</t>
  </si>
  <si>
    <t>GESTÃO DE PREÇOS</t>
  </si>
  <si>
    <t>ESTRUTURAS DE DADOS APLICADAS</t>
  </si>
  <si>
    <t>DIREITO DIGITAL</t>
  </si>
  <si>
    <t>GESTÃO DO DESIGN E DA INOVAÇÃO</t>
  </si>
  <si>
    <t>TEORIA E FUNDAMENTOS DO DESIGN</t>
  </si>
  <si>
    <t>ESTRATÉGIAS DE RETENÇÃO E FIDELIZAÇÃO</t>
  </si>
  <si>
    <t>PSICOLOGIA POSITIVA</t>
  </si>
  <si>
    <t>TERAPIA OCUPACIONAL SOCIAL E EDUCACIONAL</t>
  </si>
  <si>
    <t>TERAPIA OCUPACIONAL NA SAÚDE DO TRABALHADOR</t>
  </si>
  <si>
    <t>SAÚDE NA NATUREZA</t>
  </si>
  <si>
    <t>BIOESTATÍSTICA E EPIDEMIOLOGIA</t>
  </si>
  <si>
    <t>MICROBIOLOGIA CERVEJEIRA E FERMENTAÇÃO</t>
  </si>
  <si>
    <t>NUTRIÇÃO HUMANA</t>
  </si>
  <si>
    <t>NUTRIÇÃO SOCIAL</t>
  </si>
  <si>
    <t>FILOSOFIA DA FELICIDADE</t>
  </si>
  <si>
    <t>TEORIA E PRÁTICA: DEFICIÊNCIA INTELECTUAL</t>
  </si>
  <si>
    <t>NORMAS TÉCNICAS EM SEGURANÇA NO TRABALHO - NR</t>
  </si>
  <si>
    <t>SEGURANÇA DO TRABALHO INDUSTRIAL</t>
  </si>
  <si>
    <t>RELAÇÕES INTERPESSOAIS E PSICOLOGIA SOCIAL</t>
  </si>
  <si>
    <t>HISTÓRIA DO CINEMA</t>
  </si>
  <si>
    <t>JORNALISMO MULTIMÍDIA</t>
  </si>
  <si>
    <t>ROTEIRO DE CINEMA</t>
  </si>
  <si>
    <t>CINEMA DOCUMENTÁRIO</t>
  </si>
  <si>
    <t>CINEMA E DESIGN DE ANIMAÇÃO</t>
  </si>
  <si>
    <t>ESTÉTICA DA COMUNICAÇÃO</t>
  </si>
  <si>
    <t>JORNALISMO DE DADOS</t>
  </si>
  <si>
    <t>TENDÊNCIAS TECNOLÓGICAS E AS ESTRATÉGIAS DIGITAIS NA COMUNICAÇÃO</t>
  </si>
  <si>
    <t>GENÉTICA E EVOLUÇÃO</t>
  </si>
  <si>
    <t>ECOLOGIA APLICADA E A GESTÃO DE RECURSOS NATURAIS</t>
  </si>
  <si>
    <t>IMERSÃO PROFISSIONAL: AVALIAÇÃO DA SEGURANÇA DE SISTEMAS</t>
  </si>
  <si>
    <t>TECNOLOGIAS EMERGENTES EM TI</t>
  </si>
  <si>
    <t>RELEVÂNCIA DO BRASIL NO COMÉRCIO INTERNACIONAL E A INFLUÊNCIA DOS BLOCOS ECONÔMICOS</t>
  </si>
  <si>
    <t>RELAÇÕES INTERNACIONAIS</t>
  </si>
  <si>
    <t>INTERVENÇÕES FAMILIARES E INSTITUCIONAIS</t>
  </si>
  <si>
    <t>DIREITO CONTRATUAL E REAL</t>
  </si>
  <si>
    <t>DANÇA MODERNA E AS PROPOSIÇÕES COREOGRÁFICAS</t>
  </si>
  <si>
    <t>PRODUÇÃO ARTÍSTICA DA DANÇA</t>
  </si>
  <si>
    <t>MODELAGEM TRIDIMENSIONAL E ERGONOMIA</t>
  </si>
  <si>
    <t>TECNOLOGIA DA CONFECÇÃO</t>
  </si>
  <si>
    <t>LINGUAGEM MUSICAL: TEORIA E PRÁTICA DOS ELEMENTOS DA MÚSICA</t>
  </si>
  <si>
    <t>FUNDAMENTOS E TÉCNICAS PARA A PRÁTICA INSTRUMENTAL</t>
  </si>
  <si>
    <t>MODELAGEM DIGITAL</t>
  </si>
  <si>
    <t>FÍSICA GERAL E EXPERIMENTAL II</t>
  </si>
  <si>
    <t>FENÔMENOS DE TRANSPORTE</t>
  </si>
  <si>
    <t>GEOLOGIA E GEOTECNIA</t>
  </si>
  <si>
    <t>CARTOGRAFIA E TOPOGRAFIA</t>
  </si>
  <si>
    <t>HIDRÁULICA</t>
  </si>
  <si>
    <t>HIDRÁULICA, HIDROLOGIA E DRENAGEM URBANA</t>
  </si>
  <si>
    <t>ESTATÍSTICA ECONÔMICA</t>
  </si>
  <si>
    <t>MATEMÁTICA PARA ECONOMISTA II</t>
  </si>
  <si>
    <t>CÁLCULO DIFERENCIAL E INTEGRAL II</t>
  </si>
  <si>
    <t>CONTABILIDADE SOCIAL</t>
  </si>
  <si>
    <t>MERCADO FINANCEIRO E DE CAPITAIS</t>
  </si>
  <si>
    <t>DESENVOLVIMENTO SÓCIO-ECONÔMICO</t>
  </si>
  <si>
    <t>ECONOMIA COMPORTAMENTAL</t>
  </si>
  <si>
    <t>ECONOMIA MONETÁRIA</t>
  </si>
  <si>
    <t>POLÍTICAS PÚBLICAS E SEGURANÇA DO TRABALHO NO AGRONEGÓCIO</t>
  </si>
  <si>
    <t>LOGÍSTICA INTEGRADA</t>
  </si>
  <si>
    <t>GESTÃO DA CADEIA DE SUPRIMENTOS NA ÁREA DA SAÚDE</t>
  </si>
  <si>
    <t>GESTÃO DE CONFLITOS E TÉCNICAS DE NEGOCIAÇÃO</t>
  </si>
  <si>
    <t>TERAPIAS INTEGRATIVAS E TÉCNICAS DE SPA</t>
  </si>
  <si>
    <t>ESTÉTICA CAPILAR E TRICOLOGIA</t>
  </si>
  <si>
    <t>PRÉ E PÓS OPERATÓRIO DE CIRURGIA PLÁSTICA</t>
  </si>
  <si>
    <t>MOVIMENTO FUNCIONAL HUMANO</t>
  </si>
  <si>
    <t>LINHAS DE TRANSMISSÃO DE ENERGIA ELÉTRICA</t>
  </si>
  <si>
    <t>CONVERSÃO ELETROMECÂNICA DE ENERGIA</t>
  </si>
  <si>
    <t>PRINCÍPIOS DE SISTEMA DE COMUNICAÇÃO</t>
  </si>
  <si>
    <t>PROCESSOS AVALIATIVOS NA EDUCAÇÃO ESPECIAL</t>
  </si>
  <si>
    <t>TRANSTORNO GLOBAL DO DESENVOLVIMENTO E O ENSINO E APRENDIZAGEM NO CONTEXTO INCLUSIVO</t>
  </si>
  <si>
    <t>PRÁTICA PEDAGÓGICA: ATEDIMENTO ESPECIALIZADO</t>
  </si>
  <si>
    <t>TEORIA E PRÁTICA: DEFICIÊNCIA MÚLTIPLA</t>
  </si>
  <si>
    <t>PSICOPEDAGOGIA: TEORIA E PRÁTICA NO CONTEXTO HOSPITALAR</t>
  </si>
  <si>
    <t>CONTROLE MULTIVARIÁVEL</t>
  </si>
  <si>
    <t>SISTEMAS REALIMENTADOS</t>
  </si>
  <si>
    <t>A ENFERMAGEM COMO PROFISSÃO</t>
  </si>
  <si>
    <t>FARMACOLOGIA APLICADA À PSICOPEDAGOGIA</t>
  </si>
  <si>
    <t>ENFERMAGEM EM SAÚDE DO ADULTO E IDOSO</t>
  </si>
  <si>
    <t>TÓPICOS EM GERONTOLOGIA</t>
  </si>
  <si>
    <t>ÉTICA NO ACOMPANHAMENTO DO TEA: FUNCIONALIDADE E PARTICIPAÇÃO SOCIOEDUCATIVA</t>
  </si>
  <si>
    <t>ENFERMAGEM NA SAÚDE MENTAL</t>
  </si>
  <si>
    <t>FILOSOFIA DA CIÊNCIA</t>
  </si>
  <si>
    <t>FILOSOFIA DA MENTE</t>
  </si>
  <si>
    <t>FILOSOFIA DA RELIGIÃO</t>
  </si>
  <si>
    <t>SOCIOLOGIA DA RELIGIÃO</t>
  </si>
  <si>
    <t>ADMINISTRAÇÃO DE MATERIAIS E LOGÍSTICA</t>
  </si>
  <si>
    <t>CÁLCULO III</t>
  </si>
  <si>
    <t>AVALIAÇÃO FÍSICO FUNCIONAL E IMAGINOLOGIA</t>
  </si>
  <si>
    <t>FISIOTERAPIA NEUROFUNCIONAL</t>
  </si>
  <si>
    <t>TÉCNICAS FOTOGRÁFICAS</t>
  </si>
  <si>
    <t>STORYBOARD E STOP MOTION</t>
  </si>
  <si>
    <t>COZINHA CLÁSSICA</t>
  </si>
  <si>
    <t>ENOGASTRONOMIA E BEBIDAS</t>
  </si>
  <si>
    <t>QUÍMICA CERVEJEIRA BÁSICA</t>
  </si>
  <si>
    <t>ÁGUA, LÚPULO E ADJUNTOS</t>
  </si>
  <si>
    <t>HIGIENE E SEGURANÇA DOS ALIMENTOS</t>
  </si>
  <si>
    <t>GEOGRAFIA DO BRASIL</t>
  </si>
  <si>
    <t>CLIMATOLOGIA</t>
  </si>
  <si>
    <t>GEOGRAFIA AGRÁRIA E URBANA</t>
  </si>
  <si>
    <t>REABILITAÇÃO NO ENVELHECIMENTO</t>
  </si>
  <si>
    <t>CONTROLE DA QUALIDADE E METROLOGIA</t>
  </si>
  <si>
    <t>CUSTOS DE PRODUÇÃO</t>
  </si>
  <si>
    <t>GESTÃO DE PROJETOS</t>
  </si>
  <si>
    <t>SEGURANÇA DO TRABALHO AGRÍCOLA E CONSTRUÇÃO CIVIL</t>
  </si>
  <si>
    <t>SIMULAÇÃO DE PROCESSOS PRODUTIVOS</t>
  </si>
  <si>
    <t>HISTÓRIA INDÍGENA</t>
  </si>
  <si>
    <t>HISTÓRIA DA ARTE</t>
  </si>
  <si>
    <t>HISTÓRIA POLÍTICA E ECONÔMICA</t>
  </si>
  <si>
    <t>HISTÓRIA CONTEMPORÂNEA</t>
  </si>
  <si>
    <t>REDES NEURAIS GENERATIVAS</t>
  </si>
  <si>
    <t>DESIGN DE JOGOS</t>
  </si>
  <si>
    <t>IMERSÃO PROFISSIONAL: APLICANDO UX PARA JOGOS</t>
  </si>
  <si>
    <t>DIREITO CONSTITUCIONAL</t>
  </si>
  <si>
    <t>TEORIA GERAL DA INVESTIGAÇÃO E PERÍCIA</t>
  </si>
  <si>
    <t>MEIOS DE PRODUÇÃO DE PROVA</t>
  </si>
  <si>
    <t>TÓPICOS ESPECIAIS EM SEGURANÇA PÚBLICA</t>
  </si>
  <si>
    <t>ROTEIRIZAÇÃO PARA JOGOS DIGITAIS</t>
  </si>
  <si>
    <t>UX PARA GAMES</t>
  </si>
  <si>
    <t>IMERSÃO PROFISSIONAL: FÁBRICA DE SOFTWARE - SISTEMA WEB</t>
  </si>
  <si>
    <t>COMUNICAÇÃO PÚBLICA E ORGANIZACIONAL</t>
  </si>
  <si>
    <t>COMUNICAÇÃO PÚBLICA E INSTITUCIONAL</t>
  </si>
  <si>
    <t>COMUNICAÇÃO E EXPRESSÃO</t>
  </si>
  <si>
    <t>LINGUÍSTICA I</t>
  </si>
  <si>
    <t>TEORIA DA LITERATURA</t>
  </si>
  <si>
    <t>METODOLOGIA DO ENSINO DA LÍNGUA PORTUGUESA II</t>
  </si>
  <si>
    <t>METODOLOGIA E FUNDAMENTOS DO ENSINO DA LÍNGUA INGLESA</t>
  </si>
  <si>
    <t>PSICOLOGIA APLICADA AO ENSINO DE SURDOS</t>
  </si>
  <si>
    <t>LÍNGUA BRASILEIRA DE SINAIS COMO L2: AQUISIÇÃO E ENSINO</t>
  </si>
  <si>
    <t>PESQUISAS DOS ESTUDOS SURDOS</t>
  </si>
  <si>
    <t>COMPETÊNCIAS SOCIOEMOCIONAIS</t>
  </si>
  <si>
    <t>HISTÓRIA DA MATEMÁTICA</t>
  </si>
  <si>
    <t>MODELAGEM MATEMÁTICA E RESOLUÇÃO DE PROBLEMAS</t>
  </si>
  <si>
    <t>TECNOLOGIAS E JOGOS DIDÁTICOS APLICADOS À MATEMÁTICA</t>
  </si>
  <si>
    <t>OMNICHANNEL E INBOUND MARKETING</t>
  </si>
  <si>
    <t>INTEGRIDADE E ÉTICA NAS RELAÇÕES DE TRABALHO</t>
  </si>
  <si>
    <t>DESENVOLVIMENTO SUSTENTÁVEL NO AGRONEGÓCIO</t>
  </si>
  <si>
    <t>HISTÓRIA DA MÚSICA: DO SURGIMENTO AO PERÍODO BARROCO</t>
  </si>
  <si>
    <t>PRÁTICA INSTRUMENTAL DE TECLADO</t>
  </si>
  <si>
    <t>INSTRUMENTO DE VIOLÃO</t>
  </si>
  <si>
    <t>ASSOCIATIVISMO E COOPERATIVISMO</t>
  </si>
  <si>
    <t>CADEIAS PRODUTIVAS DO CAFÉ E DE PRODUTOS ORGÂNICOS</t>
  </si>
  <si>
    <t>OPERAÇÕES E ASSESSORIA IMOBILIÁRIA</t>
  </si>
  <si>
    <t>O PAPEL LEGAL DO GESTOR IMOBILIÁRIO</t>
  </si>
  <si>
    <t>AGENCIAMENTO E TRANSPORTE</t>
  </si>
  <si>
    <t>DIREITO DAS OBRIGAÇÕES</t>
  </si>
  <si>
    <t>CRIAÇÃO E PRODUÇÃO EM MÍDIAS DIGITAIS</t>
  </si>
  <si>
    <t>ATENDIMENTO E PLANEJAMENTO DE CAMPANHA</t>
  </si>
  <si>
    <t>BIOQUÍMICA DE ALIMENTOS</t>
  </si>
  <si>
    <t>CAPACITAÇÃO E DESENVOLVIMENTO DE PESSOAS</t>
  </si>
  <si>
    <t>ÉTICA E ORIENTAÇÃO PROFISSIONAL</t>
  </si>
  <si>
    <t>EDUCAÇÃO ALIMENTAR E NUTRICIONAL</t>
  </si>
  <si>
    <t>PSICOLOGIA DA EDUCAÇÃO</t>
  </si>
  <si>
    <t>PROBLEMAS DE APRENDIZAGEM NA INFÂNCIA</t>
  </si>
  <si>
    <t>DESENVOLVIMENTO PSICOMOTOR NA INFÂNCIA</t>
  </si>
  <si>
    <t>NEUROAPRENDIZAGEM E SAÚDE NA EDUCAÇÃO</t>
  </si>
  <si>
    <t>FUNDAMENTOS E METODOLOGIAS PARA A EDUCAÇÃO INFANTIL</t>
  </si>
  <si>
    <t>LIBRAS</t>
  </si>
  <si>
    <t>ÓRTESES DAS UNHAS E DOS PÉS</t>
  </si>
  <si>
    <t>PODOLOGIA CLÍNICA GERAL</t>
  </si>
  <si>
    <t>COMUNICAÇÃO CRIATIVA, INOVATIVA E SUSTENTÁVEL</t>
  </si>
  <si>
    <t>PLANEJAMENTO DE COMUNICAÇÃO</t>
  </si>
  <si>
    <t>COMUNICAÇÃO ORGANIZACIONAL</t>
  </si>
  <si>
    <t>TENDÊNCIAS, NOVOS FORMATOS E O AMBIENTE DIGITAL E ANALÍTICO NA COMUNICAÇÃO</t>
  </si>
  <si>
    <t>PESQUISA DE MERCADO</t>
  </si>
  <si>
    <t>ABORDAGENS, ESTRATÉGIAS E MÉTODOS DE APOIO A PESSOAS NO ESPECTRO DO AUTISMO</t>
  </si>
  <si>
    <t>DIAGNÓSTICO E INTERVENÇÃO PSICOPEDAGÓGICA CLÍNICA</t>
  </si>
  <si>
    <t>ACOMPANHAMENTO EM CONTEXTOS EDUCACIONAIS</t>
  </si>
  <si>
    <t>QUÍMICA ORGÂNICA</t>
  </si>
  <si>
    <t>QUÍMICA ORGANICA EXPERIMENTAL</t>
  </si>
  <si>
    <t>PROTEÇÃO RADIOBIOLÓGICA</t>
  </si>
  <si>
    <t>RADIOTERAPIA</t>
  </si>
  <si>
    <t>ISABELLA BAZILICHE CASTILHO</t>
  </si>
  <si>
    <t>RESSONÂNCIA MAGNÉTICA</t>
  </si>
  <si>
    <t>TAINÁ BRAGANHOLI</t>
  </si>
  <si>
    <t>PROJETO DE REDES DE COMPUTADORES</t>
  </si>
  <si>
    <t>IMERSÃO PROFISSIONAL: PLANO DE IMPLANTAÇÃO DE SERVIÇOS DE REDES</t>
  </si>
  <si>
    <t>RELAÇÕES TRABALHISTAS E PREVIDENCIÁRIAS</t>
  </si>
  <si>
    <t>TERCEIRO SETOR E RESPONSABILIDADE SOCIAL</t>
  </si>
  <si>
    <t>GESTÃO DE EMERGÊNCIAS E PRIMEIROS SOCORROS</t>
  </si>
  <si>
    <t>GESTÃO DO SISTEMA ÚNICO DA ASSISTÊNCIA SOCIAL E O TRABALHO COM FAMÍLIAS</t>
  </si>
  <si>
    <t>GERONTOLOGIA SOCIAL</t>
  </si>
  <si>
    <t>OFICINA DE INSTRUMENTOS TÉCNICOS-OPERATIVOS</t>
  </si>
  <si>
    <t>NEGÓCIOS ELETRÔNICOS</t>
  </si>
  <si>
    <t>ROTEIRO E STORYTELLING</t>
  </si>
  <si>
    <t>BRANDING E IDENTIDADE VISUAL</t>
  </si>
  <si>
    <t>DRAMATURGIA TEATRAL</t>
  </si>
  <si>
    <t>FUNDAMENTOS DE COMPOSIÇÃO COREOGRÁFICA</t>
  </si>
  <si>
    <t>PRODUÇÃO ARTÍSTICA DO TEATRO</t>
  </si>
  <si>
    <t>TEOLOGIA SOBRE DEUS, CRISTO E ESPÍRITO SANTO</t>
  </si>
  <si>
    <t>TEOLOGIA MISSIONAL</t>
  </si>
  <si>
    <t>ESTUDOS SOBRE RELIGIÃO</t>
  </si>
  <si>
    <t>PSICOMOTRICIDADE E TERAPIA DE INTEGRAÇÃO SENSORIAL</t>
  </si>
  <si>
    <t>TERAPIA OCUPACIONAL EM AMBIENTE HOSPITALAR</t>
  </si>
  <si>
    <t>ADMINISTRAÇÃO DE BANCO DE DADOS</t>
  </si>
  <si>
    <t>TECNOLOGIAS EMERGENTES EM CIÊNCIA DE DADOS</t>
  </si>
  <si>
    <t>DESENVOLVIMENTO E APRENDIZAGEM MOTORA</t>
  </si>
  <si>
    <t>ESTRUTURA DE AÇO E MADEIRA</t>
  </si>
  <si>
    <t>PROJETOS DE INSTALAÇÕES ELÉTRICAS</t>
  </si>
  <si>
    <t>DIREITO AMBIENTAL</t>
  </si>
  <si>
    <t>LEGISLAÇÃO APLICADA À SEGURANÇA NO TRABALHO</t>
  </si>
  <si>
    <t>POLÍTICAS PÚBLICAS DA SAÚDE</t>
  </si>
  <si>
    <t>SOCIOLOGIA DA EDUCAÇÃO</t>
  </si>
  <si>
    <t>POLÍTICAS PÚBLICAS EM SAÚDE</t>
  </si>
  <si>
    <t>AMBIENTE FINANCEIRO DIGITAL</t>
  </si>
  <si>
    <t>SOCIOLINGUÍSTICA</t>
  </si>
  <si>
    <t>NUTRIÇÃO HOSPITALAR</t>
  </si>
  <si>
    <t>DIETOTERAPIA</t>
  </si>
  <si>
    <t>SOCIOLOGIA GERAL E DA COMUNICAÇÃO</t>
  </si>
  <si>
    <t>PROGRAMAÇÃO AVANÇADA</t>
  </si>
  <si>
    <t>INSTRUMENTAÇÃO INDUSTRIAL</t>
  </si>
  <si>
    <t>Bruno Cesar Couto Nolepa</t>
  </si>
  <si>
    <t>ROBSON ERIVELTON PEREIRA</t>
  </si>
  <si>
    <t>CAMILA MARIA GALO DA SILVA</t>
  </si>
  <si>
    <t>MATERIAIS DE CONSTRUÇÃO MECÂNICA</t>
  </si>
  <si>
    <t>Dario Machado Junior</t>
  </si>
  <si>
    <t>FUNDIÇÃO E SOLDAGEM</t>
  </si>
  <si>
    <t>Fabio Victor Bueno de Morais</t>
  </si>
  <si>
    <t>MÁQUINAS TÉRMICAS</t>
  </si>
  <si>
    <t>USINAGEM E CONFORMAÇÃO</t>
  </si>
  <si>
    <t>CONFIABILIDADE DE SISTEMAS</t>
  </si>
  <si>
    <t>MECÂNICA E RESISTÊNCIA DOS MATERIAIS</t>
  </si>
  <si>
    <t>ANA LÍDIA CASCALES</t>
  </si>
  <si>
    <t>1 única aula ao vivo no dia 07/05 e 3 aulas gravadas</t>
  </si>
  <si>
    <t>FILOSOFIA DA EDUCAÇÃO</t>
  </si>
  <si>
    <t>FORMAÇÃO DO PENSAMENTO SOCIOLÓGICO BRASILEIRO: O PENSAMENTO</t>
  </si>
  <si>
    <t>INTRODUÇÃO À PSICOLOGIA: APLICAÇÃO PASTORAL</t>
  </si>
  <si>
    <t>CIÊNCIA DE DADOS, INTELIGÊNCIA ARTIFICIAL E NOVAS TECNOLOGIAS</t>
  </si>
  <si>
    <t>MONITORAMENTO E CONTROLE DE QUALIDADE AVANÇADO</t>
  </si>
  <si>
    <t>COMPLIANCE</t>
  </si>
  <si>
    <t>SISTEMAS DE INFORMAÇÕES GERENCIAIS</t>
  </si>
  <si>
    <t>COMERCIALIZAÇÃO DE PRODUTOS AGROINDUSTRIAIS</t>
  </si>
  <si>
    <t>IMERSÃO PROFISSIONAL: PROJETO DE BANCO DE DADOS</t>
  </si>
  <si>
    <t>Apenas uma aula ao vivo.</t>
  </si>
  <si>
    <t>BANCO DE DADOS</t>
  </si>
  <si>
    <t>GESTÃO DA QUALIDADE DE PROCESSOS E PRODUTOS</t>
  </si>
  <si>
    <t>AGRICULTURA GERAL E GRANDES CULTURAS</t>
  </si>
  <si>
    <t>ZOOLOGIA E ENTOMOLOGIA AGRÍCOLA</t>
  </si>
  <si>
    <t>CERTIFICAÇÃO E RASTREABILIDADE NAS CADEIAS PRODUTIVAS</t>
  </si>
  <si>
    <t>NUTRIÇÃO E ALIMENTAÇÃO ANIMAL</t>
  </si>
  <si>
    <t>ENGENHARIA DE SOFTWARE</t>
  </si>
  <si>
    <t>Somente uma aula ao vivo.</t>
  </si>
  <si>
    <t>ANÁLISE PREDITIVA E CLASSIFICAÇÃO</t>
  </si>
  <si>
    <t>SISTEMAS OPERACIONAIS</t>
  </si>
  <si>
    <t>DESIGN DE MOBILIÁRIO</t>
  </si>
  <si>
    <t>ESTUDOS AMBIENTAIS URBANOS</t>
  </si>
  <si>
    <t>CONFORTO  AMBIENTAL: TERMO-ACÚSTICO</t>
  </si>
  <si>
    <t>ARTE E MUSICALIZAÇÃO APLICADAS À EDUCAÇÃO</t>
  </si>
  <si>
    <t>PINTURA E GRAVURA</t>
  </si>
  <si>
    <t>METODOLOGIA DO ENSINO DE ARTES VISUAIS</t>
  </si>
  <si>
    <t>ESPAÇOS NÃO FORMAIS E A MEDIAÇÃO CULTURAL</t>
  </si>
  <si>
    <t>ECOLOGIA E EDUCAÇÃO AMBIENTAL</t>
  </si>
  <si>
    <t>MATEMÁTICA FINANCEIRA</t>
  </si>
  <si>
    <t>ADMINISTRAÇÃO FINANCEIRA</t>
  </si>
  <si>
    <t>ADMINISTRAÇÃO ORÇAMENTÁRIA</t>
  </si>
  <si>
    <t>ECONOMIA BRASILEIRA CONTEMPORÂNEA</t>
  </si>
  <si>
    <t>ECONOMIA E CONTABILIDADE SOCIAL</t>
  </si>
  <si>
    <t>ANÁLISE DAS DEMONSTRAÇÕES CONTÁBEIS</t>
  </si>
  <si>
    <t>AUDITORIA CONTÁBIL</t>
  </si>
  <si>
    <t>GOVERNANÇA E GESTÃO DE RISCOS</t>
  </si>
  <si>
    <t>BANCO DE DADOS E MINERAÇÃO</t>
  </si>
  <si>
    <t>BANCO DE DADOS NOSQL</t>
  </si>
  <si>
    <t>IMERSÃO PROFISSIONAL: INTRODUÇÃO À INTELIGÊNCIA ARTIFICIAL NA JORNADA DO CLIENTE</t>
  </si>
  <si>
    <t>DESAFIOS E SUPERAÇÃO NOS CICLOS DA VIDA</t>
  </si>
  <si>
    <t>ESPIRITUALIDADE PARA UMA VIDA PLENA</t>
  </si>
  <si>
    <t>IMERSÃO PROFISSIONAL: ESTRATÉGIAS APLICADAS À GESTÃO DO COMÉRCIO EXTERIOR</t>
  </si>
  <si>
    <t>DIREITO INTERNACIONAL E TERMOS DE COMÉRCIO INTERNACIONAL</t>
  </si>
  <si>
    <t>LEGISLAÇÃO ADUANEIRA DE IMPORTAÇÃO E EXPORTAÇÃO</t>
  </si>
  <si>
    <t>LEGISLAÇÃO DO SUS</t>
  </si>
  <si>
    <t>VITIMOLOGIA</t>
  </si>
  <si>
    <t>FORMAS CONSENSUAIS DE RESOLUÇÃO DE CONFLITOS</t>
  </si>
  <si>
    <t>METODOLOGIA DO ENSINO DE DANÇA</t>
  </si>
  <si>
    <t>DANÇA CONTEMPORÂNEA E AS PROPOSIÇÕES COREOGRÁFICAS</t>
  </si>
  <si>
    <t>MONTAGEM DE ESPETÁCULOS ARTÍSTICOS E CULTURAIS</t>
  </si>
  <si>
    <t>METODOLOGIA DO PROJETO EM DESIGN</t>
  </si>
  <si>
    <t>HISTÓRIA DA MÚSICA</t>
  </si>
  <si>
    <t>CRIAÇÃO MUSICAL, COMPOSIÇÃO E ARRANJO</t>
  </si>
  <si>
    <t>ACÚSTICA, ENGENHARIA DO SOM E CAPTAÇÃO</t>
  </si>
  <si>
    <t>GEOPROCESSAMENTO E SENSORIAMENTO REMOTO</t>
  </si>
  <si>
    <t>HIDRÁULICA E HIDROMETRIA</t>
  </si>
  <si>
    <t>HIDROLOGIA E DRENAGEM URBANA</t>
  </si>
  <si>
    <t>SANEAMENTO BÁSICO</t>
  </si>
  <si>
    <t>PLANEJAMENTO, ORÇAMENTO E GESTÃO DE PROJETOS</t>
  </si>
  <si>
    <t>MATERIAIS DE CONSTRUÇÃO</t>
  </si>
  <si>
    <t>MANUTENÇÃO E PATOLOGIA DAS EDIFICAÇÕES</t>
  </si>
  <si>
    <t>ESTRUTURAS DE CONCRETO I</t>
  </si>
  <si>
    <t>ECONOMIA INTERNACIONAL II</t>
  </si>
  <si>
    <t>FILOSOFIA E ÉTICA</t>
  </si>
  <si>
    <t>HISTÓRIA DO PENSAMENTO ECONÔMICO</t>
  </si>
  <si>
    <t>ANÁLISE DE INVESTIMENTOS E VIABILIDADE</t>
  </si>
  <si>
    <t>MACROECONOMIA I</t>
  </si>
  <si>
    <t>FUNDAMENTOS DAS PRÁTICAS INTEGRATIVAS E COMPLEMENTARES</t>
  </si>
  <si>
    <t>ESTUDO SOCIO-HISTÓRICO E NEUROPSICOLÓGICO DA MEDICALIZAÇÃO INFANTIL</t>
  </si>
  <si>
    <t>INCLUSÃO NA EDUCAÇÃO DE JOVENS E ADULTOS</t>
  </si>
  <si>
    <t>DESENVOLVIMENTO SOCIAL E COMPORTAMENTAL PARA O TEA</t>
  </si>
  <si>
    <t>ENSINO DE HABILIDADES DE COMUNICAÇÃO ALTERNATIVA AUMENTATIVA</t>
  </si>
  <si>
    <t>METODOLOGIA E INSTRUMENTALIZAÇÃO PARA O ENSINO DE CIÊNCIAS</t>
  </si>
  <si>
    <t>METODOLOGIA E INSTRUMENTALIZAÇÃO PARA O ENSINO DE BIOLOGIA</t>
  </si>
  <si>
    <t>MICROBIOLOGIA</t>
  </si>
  <si>
    <t>ANATOMIA E MORFOLOGIA VEGETAL</t>
  </si>
  <si>
    <t>LOGÍSTICA APLICADA AO AGRONEGÓCIO</t>
  </si>
  <si>
    <t>DESIGN E INOVAÇÃO EM PRODUTOS E SERVIÇOS</t>
  </si>
  <si>
    <t>MEIOS DE REPRESENTAÇÃO E EXPRESSÃO</t>
  </si>
  <si>
    <t>ATELIÊ DE URBANISMO</t>
  </si>
  <si>
    <t>ERGONOMIA</t>
  </si>
  <si>
    <t>DIREITOS DOS ANIMAIS E LEGISLAÇÃO</t>
  </si>
  <si>
    <t>LICENCIAMENTO, AVALIAÇÃO E CONTROLE DE IMPACTOS AMBIENTAIS</t>
  </si>
  <si>
    <t>GEOLOGIA</t>
  </si>
  <si>
    <t>GEOMETRIA PLANA E ESPACIAL</t>
  </si>
  <si>
    <t>ELETRÔNICA DE POTÊNCIA</t>
  </si>
  <si>
    <t>PROTEÇÃO DE SISTEMAS ELÉTRICOS</t>
  </si>
  <si>
    <t>TEORIA E PRÁTICA: DEFICIÊNCIA FÍSICA E NEUROMOTORA</t>
  </si>
  <si>
    <t>ROBÓTICA: DISPOSITIVOS DE MANIPULAÇÃO</t>
  </si>
  <si>
    <t>INTELIGÊNCIA ARTIFICIAL PARA AUTOMAÇÃO</t>
  </si>
  <si>
    <t>ELETRÔNICA ANALÓGICA E DIGITAL</t>
  </si>
  <si>
    <t>GESTÃO DE PEQUENAS E MÉDIAS EMPRESAS</t>
  </si>
  <si>
    <t>ENGENHARIA DE TEMPOS E MÉTODOS</t>
  </si>
  <si>
    <t>ELETROTÉCNICA E ELETRÔNICA</t>
  </si>
  <si>
    <t>GESTÃO INTEGRADA DA QUALIDADE (QSSMA)</t>
  </si>
  <si>
    <t>FARMACOGNOSIA, FITOQUÍMICA E FITOTERAPIA</t>
  </si>
  <si>
    <t>METODOLOGIA DO ENSINO DA FÍSICA</t>
  </si>
  <si>
    <t>TERMODINÂMICA I</t>
  </si>
  <si>
    <t>FUNDAMENTOS DE ELETRICIDADE</t>
  </si>
  <si>
    <t>MAGNETISMO E ELETROMAGNETISMO</t>
  </si>
  <si>
    <t>FISIOTERAPIA NA SAÚDE DO IDOSO</t>
  </si>
  <si>
    <t>FISIOTERAPIA NA SAÚDE DO TRABALHADOR</t>
  </si>
  <si>
    <t>FISIOTERAPIA CARDIOVASCULAR</t>
  </si>
  <si>
    <t>FISIOTERAPIA RESPIRATÓRIA E INTENSIVISMO</t>
  </si>
  <si>
    <t>FOTOJORNALISMO</t>
  </si>
  <si>
    <t>EDIÇÃO DE IMAGEM, VÍDEO E SOM</t>
  </si>
  <si>
    <t>GEOPROCESSAMENTO APLICADO À ESTUDOS AMBIENTAIS</t>
  </si>
  <si>
    <t>IMERSÃO PROFISSIONAL: ESTRATÉGIA COMERCIAL E DE VENDAS</t>
  </si>
  <si>
    <t>IMERSÃO PROFISSIONAL: ANÁLISE ECONÔMICO-FINANCEIRA E ORÇAMENTÁRIA</t>
  </si>
  <si>
    <t>SISTEMA REGISTRAL E NOTARIAL</t>
  </si>
  <si>
    <t>DIREITO E LEGISLAÇÃO IMOBILIÁRIA</t>
  </si>
  <si>
    <t>ADMINISTRAÇÃO DE LOCAÇÃO E CONDOMÍNIOS</t>
  </si>
  <si>
    <t>IMERSÃO PROFISSIONAL: GESTÃO DE PROCESSOS E ATENDIMENTO AO CLIENTE</t>
  </si>
  <si>
    <t>Apenas um dia de aula ao vivo.</t>
  </si>
  <si>
    <t>FINANÇAS E ORÇAMENTO PÚBLICO</t>
  </si>
  <si>
    <t>ADMINISTRAÇÃO DE RECURSOS MATERIAIS E PATRIMONIAIS</t>
  </si>
  <si>
    <t>ECONOMIA DO SETOR PÚBLICO</t>
  </si>
  <si>
    <t>AUDITORIA DA QUALIDADE</t>
  </si>
  <si>
    <t>NORMAS E PROCESSOS DE CERTIFICAÇÃO</t>
  </si>
  <si>
    <t>FUNDAMENTOS DE DIREITO PENAL</t>
  </si>
  <si>
    <t>ANÁLISE CRIMINAL E TECNOLOGIAS</t>
  </si>
  <si>
    <t>GOVERNANÇA ESTRATÉGICA DE DADOS</t>
  </si>
  <si>
    <t>IMERSÃO PROFISSIONAL: CONSTRUÇÃO DE INDICADORES DE NEGÓCIOS</t>
  </si>
  <si>
    <t>IMERSÃO PROFISSIONAL: ANÁLISE E TOMADA DE DECISÃO</t>
  </si>
  <si>
    <t>PRODUTO DE RENDA FIXA: TÍTULOS DA DÍVIDA PÚBLICA</t>
  </si>
  <si>
    <t>LÍNGUA BRASILEIRA DE SINAIS: ASPECTOS GRAMATICAIS</t>
  </si>
  <si>
    <t>LÍNGUAS ORAIS E LÍNGUA DE SINAIS: ESTUDOS FONÉTICOS E FONOLÓGICOS</t>
  </si>
  <si>
    <t>LÍNGUAS ORAIS E LÍNGUA DE SINAIS: ESTUDOS MORFOLÓGICOS</t>
  </si>
  <si>
    <t>LITERATURA SURDA</t>
  </si>
  <si>
    <t>FUNDAMENTOS DA EDUCAÇÃO</t>
  </si>
  <si>
    <t>LOGÍSTICA INTERNACIONAL</t>
  </si>
  <si>
    <t>IMERSÃO PROFISSIONAL: COPYWRITING, STORYTELLING E COMUNICAÇÃO DIGITAL</t>
  </si>
  <si>
    <t>GESTÃO DA CADEIA DE SUPRIMENTOS</t>
  </si>
  <si>
    <t>GESTÃO DE ESTOQUES, ARMAZENAGEM E MOVIMENTAÇÃO</t>
  </si>
  <si>
    <t>ANÁLISE MATEMÁTICA</t>
  </si>
  <si>
    <t>LÓGICA MATEMÁTICA</t>
  </si>
  <si>
    <t>GEOMETRIA COM CONSTRUÇÕES GEOMÉTRICAS</t>
  </si>
  <si>
    <t>INOVAÇÃO E DESENVOLVIMENTO DE NOVOS PRODUTOS E DESIGN THINKING</t>
  </si>
  <si>
    <t>GESTÃO DO COMPOSTO PROMOCIONAL E BRANDING</t>
  </si>
  <si>
    <t>ANALYTICS MARKETING</t>
  </si>
  <si>
    <t>HISTÓRIA E GÊNEROS DA MÚSICA BRASILEIRA</t>
  </si>
  <si>
    <t>METODOLOGIA DO ENSINO DE MÚSICA</t>
  </si>
  <si>
    <t>BIOLOGIA E BIOQUÍMICA HUMANA</t>
  </si>
  <si>
    <t>CONTROLE HIGIÊNICO SANITÁRIO DE ALIMENTOS</t>
  </si>
  <si>
    <t>TECNOLOGIA DE ALIMENTOS</t>
  </si>
  <si>
    <t>CONSULTORIA EM RECURSOS HUMANOS</t>
  </si>
  <si>
    <t>TRANSTORNOS DE APRENDIZAGEM E PRÁTICA PSICOPEDAGÓGICA</t>
  </si>
  <si>
    <t>EDUCAÇÃO INCLUSIVA E PRÁTICA PSICOPEDAGÓGICA</t>
  </si>
  <si>
    <t>SITUAÇÕES PSICOSSOCIAIS NA CONTEMPORANEIDADE</t>
  </si>
  <si>
    <t>METODOLOGIA DO ENSINO A QUÍMICA</t>
  </si>
  <si>
    <t>RADIOLOGIA CONTRASTADA E INTERVENCIONISTA</t>
  </si>
  <si>
    <t>IMERSÃO PROFISSIONAL: RADIOLOGIA EM FOCO</t>
  </si>
  <si>
    <t>NUTRIÇÃO NOS CICLOS DA VIDA</t>
  </si>
  <si>
    <t>IMERSÃO PROFISSIONAL: PROCESSOS INDUSTRIAIS SEGUROS</t>
  </si>
  <si>
    <t>SEGURANÇA DO TRABALHO HOSPITALAR</t>
  </si>
  <si>
    <t>SAÚDE OCUPACIONAL E MEDICINA DO TRABALHO</t>
  </si>
  <si>
    <t>GERENCIAMENTO DE RISCOS E PREVENÇÃO DE ACIDENTES</t>
  </si>
  <si>
    <t>PROJETOS E CUSTOS DE SEGURANÇA PRIVADA</t>
  </si>
  <si>
    <t>HUMANIZAÇÃO EM SERVIÇOS DE SAÚDE</t>
  </si>
  <si>
    <t>DIREITO À PROTEÇÃO INTEGRAL DA CRIANÇA E DO ADOLESCENTE</t>
  </si>
  <si>
    <t>HISTÓRIA DA ÁFRICA</t>
  </si>
  <si>
    <t>FILOSOFIA DA LINGUAGEM</t>
  </si>
  <si>
    <t>GLOBALIZAÇÃO E ESPAÇOS REGIONAIS</t>
  </si>
  <si>
    <t>TECNOLOGIAS APLICADAS AO ENSINO DE GEOGRAFIA</t>
  </si>
  <si>
    <t>CIBERCULTURA E SOCIEDADES DESCENTRALIZADAS</t>
  </si>
  <si>
    <t>INTRODUÇÃO AOS ESTUDOS FILOSÓFICOS</t>
  </si>
  <si>
    <t>ESTUDOS, IMPACTOS AMBIENTAIS E A GESTÃO DE PROJETOS AMBIENTAIS</t>
  </si>
  <si>
    <t>BIOGEOGRAFIA</t>
  </si>
  <si>
    <t>TUBULAÇÕES E INSTALAÇÕES INDUSTRIAIS</t>
  </si>
  <si>
    <t>REFRIGERAÇÃO E CONDICIONAMENTO DE AR</t>
  </si>
  <si>
    <t>MANUTENÇÃO INDUSTRIAL</t>
  </si>
  <si>
    <t>GEOGRAFIA CULTURAL</t>
  </si>
  <si>
    <t>GEOGRAFIA DA POPULAÇÃO</t>
  </si>
  <si>
    <t>ATIVIDADES COLETIVAS EM AMBIENTES SAUDÁVEIS</t>
  </si>
  <si>
    <t>IMERSÃO PROFISSIONAL: RECREAÇÃO E LAZER</t>
  </si>
  <si>
    <t>ABORDAGEM INTERDISCIPLINAR EM GERONTOLOGIA</t>
  </si>
  <si>
    <t>GESTÃO DE PROCESSOS E ESTRUTURA DA FARMÁCIA</t>
  </si>
  <si>
    <t>TECNOLOGIAS DIGITAIS NO ENVELHECIMENTO</t>
  </si>
  <si>
    <t>HISTÓRIA DA AMÉRICA</t>
  </si>
  <si>
    <t>HISTÓRIA DA CIÊNCIA</t>
  </si>
  <si>
    <t>SOCIOLOGIA DA ARTE</t>
  </si>
  <si>
    <t>HISTÓRIA ANTIGA</t>
  </si>
  <si>
    <t>SISTEMAS ESPECIALISTAS</t>
  </si>
  <si>
    <t>IMERSÃO PROFISSIONAL: SISTEMAS ESPECIALISTAS E SUAS CATEGORIAS</t>
  </si>
  <si>
    <t>INTELIGÊNCIA ARTIFICIAL SIMBÓLICA</t>
  </si>
  <si>
    <t>FUNDAMENTOS DE JOGOS</t>
  </si>
  <si>
    <t>IMERSÃO PROFISSIONAL: PROJETO GRÁFICO DE UM JOGO DIGITAL</t>
  </si>
  <si>
    <t>JOGOS 2D E 3D</t>
  </si>
  <si>
    <t>LITERATURA BRASILEIRA</t>
  </si>
  <si>
    <t>Leonardo Pestillo da Oliveira</t>
  </si>
  <si>
    <t>PRODUÇÃO TEXTUAL II: GÊNEROS TEXTUAIS</t>
  </si>
  <si>
    <t>LITERATURAS EM LINGUA INGLESA I</t>
  </si>
  <si>
    <t>METODOLOGIA DA ALFABETIZAÇÃO E LETRAMENTO</t>
  </si>
  <si>
    <t>QUÍMICA ANALÍTICA QUALITATIVA</t>
  </si>
  <si>
    <t>TÉCNICA DE PESQUISA SOCIAL</t>
  </si>
  <si>
    <t>SEMINÁRIO SAÚDE E SEGURIDADE SOCIAL</t>
  </si>
  <si>
    <t>SEGURANÇA ALIMENTAR NAS CADEIAS PRODUTIVAS E NA INDÚSTRIA DE ALIMENTOS</t>
  </si>
  <si>
    <t>PROCESSO DE TRABALHO EM SERVIÇO SOCIAL</t>
  </si>
  <si>
    <t>FUNDAMENTOS TEÓRICO-METODOLÓGICO DO SERVIÇO SOCIAL</t>
  </si>
  <si>
    <t>QUESTÃO SOCIAL NA CONTEMPORANEIDADE</t>
  </si>
  <si>
    <t>METODOLOGIA DO ENSINO DE TEATRO</t>
  </si>
  <si>
    <t>ELEMENTOS VISUAIS DO TEATRO</t>
  </si>
  <si>
    <t>TERAPIA OCUPACIONAL EM SAÚDE MENTAL E DISFUNÇÕES COGNITIVAS</t>
  </si>
  <si>
    <t>TERAPIA OCUPACIONAL INFANTO-JUVENIL</t>
  </si>
  <si>
    <t>PROJETOS, GESTÃO E CONSULTORIA EM TERAPIA OCUPACIONAL</t>
  </si>
  <si>
    <t>PRODUÇÃO TEXTUAL I: ESTRATÉGIAS DE PRODUÇÃO</t>
  </si>
  <si>
    <t>TECNICAS E ROTEIROS TURISTICOS</t>
  </si>
  <si>
    <t>ROTINAS JURIDICAS, ADMINISTRATIVAS E PROCESSO ELETRÔNICO</t>
  </si>
  <si>
    <t>QUÍMICA AGRÍCOLA E ANALÍTICA</t>
  </si>
  <si>
    <t>Danieli Azanha Gazzoni Takahashi</t>
  </si>
  <si>
    <t>QUÍMICA E ANÁLISES QUÍMICAS DE ALIMENTOS</t>
  </si>
  <si>
    <t>BIOTECNOLOGIA, GENÉTICA E MELHORAMENTO VEGETAL</t>
  </si>
  <si>
    <t>Kleber Longhini</t>
  </si>
  <si>
    <t>SISTEMAS ESTRUTURAIS</t>
  </si>
  <si>
    <t>GABRIEL CAVIGLIONE</t>
  </si>
  <si>
    <t>MATERIAIS E TECNOLOGIA DA CONSTRUÇÃO</t>
  </si>
  <si>
    <t>THIAGO PALEARI</t>
  </si>
  <si>
    <t>AUTOMAÇÃO DE PORTÕES E ACESSO</t>
  </si>
  <si>
    <t>MARLON AUGUSTO GOULART</t>
  </si>
  <si>
    <t>GERENCIAMENTO DE DADOS E BIG DATA NA AUTOMAÇÃO</t>
  </si>
  <si>
    <t>Rômulo Ferreira dos Santos</t>
  </si>
  <si>
    <t>REDES DE COMUNICAÇÃO PARA AUTOMAÇÃO</t>
  </si>
  <si>
    <t>Rafael Osipi De Souza</t>
  </si>
  <si>
    <t>TERAPIAS INTEGRATIVAS E COMPLEMENTARES EM ANIMAIS</t>
  </si>
  <si>
    <t>Thais Nishikata</t>
  </si>
  <si>
    <t>DESENHO DIGITAL</t>
  </si>
  <si>
    <t>EDISON JOSE DA SILVA</t>
  </si>
  <si>
    <t>DESENVOLVIMENTO E APRENDIZAGEM DA PESSOA COM DEFICIÊNCIA</t>
  </si>
  <si>
    <t>Wesley Natan Ferrari</t>
  </si>
  <si>
    <t>PSICOPEDAGOGIA APLICADA PARA EDUCAÇÃO DE JOVENS, ADULTOS E TERCEIRA IDADE</t>
  </si>
  <si>
    <t>FUNDAMENTOS, CONCEITOS E PRINCÍPIOS DA ANÁLISE COMPORTAMENTAL</t>
  </si>
  <si>
    <t>Gabriel Lucas</t>
  </si>
  <si>
    <t>Marina Lopes</t>
  </si>
  <si>
    <t>Vinícius Rincão</t>
  </si>
  <si>
    <t>SURDOCEGUEIRA: ESTUDOS INTRODUTÓRIOS</t>
  </si>
  <si>
    <t>Kátia Lourenço</t>
  </si>
  <si>
    <t>R$ 3.428,50</t>
  </si>
  <si>
    <t>TÉCNICAS RADIOLÓGICAS DE MEMBROS SUPERIORES E INFERIORES</t>
  </si>
  <si>
    <t>André Fernandez</t>
  </si>
  <si>
    <t>TÉCNICAS SECRETARIAIS I</t>
  </si>
  <si>
    <t>JANAINA GOMES FERRAZ</t>
  </si>
  <si>
    <t>PLANEJAMENTO E ORGANIZAÇÃO DE EVENTOS</t>
  </si>
  <si>
    <t>UX E UI DESIGN</t>
  </si>
  <si>
    <t>Daniel Furtado Camargo</t>
  </si>
  <si>
    <t>ORGANIZAÇÃO, SISTEMAS E MÉTODOS</t>
  </si>
  <si>
    <t>USO DE DRONES, GEOPROCESSAMENTO E INTERPRETAÇÃO DE IMAGENS</t>
  </si>
  <si>
    <t>ERGONOMIA E SEGURANÇA DO TRABALHO</t>
  </si>
  <si>
    <t>PROCESSOS DE FABRICAÇÃO MECÂNICA E METROLOGIA</t>
  </si>
  <si>
    <t>DESENHO MECÂNICO E METROLOGIA</t>
  </si>
  <si>
    <t>ELETRICIDADE BÁSICA</t>
  </si>
  <si>
    <t>QUÍMICA GERAL E EXPERIMENTAL</t>
  </si>
  <si>
    <t>PLANEJAMENTO E ORÇAMENTO DE OBRAS</t>
  </si>
  <si>
    <t>ELEMENTOS DE MÁQUINAS</t>
  </si>
  <si>
    <t>ATELIÊ DE PROJETO DE ARQUITETURA: MÉDIA COMPLEXIDADE</t>
  </si>
  <si>
    <t>EDUCAÇÃO INCLUSIVA</t>
  </si>
  <si>
    <t>ELETROMAGNETISMO</t>
  </si>
  <si>
    <t>IMERSÃO PROFISSIONAL: PROJETO DE BANCO DE DADOS NÃO RELACIONAL</t>
  </si>
  <si>
    <t>PERÍCIA FORENSE COMPUTACIONAL</t>
  </si>
  <si>
    <t>IMERSÃO PROFISSIONAL: APLICAÇÃO DE ANÁLISE PREDITIVA</t>
  </si>
  <si>
    <t>ATIVIDADES DE ACADEMIA</t>
  </si>
  <si>
    <t>MEDIDAS E AVALIAÇÃO EM EDUCAÇÃO FÍSICA</t>
  </si>
  <si>
    <t>GINÁSTICA</t>
  </si>
  <si>
    <t>NUTRIÇÃO APLICADA À EDUCAÇÃO FÍSICA</t>
  </si>
  <si>
    <t>GESTÃO ESPORTIVA</t>
  </si>
  <si>
    <t>ORGANIZAÇÃO DE EVENTOS ESCOLARES</t>
  </si>
  <si>
    <t>ATIVIDADE INTEGRADORA COMUM II: INICIAÇÃO ESPORTIVA</t>
  </si>
  <si>
    <t>Disciplina de metodologia estendida, mas as aulas acontecem no período de primeira disciplina.</t>
  </si>
  <si>
    <t>ESTUDO DO MOVIMENTO HUMANO</t>
  </si>
  <si>
    <t>CULTURA E ATIVIDADES SOCIAIS EM BIBLIOTECONOMIA</t>
  </si>
  <si>
    <t>INFORMATIZAÇÃO DE BIBLIOTECAS</t>
  </si>
  <si>
    <t>INTRODUÇÃO À CIÊNCIA DA INFORMAÇÃO</t>
  </si>
  <si>
    <t>PRINCÍPIOS DA INDEXAÇÃO E RESUMOS</t>
  </si>
  <si>
    <t>CITOPATOLOGIA E UROANÁLISE</t>
  </si>
  <si>
    <t>CITOPATOLOGIA E UROANÁLISE e CITOLOGIA CLINICA são a mesma disciplina, mas com nomenclaturas diferentes e matrizes diferentes, mas que rodam em sinergia.</t>
  </si>
  <si>
    <t>CITOLOGIA CLINICA</t>
  </si>
  <si>
    <t>MICROBIOLOGIA CLÍNICA</t>
  </si>
  <si>
    <t>AROMATERAPIA E CROMOTERAPIA</t>
  </si>
  <si>
    <t>BROMATOLOGIA</t>
  </si>
  <si>
    <t>IMERSÃO PROFISSIONAL: RECONHECIMENTO DE PADRÕES</t>
  </si>
  <si>
    <t>RECONHECIMENTO DE PADRÕES</t>
  </si>
  <si>
    <t>EXPERIÊNCIA PROFISSIONAL: PROJETO ARQUITETURAL</t>
  </si>
  <si>
    <t>ARQUITETURA DE SOFTWARE</t>
  </si>
  <si>
    <t>PRODUÇÃO AUDIOVISUAL E MULTIMÍDIA</t>
  </si>
  <si>
    <t>DIREÇÃO DE SOM</t>
  </si>
  <si>
    <t>TEORIAS DA COMUNICAÇÃO</t>
  </si>
  <si>
    <t>NARRATIVAS, GÊNEROS E FORMATOS JORNALÍSTICOS</t>
  </si>
  <si>
    <t>PLANEJAMENTO DE NEGÓCIOS EM JORNALISMO</t>
  </si>
  <si>
    <t>PRODUÇÃO DE CONTEÚDO E GESTÃO DE MÍDIAS DIGITAIS</t>
  </si>
  <si>
    <t>PSICOLOGIA DA COMUNICAÇÃO E PERSUASÃO</t>
  </si>
  <si>
    <t>GERENCIAMENTO DE CRISES E OUVIDORIA</t>
  </si>
  <si>
    <t>REDAÇÃO MULTIPLATAFORMAS</t>
  </si>
  <si>
    <t>TÉCNICAS E PROCEDIMENTOS DE PRIMEIROS SOCORROS</t>
  </si>
  <si>
    <t>PANIFICAÇÃO CLÁSSICA E BRASILEIRA</t>
  </si>
  <si>
    <t>COZINHA NATURAL E PRODUÇÃO DE INGREDIENTES</t>
  </si>
  <si>
    <t>PLANEJAMENTO DE CARDÁPIOS</t>
  </si>
  <si>
    <t>TEOLOGIA APLICADA</t>
  </si>
  <si>
    <t>PREGAÇÃO, COMUNICAÇÃO E MÍDIAS</t>
  </si>
  <si>
    <t>PROJETO EXPERIMENTAL</t>
  </si>
  <si>
    <t>GESTÃO DO PLANEJAMENTO DE MÍDIAS</t>
  </si>
  <si>
    <t>REDAÇÃO PUBLICITÁRIA MULTIPLATAFORMAS</t>
  </si>
  <si>
    <t>ESTRATÉGIA DE MARKETING E BRANDING</t>
  </si>
  <si>
    <t>NUTRIÇÃO ESPORTIVA</t>
  </si>
  <si>
    <t>METODOLOGIA DO ENSINO DE CIÊNCIAS</t>
  </si>
  <si>
    <t>LITERATURA INFANTIL E LUDICIDADE</t>
  </si>
  <si>
    <t>PLANEJAMENTO E AVALIAÇÃO EDUCACIONAL</t>
  </si>
  <si>
    <t>MICROBIOLOGIA E CONTROLE DE QUALIDADE DE ALIMENTOS</t>
  </si>
  <si>
    <t>TECNOLOGIA ASSISTIVA PARA A EDUCAÇÃO INCLUSIVA</t>
  </si>
  <si>
    <t>ATELIÊ DE DESIGN</t>
  </si>
  <si>
    <t>LEONARDO FERREIRA</t>
  </si>
  <si>
    <t>DATA WAREHOUSE</t>
  </si>
  <si>
    <t>SISTEMAS DE CABEAMENTO ESTRUTURADO</t>
  </si>
  <si>
    <t>Mateus Jose de Oliveira</t>
  </si>
  <si>
    <t>DESIGN DE PRODUTO</t>
  </si>
  <si>
    <t>Aline Marcussi</t>
  </si>
  <si>
    <t>FUNDAMENTOS DE REDES DE COMPUTADORES</t>
  </si>
  <si>
    <t>ADMINISTRAÇÃO DE REDES LINUX</t>
  </si>
  <si>
    <t>STEFFI ALINE STARK BECKER</t>
  </si>
  <si>
    <t>SABEDORIA ANCESTRAL DA FELICIDADE</t>
  </si>
  <si>
    <t>Nathalia Barbosa Limeira</t>
  </si>
  <si>
    <t>PROPÓSITO E VOLUNTARIADO</t>
  </si>
  <si>
    <t>Michéli Meira</t>
  </si>
  <si>
    <t>PROJETO, IMPLEMENTAÇÃO E TESTE DE SOFTWARE</t>
  </si>
  <si>
    <t>RODOLFO TERRA</t>
  </si>
  <si>
    <t>QUALIDADE DE SOFTWARE</t>
  </si>
  <si>
    <t>FUNDAMENTOS HISTÓRICOS E FILOSÓFICOS DA EDUCAÇÃO</t>
  </si>
  <si>
    <t>Gilson Aguiar</t>
  </si>
  <si>
    <t>FUNDAMENTOS SOCIOLÓGICOS E ANTROPOLÓGICOS DA EDUCAÇÃO</t>
  </si>
  <si>
    <t>CIÊNCIAS HUMANAS E SOCIAIS</t>
  </si>
  <si>
    <t>Jacqueline Ziroldo</t>
  </si>
  <si>
    <t>DIACONIA, ÉTICA CRISTÃ E RESPONSABILIDADE SOCIAL</t>
  </si>
  <si>
    <t>Érick Ortuno</t>
  </si>
  <si>
    <t>ENFERMAGEM EM SAÚDE DA MULHER</t>
  </si>
  <si>
    <t>ENFERMAGEM NA SAÚDE DA CRIANÇA E DO ADOLESCENTE</t>
  </si>
  <si>
    <t>ENFERMAGEM EM CUIDADOS PALIATIVOS</t>
  </si>
  <si>
    <t>FUNDAMENTOS BÁSICOS DA PRÁTICA ASSISTENCIAL</t>
  </si>
  <si>
    <t>INSTRUMENTO DE FLAUTA DOCE</t>
  </si>
  <si>
    <t>NADJI AYEL</t>
  </si>
  <si>
    <t>MAMOGRAFIA E DENSITOMETRIA ÓSSEA</t>
  </si>
  <si>
    <t>IOHANE LIZ SPOLADORE CAVASIN</t>
  </si>
  <si>
    <t>EDUCAÇÃO CRISTÃ E ENSINO RELIGIOSO</t>
  </si>
  <si>
    <t>Anderson Alexandre</t>
  </si>
  <si>
    <t>- Considerar as atividades presentes na lista da coluna G;
- Caso o total de horas dedicadas seja superior ao limite semanal de um professor, as linhas correspondentes ao nome dele ficarão vermelhas.</t>
  </si>
  <si>
    <t>CH DEDICADA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</si>
</sst>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</font>
    <font>
      <sz val="11"/>
      <color indexed="8"/>
      <name val="Calibri"/>
    </font>
    <font>
      <sz val="11"/>
      <color rgb="FF252525"/>
      <name val="Calibri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9"/>
      <color theme="1"/>
      <name val="Verdana"/>
      <charset val="1"/>
    </font>
    <font>
      <sz val="10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3" borderId="0" xfId="0" applyFont="1" applyFill="1" applyAlignment="1">
      <alignment horizontal="center"/>
    </xf>
    <xf numFmtId="0" fontId="5" fillId="0" borderId="0" xfId="0" applyFont="1"/>
    <xf numFmtId="49" fontId="0" fillId="0" borderId="0" xfId="0" applyNumberFormat="1"/>
    <xf numFmtId="49" fontId="3" fillId="0" borderId="0" xfId="0" applyNumberFormat="1" applyFont="1"/>
    <xf numFmtId="0" fontId="6" fillId="0" borderId="0" xfId="0" applyFont="1"/>
    <xf numFmtId="0" fontId="7" fillId="0" borderId="0" xfId="0" applyFont="1"/>
    <xf numFmtId="49" fontId="6" fillId="0" borderId="0" xfId="0" applyNumberFormat="1" applyFont="1"/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Protection="1">
      <protection locked="0"/>
    </xf>
    <xf numFmtId="0" fontId="11" fillId="0" borderId="0" xfId="0" applyFont="1" applyProtection="1">
      <protection locked="0"/>
    </xf>
    <xf numFmtId="164" fontId="0" fillId="0" borderId="0" xfId="0" applyNumberFormat="1" applyProtection="1">
      <protection locked="0"/>
    </xf>
    <xf numFmtId="0" fontId="12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0" fillId="0" borderId="0" xfId="0" quotePrefix="1" applyAlignment="1">
      <alignment horizontal="left" vertical="top" wrapText="1"/>
    </xf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16CC-AB77-4613-AB82-418B9A0AB55D}">
  <dimension ref="A1:AY233"/>
  <sheetViews>
    <sheetView topLeftCell="A214" workbookViewId="0">
      <selection activeCell="F232" sqref="F232"/>
    </sheetView>
  </sheetViews>
  <sheetFormatPr defaultRowHeight="15"/>
  <cols>
    <col min="1" max="1" width="51.85546875" bestFit="1" customWidth="1"/>
    <col min="2" max="2" width="13.85546875" style="7" bestFit="1" customWidth="1"/>
    <col min="3" max="3" width="21.5703125" bestFit="1" customWidth="1"/>
    <col min="4" max="5" width="12.42578125" customWidth="1"/>
    <col min="6" max="6" width="40.42578125" bestFit="1" customWidth="1"/>
    <col min="7" max="7" width="12.85546875" style="7" bestFit="1" customWidth="1"/>
    <col min="8" max="8" width="19.7109375" bestFit="1" customWidth="1"/>
    <col min="9" max="9" width="36.5703125" bestFit="1" customWidth="1"/>
    <col min="12" max="12" width="10.7109375" bestFit="1" customWidth="1"/>
    <col min="13" max="13" width="10.7109375" customWidth="1"/>
    <col min="14" max="14" width="13.28515625" bestFit="1" customWidth="1"/>
    <col min="25" max="25" width="44.5703125" customWidth="1"/>
    <col min="26" max="28" width="0" hidden="1" customWidth="1"/>
    <col min="29" max="29" width="35.28515625" hidden="1" customWidth="1"/>
    <col min="30" max="30" width="35.28515625" customWidth="1"/>
  </cols>
  <sheetData>
    <row r="1" spans="1:51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K1" s="1" t="s">
        <v>9</v>
      </c>
      <c r="L1" t="s">
        <v>10</v>
      </c>
      <c r="M1" t="s">
        <v>11</v>
      </c>
      <c r="N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</row>
    <row r="2" spans="1:51">
      <c r="A2" s="1"/>
      <c r="B2" s="8"/>
      <c r="C2" s="1"/>
      <c r="D2" s="1"/>
      <c r="E2" s="1"/>
      <c r="F2" s="1"/>
      <c r="G2" s="8"/>
      <c r="H2" s="1"/>
      <c r="I2" s="1"/>
      <c r="AY2" t="str" cm="1">
        <f t="array" aca="1" ref="AY2" ca="1">IFERROR(
   FILTRAR(
      PARAMETROS!$AE$4:$AR$99,
      (PARAMETROS!$Y$4:$Y$99='PREENCHIMENTO|NÃO-LETIVAS'!X4)*
      (PARAMETROS!$AE$4:$AR$99&lt;&gt;"")
   ),
"")</f>
        <v/>
      </c>
    </row>
    <row r="3" spans="1:51" ht="17.25" customHeight="1">
      <c r="A3" s="1" t="s">
        <v>25</v>
      </c>
      <c r="B3" s="8" t="s">
        <v>26</v>
      </c>
      <c r="C3" s="1">
        <v>12</v>
      </c>
      <c r="D3" s="1">
        <f>IF(I3="PROFESSOR REGENTE",IF(C3=40,C3*0.5,IF(C3&gt;11,C3*0.75,C3)),IF(I3="PROFESSOR DE ENSINO SUPERIOR EAD",IF(C3=40,4,2),0))</f>
        <v>9</v>
      </c>
      <c r="E3" s="15">
        <f>IF(OR(I3="PROFESSOR REGENTE",I3="PROFESSOR DE ENSINO SUPERIOR PRESENCIAL"),C3-D3,IF(C3=40,12,6))</f>
        <v>3</v>
      </c>
      <c r="F3" s="1" t="s">
        <v>27</v>
      </c>
      <c r="G3" s="8" t="s">
        <v>28</v>
      </c>
      <c r="H3" s="1" t="s">
        <v>29</v>
      </c>
      <c r="I3" s="1" t="s">
        <v>30</v>
      </c>
      <c r="K3" t="s">
        <v>31</v>
      </c>
      <c r="L3">
        <v>1</v>
      </c>
      <c r="M3" t="s">
        <v>32</v>
      </c>
      <c r="N3" t="s">
        <v>33</v>
      </c>
    </row>
    <row r="4" spans="1:51">
      <c r="A4" s="1" t="s">
        <v>34</v>
      </c>
      <c r="B4" s="8" t="s">
        <v>35</v>
      </c>
      <c r="C4" s="1">
        <v>20</v>
      </c>
      <c r="D4" s="1">
        <f t="shared" ref="D4:D67" si="0">IF(I4="PROFESSOR REGENTE",IF(C4=40,C4*0.5,IF(C4&gt;11,C4*0.75,C4)),IF(I4="PROFESSOR DE ENSINO SUPERIOR EAD",IF(C4=40,4,2),0))</f>
        <v>2</v>
      </c>
      <c r="E4" s="15">
        <f t="shared" ref="E4:E67" si="1">IF(OR(I4="PROFESSOR REGENTE",I4="PROFESSOR DE ENSINO SUPERIOR PRESENCIAL"),C4-D4,IF(C4=40,12,6))</f>
        <v>6</v>
      </c>
      <c r="F4" s="1" t="s">
        <v>27</v>
      </c>
      <c r="G4" s="8" t="s">
        <v>36</v>
      </c>
      <c r="H4" s="1" t="s">
        <v>29</v>
      </c>
      <c r="I4" s="1" t="s">
        <v>37</v>
      </c>
      <c r="K4" t="s">
        <v>38</v>
      </c>
      <c r="L4">
        <v>2</v>
      </c>
      <c r="M4" t="s">
        <v>39</v>
      </c>
      <c r="N4" t="s">
        <v>40</v>
      </c>
      <c r="U4">
        <v>1</v>
      </c>
      <c r="V4" t="s">
        <v>41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  <c r="AB4" t="s">
        <v>47</v>
      </c>
      <c r="AC4" t="s">
        <v>48</v>
      </c>
      <c r="AD4" t="s">
        <v>49</v>
      </c>
      <c r="AE4">
        <v>0</v>
      </c>
      <c r="AF4">
        <v>0.5</v>
      </c>
      <c r="AG4">
        <f>AF4+0.25</f>
        <v>0.75</v>
      </c>
      <c r="AH4">
        <v>1</v>
      </c>
    </row>
    <row r="5" spans="1:51">
      <c r="A5" s="1" t="s">
        <v>50</v>
      </c>
      <c r="B5" s="8" t="s">
        <v>51</v>
      </c>
      <c r="C5" s="1">
        <v>40</v>
      </c>
      <c r="D5" s="1">
        <f t="shared" si="0"/>
        <v>4</v>
      </c>
      <c r="E5" s="15">
        <f t="shared" si="1"/>
        <v>12</v>
      </c>
      <c r="F5" s="1" t="s">
        <v>27</v>
      </c>
      <c r="G5" s="8" t="s">
        <v>52</v>
      </c>
      <c r="H5" s="1" t="s">
        <v>29</v>
      </c>
      <c r="I5" s="1" t="s">
        <v>37</v>
      </c>
      <c r="K5" t="s">
        <v>53</v>
      </c>
      <c r="L5" s="1" t="s">
        <v>54</v>
      </c>
      <c r="M5" t="s">
        <v>55</v>
      </c>
      <c r="U5">
        <v>2</v>
      </c>
      <c r="V5" t="s">
        <v>41</v>
      </c>
      <c r="W5" t="s">
        <v>42</v>
      </c>
      <c r="X5" t="s">
        <v>43</v>
      </c>
      <c r="Y5" t="s">
        <v>56</v>
      </c>
      <c r="Z5" t="s">
        <v>45</v>
      </c>
      <c r="AA5" t="s">
        <v>57</v>
      </c>
      <c r="AB5" t="s">
        <v>47</v>
      </c>
      <c r="AC5" t="s">
        <v>48</v>
      </c>
      <c r="AD5" t="s">
        <v>58</v>
      </c>
      <c r="AE5">
        <v>0</v>
      </c>
      <c r="AF5">
        <v>0.5</v>
      </c>
      <c r="AG5">
        <f t="shared" ref="AG5:AG28" si="2">AF5+0.25</f>
        <v>0.75</v>
      </c>
      <c r="AH5">
        <v>1</v>
      </c>
      <c r="AI5">
        <v>1.25</v>
      </c>
      <c r="AJ5">
        <v>1.5</v>
      </c>
      <c r="AK5">
        <v>1.75</v>
      </c>
      <c r="AL5">
        <v>2</v>
      </c>
    </row>
    <row r="6" spans="1:51">
      <c r="A6" s="1" t="s">
        <v>59</v>
      </c>
      <c r="B6" s="8" t="s">
        <v>60</v>
      </c>
      <c r="C6" s="1">
        <v>20</v>
      </c>
      <c r="D6" s="1">
        <f t="shared" si="0"/>
        <v>2</v>
      </c>
      <c r="E6" s="15">
        <f t="shared" si="1"/>
        <v>6</v>
      </c>
      <c r="F6" s="1" t="s">
        <v>27</v>
      </c>
      <c r="G6" s="8" t="s">
        <v>61</v>
      </c>
      <c r="H6" s="1" t="s">
        <v>29</v>
      </c>
      <c r="I6" s="1" t="s">
        <v>37</v>
      </c>
      <c r="K6" t="s">
        <v>62</v>
      </c>
      <c r="M6" t="s">
        <v>63</v>
      </c>
      <c r="U6">
        <v>3</v>
      </c>
      <c r="V6" t="s">
        <v>41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47</v>
      </c>
      <c r="AC6" t="s">
        <v>69</v>
      </c>
      <c r="AD6" t="s">
        <v>70</v>
      </c>
      <c r="AE6">
        <v>0</v>
      </c>
      <c r="AF6">
        <v>0.5</v>
      </c>
      <c r="AG6">
        <f t="shared" si="2"/>
        <v>0.75</v>
      </c>
      <c r="AH6">
        <v>1</v>
      </c>
      <c r="AI6">
        <v>1.25</v>
      </c>
      <c r="AJ6">
        <v>1.5</v>
      </c>
      <c r="AK6">
        <v>1.75</v>
      </c>
      <c r="AL6">
        <v>2</v>
      </c>
    </row>
    <row r="7" spans="1:51">
      <c r="A7" s="1" t="s">
        <v>71</v>
      </c>
      <c r="B7" s="8" t="s">
        <v>72</v>
      </c>
      <c r="C7" s="1">
        <v>20</v>
      </c>
      <c r="D7" s="1">
        <f t="shared" si="0"/>
        <v>2</v>
      </c>
      <c r="E7" s="15">
        <f t="shared" si="1"/>
        <v>6</v>
      </c>
      <c r="F7" s="1" t="s">
        <v>27</v>
      </c>
      <c r="G7" s="8" t="s">
        <v>73</v>
      </c>
      <c r="H7" s="1" t="s">
        <v>29</v>
      </c>
      <c r="I7" s="1" t="s">
        <v>37</v>
      </c>
      <c r="M7" t="s">
        <v>74</v>
      </c>
      <c r="U7">
        <v>4</v>
      </c>
      <c r="V7" t="s">
        <v>41</v>
      </c>
      <c r="W7" t="s">
        <v>64</v>
      </c>
      <c r="X7" t="s">
        <v>75</v>
      </c>
      <c r="Y7" t="s">
        <v>76</v>
      </c>
      <c r="Z7" t="s">
        <v>67</v>
      </c>
      <c r="AA7" t="s">
        <v>77</v>
      </c>
      <c r="AB7" t="s">
        <v>47</v>
      </c>
      <c r="AD7" t="s">
        <v>78</v>
      </c>
      <c r="AE7">
        <v>0</v>
      </c>
      <c r="AF7">
        <v>1</v>
      </c>
      <c r="AG7">
        <f t="shared" si="2"/>
        <v>1.25</v>
      </c>
      <c r="AH7">
        <v>1.5</v>
      </c>
      <c r="AI7">
        <v>1.75</v>
      </c>
      <c r="AJ7">
        <v>2</v>
      </c>
    </row>
    <row r="8" spans="1:51">
      <c r="A8" s="1" t="s">
        <v>79</v>
      </c>
      <c r="B8" s="8" t="s">
        <v>80</v>
      </c>
      <c r="C8" s="1">
        <v>20</v>
      </c>
      <c r="D8" s="1">
        <f t="shared" si="0"/>
        <v>2</v>
      </c>
      <c r="E8" s="15">
        <f t="shared" si="1"/>
        <v>6</v>
      </c>
      <c r="F8" s="1" t="s">
        <v>27</v>
      </c>
      <c r="G8" s="8" t="s">
        <v>81</v>
      </c>
      <c r="H8" s="1" t="s">
        <v>29</v>
      </c>
      <c r="I8" s="1" t="s">
        <v>37</v>
      </c>
      <c r="U8">
        <v>5</v>
      </c>
      <c r="V8" t="s">
        <v>41</v>
      </c>
      <c r="W8" t="s">
        <v>64</v>
      </c>
      <c r="X8" t="s">
        <v>65</v>
      </c>
      <c r="Y8" t="s">
        <v>82</v>
      </c>
      <c r="Z8" t="s">
        <v>83</v>
      </c>
      <c r="AA8" t="s">
        <v>84</v>
      </c>
      <c r="AB8" t="s">
        <v>47</v>
      </c>
      <c r="AD8" t="s">
        <v>85</v>
      </c>
      <c r="AE8">
        <v>0</v>
      </c>
      <c r="AF8">
        <v>1</v>
      </c>
      <c r="AG8">
        <f t="shared" si="2"/>
        <v>1.25</v>
      </c>
      <c r="AH8">
        <v>1.5</v>
      </c>
      <c r="AI8">
        <v>1.75</v>
      </c>
      <c r="AJ8">
        <v>2</v>
      </c>
    </row>
    <row r="9" spans="1:51">
      <c r="A9" s="1" t="s">
        <v>86</v>
      </c>
      <c r="B9" s="8" t="s">
        <v>87</v>
      </c>
      <c r="C9" s="1">
        <v>12</v>
      </c>
      <c r="D9" s="1">
        <f t="shared" si="0"/>
        <v>9</v>
      </c>
      <c r="E9" s="15">
        <f t="shared" si="1"/>
        <v>3</v>
      </c>
      <c r="F9" s="1" t="s">
        <v>27</v>
      </c>
      <c r="G9" s="8" t="s">
        <v>88</v>
      </c>
      <c r="H9" s="1" t="s">
        <v>89</v>
      </c>
      <c r="I9" s="1" t="s">
        <v>30</v>
      </c>
      <c r="U9">
        <v>6</v>
      </c>
      <c r="V9" t="s">
        <v>41</v>
      </c>
      <c r="W9" t="s">
        <v>64</v>
      </c>
      <c r="X9" t="s">
        <v>65</v>
      </c>
      <c r="Y9" t="s">
        <v>90</v>
      </c>
      <c r="Z9" t="s">
        <v>91</v>
      </c>
      <c r="AA9" t="s">
        <v>92</v>
      </c>
      <c r="AB9" t="s">
        <v>47</v>
      </c>
      <c r="AC9" t="s">
        <v>93</v>
      </c>
      <c r="AD9" t="s">
        <v>94</v>
      </c>
      <c r="AE9">
        <v>0</v>
      </c>
      <c r="AF9">
        <v>0.5</v>
      </c>
      <c r="AG9">
        <f t="shared" si="2"/>
        <v>0.75</v>
      </c>
      <c r="AH9">
        <v>1</v>
      </c>
      <c r="AI9">
        <v>1.25</v>
      </c>
      <c r="AJ9">
        <v>1.5</v>
      </c>
      <c r="AK9">
        <v>1.75</v>
      </c>
      <c r="AL9">
        <v>2</v>
      </c>
    </row>
    <row r="10" spans="1:51">
      <c r="A10" s="1" t="s">
        <v>95</v>
      </c>
      <c r="B10" s="8" t="s">
        <v>96</v>
      </c>
      <c r="C10" s="1">
        <v>20</v>
      </c>
      <c r="D10" s="1">
        <f t="shared" si="0"/>
        <v>2</v>
      </c>
      <c r="E10" s="15">
        <f t="shared" si="1"/>
        <v>6</v>
      </c>
      <c r="F10" s="1" t="s">
        <v>27</v>
      </c>
      <c r="G10" s="8" t="s">
        <v>97</v>
      </c>
      <c r="H10" s="1" t="s">
        <v>29</v>
      </c>
      <c r="I10" s="1" t="s">
        <v>37</v>
      </c>
      <c r="U10">
        <v>7</v>
      </c>
      <c r="V10" t="s">
        <v>41</v>
      </c>
      <c r="W10" t="s">
        <v>98</v>
      </c>
      <c r="X10" t="s">
        <v>43</v>
      </c>
      <c r="Y10" t="s">
        <v>99</v>
      </c>
      <c r="Z10" t="s">
        <v>100</v>
      </c>
      <c r="AA10" t="s">
        <v>101</v>
      </c>
      <c r="AB10" t="s">
        <v>47</v>
      </c>
      <c r="AC10" t="s">
        <v>48</v>
      </c>
      <c r="AD10" t="s">
        <v>102</v>
      </c>
      <c r="AE10">
        <v>0</v>
      </c>
      <c r="AF10">
        <v>0.25</v>
      </c>
      <c r="AG10">
        <f t="shared" si="2"/>
        <v>0.5</v>
      </c>
      <c r="AH10">
        <v>0.75</v>
      </c>
      <c r="AI10">
        <v>1</v>
      </c>
      <c r="AJ10">
        <v>1.25</v>
      </c>
      <c r="AK10">
        <v>1.5</v>
      </c>
      <c r="AL10">
        <v>1.75</v>
      </c>
      <c r="AM10">
        <v>2</v>
      </c>
    </row>
    <row r="11" spans="1:51">
      <c r="A11" s="1" t="s">
        <v>103</v>
      </c>
      <c r="B11" s="8" t="s">
        <v>104</v>
      </c>
      <c r="C11" s="1">
        <v>40</v>
      </c>
      <c r="D11" s="1">
        <f t="shared" si="0"/>
        <v>4</v>
      </c>
      <c r="E11" s="15">
        <f t="shared" si="1"/>
        <v>12</v>
      </c>
      <c r="F11" s="1" t="s">
        <v>27</v>
      </c>
      <c r="G11" s="8" t="s">
        <v>105</v>
      </c>
      <c r="H11" s="1" t="s">
        <v>29</v>
      </c>
      <c r="I11" s="1" t="s">
        <v>37</v>
      </c>
      <c r="U11">
        <v>8</v>
      </c>
      <c r="V11" t="s">
        <v>41</v>
      </c>
      <c r="W11" t="s">
        <v>98</v>
      </c>
      <c r="X11" t="s">
        <v>43</v>
      </c>
      <c r="Y11" t="s">
        <v>106</v>
      </c>
      <c r="Z11" t="s">
        <v>107</v>
      </c>
      <c r="AA11" t="s">
        <v>108</v>
      </c>
      <c r="AB11" t="s">
        <v>47</v>
      </c>
      <c r="AC11" t="s">
        <v>48</v>
      </c>
      <c r="AD11" t="s">
        <v>109</v>
      </c>
      <c r="AE11">
        <v>0</v>
      </c>
      <c r="AF11">
        <v>0.25</v>
      </c>
      <c r="AG11">
        <f t="shared" si="2"/>
        <v>0.5</v>
      </c>
      <c r="AH11">
        <v>0.75</v>
      </c>
      <c r="AI11">
        <v>1</v>
      </c>
      <c r="AJ11">
        <v>1.25</v>
      </c>
      <c r="AK11">
        <v>1.5</v>
      </c>
      <c r="AL11">
        <v>1.75</v>
      </c>
      <c r="AM11">
        <v>2</v>
      </c>
    </row>
    <row r="12" spans="1:51">
      <c r="A12" s="1" t="s">
        <v>110</v>
      </c>
      <c r="B12" s="8" t="s">
        <v>111</v>
      </c>
      <c r="C12" s="1">
        <v>20</v>
      </c>
      <c r="D12" s="1">
        <f t="shared" si="0"/>
        <v>2</v>
      </c>
      <c r="E12" s="15">
        <f t="shared" si="1"/>
        <v>6</v>
      </c>
      <c r="F12" s="1" t="s">
        <v>27</v>
      </c>
      <c r="G12" s="8" t="s">
        <v>112</v>
      </c>
      <c r="H12" s="1" t="s">
        <v>29</v>
      </c>
      <c r="I12" s="1" t="s">
        <v>37</v>
      </c>
      <c r="U12">
        <v>9</v>
      </c>
      <c r="V12" t="s">
        <v>41</v>
      </c>
      <c r="W12" t="s">
        <v>98</v>
      </c>
      <c r="X12" t="s">
        <v>43</v>
      </c>
      <c r="Y12" t="s">
        <v>113</v>
      </c>
      <c r="Z12" t="s">
        <v>114</v>
      </c>
      <c r="AA12" t="s">
        <v>115</v>
      </c>
      <c r="AB12" t="s">
        <v>47</v>
      </c>
      <c r="AC12" t="s">
        <v>48</v>
      </c>
      <c r="AD12" t="s">
        <v>116</v>
      </c>
      <c r="AE12">
        <v>0</v>
      </c>
      <c r="AF12">
        <v>0.25</v>
      </c>
      <c r="AG12">
        <f t="shared" si="2"/>
        <v>0.5</v>
      </c>
      <c r="AH12">
        <v>0.75</v>
      </c>
      <c r="AI12">
        <v>1</v>
      </c>
      <c r="AJ12">
        <v>1.25</v>
      </c>
      <c r="AK12">
        <v>1.5</v>
      </c>
      <c r="AL12">
        <v>1.75</v>
      </c>
      <c r="AM12">
        <v>2</v>
      </c>
    </row>
    <row r="13" spans="1:51">
      <c r="A13" s="1" t="s">
        <v>117</v>
      </c>
      <c r="B13" s="8" t="s">
        <v>118</v>
      </c>
      <c r="C13" s="1">
        <v>20</v>
      </c>
      <c r="D13" s="1">
        <f t="shared" si="0"/>
        <v>2</v>
      </c>
      <c r="E13" s="15">
        <f t="shared" si="1"/>
        <v>6</v>
      </c>
      <c r="F13" s="1" t="s">
        <v>27</v>
      </c>
      <c r="G13" s="8" t="s">
        <v>119</v>
      </c>
      <c r="H13" s="1" t="s">
        <v>29</v>
      </c>
      <c r="I13" s="1" t="s">
        <v>37</v>
      </c>
      <c r="U13">
        <v>10</v>
      </c>
      <c r="V13" t="s">
        <v>120</v>
      </c>
      <c r="W13" t="s">
        <v>121</v>
      </c>
      <c r="X13" t="s">
        <v>65</v>
      </c>
      <c r="Y13" t="s">
        <v>122</v>
      </c>
      <c r="Z13" t="s">
        <v>120</v>
      </c>
      <c r="AA13" t="s">
        <v>123</v>
      </c>
      <c r="AB13" t="s">
        <v>47</v>
      </c>
      <c r="AC13" t="s">
        <v>124</v>
      </c>
      <c r="AD13" t="s">
        <v>125</v>
      </c>
      <c r="AE13">
        <v>0</v>
      </c>
      <c r="AF13">
        <v>1</v>
      </c>
      <c r="AG13">
        <f t="shared" si="2"/>
        <v>1.25</v>
      </c>
      <c r="AH13">
        <v>1.5</v>
      </c>
      <c r="AI13">
        <v>1.75</v>
      </c>
      <c r="AJ13">
        <v>2</v>
      </c>
      <c r="AK13">
        <v>2.25</v>
      </c>
      <c r="AL13">
        <v>2.5</v>
      </c>
      <c r="AM13">
        <v>2.75</v>
      </c>
      <c r="AN13">
        <v>3</v>
      </c>
      <c r="AO13">
        <v>3.25</v>
      </c>
      <c r="AP13">
        <v>3.5</v>
      </c>
      <c r="AQ13">
        <v>3.75</v>
      </c>
      <c r="AR13">
        <v>4</v>
      </c>
    </row>
    <row r="14" spans="1:51">
      <c r="A14" s="1" t="s">
        <v>126</v>
      </c>
      <c r="B14" s="8" t="s">
        <v>127</v>
      </c>
      <c r="C14" s="1">
        <v>12</v>
      </c>
      <c r="D14" s="1">
        <f t="shared" si="0"/>
        <v>9</v>
      </c>
      <c r="E14" s="15">
        <f t="shared" si="1"/>
        <v>3</v>
      </c>
      <c r="F14" s="1" t="s">
        <v>27</v>
      </c>
      <c r="G14" s="8" t="s">
        <v>128</v>
      </c>
      <c r="H14" s="1" t="s">
        <v>89</v>
      </c>
      <c r="I14" s="1" t="s">
        <v>30</v>
      </c>
      <c r="U14">
        <v>11</v>
      </c>
      <c r="V14" t="s">
        <v>120</v>
      </c>
      <c r="W14" t="s">
        <v>121</v>
      </c>
      <c r="X14" t="s">
        <v>65</v>
      </c>
      <c r="Y14" t="s">
        <v>129</v>
      </c>
      <c r="Z14" t="s">
        <v>120</v>
      </c>
      <c r="AA14" t="s">
        <v>130</v>
      </c>
      <c r="AB14" t="s">
        <v>47</v>
      </c>
      <c r="AC14" t="s">
        <v>124</v>
      </c>
      <c r="AD14" t="s">
        <v>131</v>
      </c>
      <c r="AE14">
        <v>0</v>
      </c>
      <c r="AF14">
        <v>0.25</v>
      </c>
      <c r="AG14">
        <f t="shared" si="2"/>
        <v>0.5</v>
      </c>
      <c r="AH14">
        <v>0.75</v>
      </c>
      <c r="AI14">
        <v>1</v>
      </c>
      <c r="AJ14">
        <v>1.5</v>
      </c>
      <c r="AK14">
        <v>1.75</v>
      </c>
      <c r="AL14">
        <v>2</v>
      </c>
    </row>
    <row r="15" spans="1:51">
      <c r="A15" s="1" t="s">
        <v>132</v>
      </c>
      <c r="B15" s="8" t="s">
        <v>133</v>
      </c>
      <c r="C15" s="1">
        <v>40</v>
      </c>
      <c r="D15" s="1">
        <f t="shared" si="0"/>
        <v>4</v>
      </c>
      <c r="E15" s="15">
        <f t="shared" si="1"/>
        <v>12</v>
      </c>
      <c r="F15" s="1" t="s">
        <v>27</v>
      </c>
      <c r="G15" s="8" t="s">
        <v>134</v>
      </c>
      <c r="H15" s="1" t="s">
        <v>29</v>
      </c>
      <c r="I15" s="1" t="s">
        <v>37</v>
      </c>
      <c r="U15">
        <v>12</v>
      </c>
      <c r="V15" t="s">
        <v>135</v>
      </c>
      <c r="W15" t="s">
        <v>136</v>
      </c>
      <c r="X15" t="s">
        <v>65</v>
      </c>
      <c r="Y15" t="s">
        <v>137</v>
      </c>
      <c r="Z15" t="s">
        <v>138</v>
      </c>
      <c r="AA15" t="s">
        <v>139</v>
      </c>
      <c r="AB15" t="s">
        <v>47</v>
      </c>
      <c r="AD15" t="s">
        <v>140</v>
      </c>
      <c r="AE15">
        <v>0</v>
      </c>
      <c r="AF15">
        <v>0.5</v>
      </c>
      <c r="AG15">
        <f t="shared" si="2"/>
        <v>0.75</v>
      </c>
      <c r="AH15">
        <v>1</v>
      </c>
      <c r="AI15">
        <v>1.25</v>
      </c>
      <c r="AJ15">
        <v>1.5</v>
      </c>
      <c r="AK15">
        <v>1.75</v>
      </c>
      <c r="AL15">
        <v>2</v>
      </c>
    </row>
    <row r="16" spans="1:51">
      <c r="A16" s="1" t="s">
        <v>141</v>
      </c>
      <c r="B16" s="8" t="s">
        <v>142</v>
      </c>
      <c r="C16" s="1">
        <v>40</v>
      </c>
      <c r="D16" s="1">
        <f t="shared" si="0"/>
        <v>4</v>
      </c>
      <c r="E16" s="15">
        <f t="shared" si="1"/>
        <v>12</v>
      </c>
      <c r="F16" s="1" t="s">
        <v>27</v>
      </c>
      <c r="G16" s="8" t="s">
        <v>143</v>
      </c>
      <c r="H16" s="1" t="s">
        <v>29</v>
      </c>
      <c r="I16" s="1" t="s">
        <v>37</v>
      </c>
      <c r="U16">
        <v>13</v>
      </c>
      <c r="V16" t="s">
        <v>135</v>
      </c>
      <c r="W16" t="s">
        <v>136</v>
      </c>
      <c r="X16" t="s">
        <v>65</v>
      </c>
      <c r="Y16" t="s">
        <v>144</v>
      </c>
      <c r="Z16" t="s">
        <v>138</v>
      </c>
      <c r="AA16" t="s">
        <v>145</v>
      </c>
      <c r="AB16" t="s">
        <v>47</v>
      </c>
      <c r="AC16" t="s">
        <v>146</v>
      </c>
      <c r="AD16" t="s">
        <v>147</v>
      </c>
      <c r="AE16">
        <v>0</v>
      </c>
      <c r="AF16">
        <v>0.25</v>
      </c>
      <c r="AG16">
        <f t="shared" si="2"/>
        <v>0.5</v>
      </c>
      <c r="AH16">
        <v>0.75</v>
      </c>
      <c r="AI16">
        <v>1</v>
      </c>
    </row>
    <row r="17" spans="1:47">
      <c r="A17" s="1" t="s">
        <v>148</v>
      </c>
      <c r="B17" s="8" t="s">
        <v>149</v>
      </c>
      <c r="C17" s="1">
        <v>40</v>
      </c>
      <c r="D17" s="1">
        <f t="shared" si="0"/>
        <v>4</v>
      </c>
      <c r="E17" s="15">
        <f t="shared" si="1"/>
        <v>12</v>
      </c>
      <c r="F17" s="1" t="s">
        <v>27</v>
      </c>
      <c r="G17" s="8" t="s">
        <v>150</v>
      </c>
      <c r="H17" s="1" t="s">
        <v>29</v>
      </c>
      <c r="I17" s="1" t="s">
        <v>37</v>
      </c>
      <c r="U17">
        <v>14</v>
      </c>
      <c r="V17" t="s">
        <v>135</v>
      </c>
      <c r="W17" t="s">
        <v>136</v>
      </c>
      <c r="X17" t="s">
        <v>151</v>
      </c>
      <c r="Y17" t="s">
        <v>152</v>
      </c>
      <c r="Z17" t="s">
        <v>153</v>
      </c>
      <c r="AA17" t="s">
        <v>154</v>
      </c>
      <c r="AB17" t="s">
        <v>47</v>
      </c>
      <c r="AC17" t="s">
        <v>124</v>
      </c>
      <c r="AD17" t="s">
        <v>155</v>
      </c>
      <c r="AE17">
        <v>0</v>
      </c>
      <c r="AF17">
        <v>0.25</v>
      </c>
      <c r="AG17">
        <f t="shared" si="2"/>
        <v>0.5</v>
      </c>
      <c r="AH17">
        <v>0.75</v>
      </c>
      <c r="AI17">
        <v>1</v>
      </c>
      <c r="AJ17">
        <v>1.25</v>
      </c>
      <c r="AK17">
        <v>1.5</v>
      </c>
      <c r="AL17">
        <v>1.75</v>
      </c>
      <c r="AM17">
        <v>2</v>
      </c>
    </row>
    <row r="18" spans="1:47">
      <c r="A18" s="1" t="s">
        <v>156</v>
      </c>
      <c r="B18" s="8" t="s">
        <v>157</v>
      </c>
      <c r="C18" s="1">
        <v>12</v>
      </c>
      <c r="D18" s="1">
        <f t="shared" si="0"/>
        <v>9</v>
      </c>
      <c r="E18" s="15">
        <f t="shared" si="1"/>
        <v>3</v>
      </c>
      <c r="F18" s="1" t="s">
        <v>27</v>
      </c>
      <c r="G18" s="8" t="s">
        <v>158</v>
      </c>
      <c r="H18" s="1" t="s">
        <v>89</v>
      </c>
      <c r="I18" s="1" t="s">
        <v>30</v>
      </c>
      <c r="U18">
        <v>15</v>
      </c>
      <c r="V18" t="s">
        <v>135</v>
      </c>
      <c r="W18" t="s">
        <v>136</v>
      </c>
      <c r="X18" t="s">
        <v>65</v>
      </c>
      <c r="Y18" t="s">
        <v>159</v>
      </c>
      <c r="Z18" t="s">
        <v>153</v>
      </c>
      <c r="AA18" t="s">
        <v>160</v>
      </c>
      <c r="AB18" t="s">
        <v>47</v>
      </c>
      <c r="AC18" t="s">
        <v>124</v>
      </c>
      <c r="AD18" t="s">
        <v>161</v>
      </c>
      <c r="AE18">
        <v>0</v>
      </c>
      <c r="AF18">
        <v>0.25</v>
      </c>
      <c r="AG18">
        <f t="shared" si="2"/>
        <v>0.5</v>
      </c>
      <c r="AH18">
        <v>0.75</v>
      </c>
      <c r="AI18">
        <v>1</v>
      </c>
      <c r="AJ18">
        <v>1.25</v>
      </c>
      <c r="AK18">
        <v>1.5</v>
      </c>
      <c r="AL18">
        <v>1.75</v>
      </c>
      <c r="AM18">
        <v>2</v>
      </c>
    </row>
    <row r="19" spans="1:47">
      <c r="A19" s="1" t="s">
        <v>162</v>
      </c>
      <c r="B19" s="8" t="s">
        <v>163</v>
      </c>
      <c r="C19" s="1">
        <v>20</v>
      </c>
      <c r="D19" s="1">
        <f t="shared" si="0"/>
        <v>2</v>
      </c>
      <c r="E19" s="15">
        <f t="shared" si="1"/>
        <v>6</v>
      </c>
      <c r="F19" s="1" t="s">
        <v>27</v>
      </c>
      <c r="G19" s="8" t="s">
        <v>164</v>
      </c>
      <c r="H19" s="1" t="s">
        <v>29</v>
      </c>
      <c r="I19" s="1" t="s">
        <v>37</v>
      </c>
      <c r="U19">
        <v>16</v>
      </c>
      <c r="V19" t="s">
        <v>165</v>
      </c>
      <c r="W19" t="s">
        <v>166</v>
      </c>
      <c r="X19" t="s">
        <v>65</v>
      </c>
      <c r="Y19" t="s">
        <v>167</v>
      </c>
      <c r="Z19" t="s">
        <v>166</v>
      </c>
      <c r="AA19" t="s">
        <v>168</v>
      </c>
      <c r="AB19" t="s">
        <v>47</v>
      </c>
      <c r="AD19" t="s">
        <v>169</v>
      </c>
      <c r="AE19">
        <v>0</v>
      </c>
      <c r="AF19">
        <v>0.5</v>
      </c>
      <c r="AG19">
        <f t="shared" si="2"/>
        <v>0.75</v>
      </c>
      <c r="AH19">
        <v>1</v>
      </c>
      <c r="AI19">
        <v>1.25</v>
      </c>
      <c r="AJ19">
        <v>1.5</v>
      </c>
      <c r="AK19">
        <v>1.75</v>
      </c>
      <c r="AL19">
        <v>2</v>
      </c>
    </row>
    <row r="20" spans="1:47">
      <c r="A20" s="1" t="s">
        <v>170</v>
      </c>
      <c r="B20" s="8" t="s">
        <v>171</v>
      </c>
      <c r="C20" s="1">
        <v>20</v>
      </c>
      <c r="D20" s="1">
        <f t="shared" si="0"/>
        <v>2</v>
      </c>
      <c r="E20" s="15">
        <f t="shared" si="1"/>
        <v>6</v>
      </c>
      <c r="F20" s="1" t="s">
        <v>172</v>
      </c>
      <c r="G20" s="8" t="s">
        <v>173</v>
      </c>
      <c r="H20" s="1" t="s">
        <v>29</v>
      </c>
      <c r="I20" s="1" t="s">
        <v>37</v>
      </c>
      <c r="U20">
        <v>17</v>
      </c>
      <c r="V20" t="s">
        <v>165</v>
      </c>
      <c r="W20" t="s">
        <v>174</v>
      </c>
      <c r="X20" t="s">
        <v>65</v>
      </c>
      <c r="Y20" t="s">
        <v>175</v>
      </c>
      <c r="Z20" t="s">
        <v>107</v>
      </c>
      <c r="AA20" t="s">
        <v>176</v>
      </c>
      <c r="AB20" t="s">
        <v>47</v>
      </c>
      <c r="AC20" t="s">
        <v>48</v>
      </c>
      <c r="AD20" t="s">
        <v>177</v>
      </c>
      <c r="AE20">
        <v>0</v>
      </c>
      <c r="AF20">
        <v>1</v>
      </c>
      <c r="AG20">
        <f t="shared" si="2"/>
        <v>1.25</v>
      </c>
      <c r="AH20">
        <v>1.5</v>
      </c>
      <c r="AI20">
        <v>1.75</v>
      </c>
      <c r="AJ20">
        <v>2</v>
      </c>
    </row>
    <row r="21" spans="1:47">
      <c r="A21" s="1" t="s">
        <v>178</v>
      </c>
      <c r="B21" s="8" t="s">
        <v>179</v>
      </c>
      <c r="C21" s="1">
        <v>40</v>
      </c>
      <c r="D21" s="1">
        <f t="shared" si="0"/>
        <v>4</v>
      </c>
      <c r="E21" s="15">
        <f t="shared" si="1"/>
        <v>12</v>
      </c>
      <c r="F21" s="1" t="s">
        <v>27</v>
      </c>
      <c r="G21" s="8" t="s">
        <v>180</v>
      </c>
      <c r="H21" s="1" t="s">
        <v>29</v>
      </c>
      <c r="I21" s="1" t="s">
        <v>37</v>
      </c>
      <c r="U21">
        <v>18</v>
      </c>
      <c r="V21" t="s">
        <v>165</v>
      </c>
      <c r="W21" t="s">
        <v>174</v>
      </c>
      <c r="X21" t="s">
        <v>151</v>
      </c>
      <c r="Y21" t="s">
        <v>181</v>
      </c>
      <c r="Z21" t="s">
        <v>182</v>
      </c>
      <c r="AA21" t="s">
        <v>183</v>
      </c>
      <c r="AB21" t="s">
        <v>47</v>
      </c>
      <c r="AD21" t="s">
        <v>184</v>
      </c>
      <c r="AE21">
        <v>0</v>
      </c>
      <c r="AF21">
        <v>0.25</v>
      </c>
      <c r="AG21">
        <f t="shared" si="2"/>
        <v>0.5</v>
      </c>
      <c r="AH21">
        <v>0.75</v>
      </c>
      <c r="AI21">
        <v>1</v>
      </c>
      <c r="AJ21">
        <v>1.25</v>
      </c>
      <c r="AK21">
        <v>1.5</v>
      </c>
      <c r="AL21">
        <v>1.75</v>
      </c>
      <c r="AM21">
        <v>2</v>
      </c>
    </row>
    <row r="22" spans="1:47">
      <c r="A22" s="1" t="s">
        <v>185</v>
      </c>
      <c r="B22" s="8" t="s">
        <v>186</v>
      </c>
      <c r="C22" s="1">
        <v>20</v>
      </c>
      <c r="D22" s="1">
        <f t="shared" si="0"/>
        <v>2</v>
      </c>
      <c r="E22" s="15">
        <f t="shared" si="1"/>
        <v>6</v>
      </c>
      <c r="F22" s="1" t="s">
        <v>27</v>
      </c>
      <c r="G22" s="8" t="s">
        <v>187</v>
      </c>
      <c r="H22" s="1" t="s">
        <v>29</v>
      </c>
      <c r="I22" s="1" t="s">
        <v>37</v>
      </c>
      <c r="U22">
        <v>19</v>
      </c>
      <c r="V22" t="s">
        <v>165</v>
      </c>
      <c r="W22" t="s">
        <v>174</v>
      </c>
      <c r="X22" t="s">
        <v>43</v>
      </c>
      <c r="Y22" t="s">
        <v>188</v>
      </c>
      <c r="Z22" t="s">
        <v>189</v>
      </c>
      <c r="AA22" t="s">
        <v>190</v>
      </c>
      <c r="AB22" t="s">
        <v>47</v>
      </c>
      <c r="AD22" t="s">
        <v>191</v>
      </c>
      <c r="AE22">
        <v>0</v>
      </c>
      <c r="AF22">
        <v>0.25</v>
      </c>
      <c r="AG22">
        <f t="shared" si="2"/>
        <v>0.5</v>
      </c>
      <c r="AH22">
        <v>0.75</v>
      </c>
      <c r="AI22">
        <v>1</v>
      </c>
      <c r="AJ22">
        <v>1.25</v>
      </c>
      <c r="AK22">
        <v>1.5</v>
      </c>
      <c r="AL22">
        <v>1.75</v>
      </c>
      <c r="AM22">
        <v>2</v>
      </c>
      <c r="AN22">
        <v>2.25</v>
      </c>
      <c r="AO22">
        <v>2.5</v>
      </c>
      <c r="AP22">
        <v>2.75</v>
      </c>
      <c r="AQ22">
        <v>3</v>
      </c>
      <c r="AR22">
        <v>3.25</v>
      </c>
      <c r="AS22">
        <v>3.5</v>
      </c>
      <c r="AT22">
        <v>3.75</v>
      </c>
      <c r="AU22">
        <v>4</v>
      </c>
    </row>
    <row r="23" spans="1:47">
      <c r="A23" s="1" t="s">
        <v>192</v>
      </c>
      <c r="B23" s="8" t="s">
        <v>193</v>
      </c>
      <c r="C23" s="1">
        <v>12</v>
      </c>
      <c r="D23" s="1">
        <f t="shared" si="0"/>
        <v>9</v>
      </c>
      <c r="E23" s="15">
        <f t="shared" si="1"/>
        <v>3</v>
      </c>
      <c r="F23" s="1" t="s">
        <v>27</v>
      </c>
      <c r="G23" s="8" t="s">
        <v>194</v>
      </c>
      <c r="H23" s="1" t="s">
        <v>89</v>
      </c>
      <c r="I23" s="1" t="s">
        <v>30</v>
      </c>
      <c r="U23">
        <v>20</v>
      </c>
      <c r="V23" t="s">
        <v>165</v>
      </c>
      <c r="W23" t="s">
        <v>195</v>
      </c>
      <c r="X23" t="s">
        <v>65</v>
      </c>
      <c r="Y23" t="s">
        <v>195</v>
      </c>
      <c r="Z23" t="s">
        <v>196</v>
      </c>
      <c r="AA23" t="s">
        <v>197</v>
      </c>
      <c r="AB23" t="s">
        <v>47</v>
      </c>
      <c r="AD23" t="s">
        <v>198</v>
      </c>
      <c r="AE23">
        <v>0</v>
      </c>
      <c r="AF23">
        <v>0.25</v>
      </c>
      <c r="AG23">
        <f t="shared" si="2"/>
        <v>0.5</v>
      </c>
      <c r="AH23">
        <v>0.75</v>
      </c>
      <c r="AI23">
        <v>1</v>
      </c>
      <c r="AJ23">
        <v>1.25</v>
      </c>
      <c r="AK23">
        <v>1.5</v>
      </c>
      <c r="AL23">
        <v>1.75</v>
      </c>
      <c r="AM23">
        <v>2</v>
      </c>
    </row>
    <row r="24" spans="1:47">
      <c r="A24" s="1" t="s">
        <v>199</v>
      </c>
      <c r="B24" s="8" t="s">
        <v>200</v>
      </c>
      <c r="C24" s="1">
        <v>40</v>
      </c>
      <c r="D24" s="1">
        <f t="shared" si="0"/>
        <v>4</v>
      </c>
      <c r="E24" s="15">
        <f t="shared" si="1"/>
        <v>12</v>
      </c>
      <c r="F24" s="1" t="s">
        <v>27</v>
      </c>
      <c r="G24" s="8" t="s">
        <v>201</v>
      </c>
      <c r="H24" s="1" t="s">
        <v>29</v>
      </c>
      <c r="I24" s="1" t="s">
        <v>37</v>
      </c>
      <c r="U24">
        <v>21</v>
      </c>
      <c r="V24" t="s">
        <v>165</v>
      </c>
      <c r="W24" t="s">
        <v>202</v>
      </c>
      <c r="X24" t="s">
        <v>151</v>
      </c>
      <c r="Y24" t="s">
        <v>203</v>
      </c>
      <c r="Z24" t="s">
        <v>153</v>
      </c>
      <c r="AA24" t="s">
        <v>204</v>
      </c>
      <c r="AB24" t="s">
        <v>47</v>
      </c>
      <c r="AC24" t="s">
        <v>205</v>
      </c>
      <c r="AD24" t="s">
        <v>206</v>
      </c>
      <c r="AE24">
        <v>0</v>
      </c>
      <c r="AF24">
        <v>0.25</v>
      </c>
      <c r="AG24">
        <f t="shared" si="2"/>
        <v>0.5</v>
      </c>
      <c r="AH24">
        <v>0.75</v>
      </c>
      <c r="AI24">
        <v>1</v>
      </c>
    </row>
    <row r="25" spans="1:47">
      <c r="A25" s="1" t="s">
        <v>207</v>
      </c>
      <c r="B25" s="8" t="s">
        <v>208</v>
      </c>
      <c r="C25" s="1">
        <v>40</v>
      </c>
      <c r="D25" s="1">
        <f t="shared" si="0"/>
        <v>4</v>
      </c>
      <c r="E25" s="15">
        <f t="shared" si="1"/>
        <v>12</v>
      </c>
      <c r="F25" s="1" t="s">
        <v>27</v>
      </c>
      <c r="G25" s="8" t="s">
        <v>209</v>
      </c>
      <c r="H25" s="1" t="s">
        <v>29</v>
      </c>
      <c r="I25" s="1" t="s">
        <v>37</v>
      </c>
      <c r="U25">
        <v>22</v>
      </c>
      <c r="V25" t="s">
        <v>165</v>
      </c>
      <c r="W25" t="s">
        <v>202</v>
      </c>
      <c r="X25" t="s">
        <v>151</v>
      </c>
      <c r="Y25" t="s">
        <v>210</v>
      </c>
      <c r="Z25" t="s">
        <v>153</v>
      </c>
      <c r="AA25" t="s">
        <v>211</v>
      </c>
      <c r="AB25" t="s">
        <v>47</v>
      </c>
      <c r="AC25" t="s">
        <v>212</v>
      </c>
      <c r="AD25" t="s">
        <v>213</v>
      </c>
      <c r="AE25">
        <v>0</v>
      </c>
      <c r="AF25">
        <v>0.25</v>
      </c>
      <c r="AG25">
        <f t="shared" si="2"/>
        <v>0.5</v>
      </c>
      <c r="AH25">
        <v>0.75</v>
      </c>
      <c r="AI25">
        <v>1</v>
      </c>
    </row>
    <row r="26" spans="1:47">
      <c r="A26" s="1" t="s">
        <v>214</v>
      </c>
      <c r="B26" s="8" t="s">
        <v>215</v>
      </c>
      <c r="C26" s="1">
        <v>12</v>
      </c>
      <c r="D26" s="1">
        <f t="shared" si="0"/>
        <v>9</v>
      </c>
      <c r="E26" s="15">
        <f t="shared" si="1"/>
        <v>3</v>
      </c>
      <c r="F26" s="1" t="s">
        <v>27</v>
      </c>
      <c r="G26" s="8" t="s">
        <v>216</v>
      </c>
      <c r="H26" s="1" t="s">
        <v>89</v>
      </c>
      <c r="I26" s="1" t="s">
        <v>30</v>
      </c>
      <c r="U26">
        <v>23</v>
      </c>
      <c r="V26" t="s">
        <v>165</v>
      </c>
      <c r="W26" t="s">
        <v>202</v>
      </c>
      <c r="X26" t="s">
        <v>151</v>
      </c>
      <c r="Y26" t="s">
        <v>217</v>
      </c>
      <c r="Z26" t="s">
        <v>153</v>
      </c>
      <c r="AA26" t="s">
        <v>218</v>
      </c>
      <c r="AB26" t="s">
        <v>47</v>
      </c>
      <c r="AC26" t="s">
        <v>219</v>
      </c>
      <c r="AD26" t="s">
        <v>220</v>
      </c>
      <c r="AE26">
        <v>0</v>
      </c>
      <c r="AF26">
        <v>0.25</v>
      </c>
      <c r="AG26">
        <f t="shared" si="2"/>
        <v>0.5</v>
      </c>
    </row>
    <row r="27" spans="1:47">
      <c r="A27" s="1" t="s">
        <v>221</v>
      </c>
      <c r="B27" s="8" t="s">
        <v>222</v>
      </c>
      <c r="C27" s="1">
        <v>40</v>
      </c>
      <c r="D27" s="1">
        <f t="shared" si="0"/>
        <v>4</v>
      </c>
      <c r="E27" s="15">
        <f t="shared" si="1"/>
        <v>12</v>
      </c>
      <c r="F27" s="1" t="s">
        <v>27</v>
      </c>
      <c r="G27" s="8" t="s">
        <v>223</v>
      </c>
      <c r="H27" s="1" t="s">
        <v>29</v>
      </c>
      <c r="I27" s="1" t="s">
        <v>37</v>
      </c>
      <c r="U27">
        <v>24</v>
      </c>
      <c r="V27" t="s">
        <v>165</v>
      </c>
      <c r="W27" t="s">
        <v>202</v>
      </c>
      <c r="X27" t="s">
        <v>151</v>
      </c>
      <c r="Y27" t="s">
        <v>224</v>
      </c>
      <c r="Z27" t="s">
        <v>153</v>
      </c>
      <c r="AA27" t="s">
        <v>225</v>
      </c>
      <c r="AB27" t="s">
        <v>47</v>
      </c>
      <c r="AC27" t="s">
        <v>226</v>
      </c>
      <c r="AD27" t="s">
        <v>227</v>
      </c>
      <c r="AE27">
        <v>0</v>
      </c>
      <c r="AF27">
        <v>0.25</v>
      </c>
      <c r="AG27">
        <f t="shared" si="2"/>
        <v>0.5</v>
      </c>
      <c r="AH27">
        <v>0.75</v>
      </c>
      <c r="AI27">
        <v>1</v>
      </c>
    </row>
    <row r="28" spans="1:47">
      <c r="A28" s="1" t="s">
        <v>228</v>
      </c>
      <c r="B28" s="8" t="s">
        <v>229</v>
      </c>
      <c r="C28" s="1">
        <v>40</v>
      </c>
      <c r="D28" s="1">
        <f t="shared" si="0"/>
        <v>4</v>
      </c>
      <c r="E28" s="15">
        <f t="shared" si="1"/>
        <v>12</v>
      </c>
      <c r="F28" s="1" t="s">
        <v>27</v>
      </c>
      <c r="G28" s="8" t="s">
        <v>230</v>
      </c>
      <c r="H28" s="1" t="s">
        <v>29</v>
      </c>
      <c r="I28" s="1" t="s">
        <v>37</v>
      </c>
      <c r="U28">
        <v>25</v>
      </c>
      <c r="V28" t="s">
        <v>41</v>
      </c>
      <c r="W28" t="s">
        <v>64</v>
      </c>
      <c r="X28" t="s">
        <v>43</v>
      </c>
      <c r="Y28" t="s">
        <v>231</v>
      </c>
      <c r="Z28" t="s">
        <v>83</v>
      </c>
      <c r="AA28" t="s">
        <v>232</v>
      </c>
      <c r="AB28" t="s">
        <v>47</v>
      </c>
      <c r="AC28" t="s">
        <v>48</v>
      </c>
      <c r="AD28" t="s">
        <v>233</v>
      </c>
      <c r="AE28">
        <v>0</v>
      </c>
      <c r="AF28">
        <v>1</v>
      </c>
      <c r="AG28">
        <f t="shared" si="2"/>
        <v>1.25</v>
      </c>
      <c r="AH28">
        <v>1.5</v>
      </c>
      <c r="AI28">
        <v>1.75</v>
      </c>
      <c r="AJ28">
        <v>2</v>
      </c>
    </row>
    <row r="29" spans="1:47">
      <c r="A29" s="1" t="s">
        <v>234</v>
      </c>
      <c r="B29" s="8" t="s">
        <v>235</v>
      </c>
      <c r="C29" s="1">
        <v>20</v>
      </c>
      <c r="D29" s="1">
        <f t="shared" si="0"/>
        <v>2</v>
      </c>
      <c r="E29" s="15">
        <f t="shared" si="1"/>
        <v>6</v>
      </c>
      <c r="F29" s="1" t="s">
        <v>27</v>
      </c>
      <c r="G29" s="8" t="s">
        <v>236</v>
      </c>
      <c r="H29" s="1" t="s">
        <v>29</v>
      </c>
      <c r="I29" s="1" t="s">
        <v>37</v>
      </c>
    </row>
    <row r="30" spans="1:47">
      <c r="A30" s="1" t="s">
        <v>237</v>
      </c>
      <c r="B30" s="8" t="s">
        <v>238</v>
      </c>
      <c r="C30" s="1">
        <v>12</v>
      </c>
      <c r="D30" s="1">
        <f t="shared" si="0"/>
        <v>9</v>
      </c>
      <c r="E30" s="15">
        <f t="shared" si="1"/>
        <v>3</v>
      </c>
      <c r="F30" s="1" t="s">
        <v>27</v>
      </c>
      <c r="G30" s="8" t="s">
        <v>239</v>
      </c>
      <c r="H30" s="1" t="s">
        <v>89</v>
      </c>
      <c r="I30" s="1" t="s">
        <v>30</v>
      </c>
    </row>
    <row r="31" spans="1:47">
      <c r="A31" s="1" t="s">
        <v>240</v>
      </c>
      <c r="B31" s="8" t="s">
        <v>241</v>
      </c>
      <c r="C31" s="1">
        <v>12</v>
      </c>
      <c r="D31" s="1">
        <f t="shared" si="0"/>
        <v>9</v>
      </c>
      <c r="E31" s="15">
        <f t="shared" si="1"/>
        <v>3</v>
      </c>
      <c r="F31" s="1" t="s">
        <v>27</v>
      </c>
      <c r="G31" s="8" t="s">
        <v>242</v>
      </c>
      <c r="H31" s="1" t="s">
        <v>89</v>
      </c>
      <c r="I31" s="1" t="s">
        <v>30</v>
      </c>
    </row>
    <row r="32" spans="1:47">
      <c r="A32" s="1" t="s">
        <v>243</v>
      </c>
      <c r="B32" s="8" t="s">
        <v>244</v>
      </c>
      <c r="C32" s="1">
        <v>20</v>
      </c>
      <c r="D32" s="1">
        <f t="shared" si="0"/>
        <v>2</v>
      </c>
      <c r="E32" s="15">
        <f t="shared" si="1"/>
        <v>6</v>
      </c>
      <c r="F32" s="1" t="s">
        <v>27</v>
      </c>
      <c r="G32" s="8" t="s">
        <v>245</v>
      </c>
      <c r="H32" s="1" t="s">
        <v>29</v>
      </c>
      <c r="I32" s="1" t="s">
        <v>37</v>
      </c>
    </row>
    <row r="33" spans="1:9">
      <c r="A33" s="1" t="s">
        <v>246</v>
      </c>
      <c r="B33" s="8" t="s">
        <v>247</v>
      </c>
      <c r="C33" s="1">
        <v>40</v>
      </c>
      <c r="D33" s="1">
        <f t="shared" si="0"/>
        <v>4</v>
      </c>
      <c r="E33" s="15">
        <f t="shared" si="1"/>
        <v>12</v>
      </c>
      <c r="F33" s="1" t="s">
        <v>27</v>
      </c>
      <c r="G33" s="8" t="s">
        <v>248</v>
      </c>
      <c r="H33" s="1" t="s">
        <v>29</v>
      </c>
      <c r="I33" s="1" t="s">
        <v>37</v>
      </c>
    </row>
    <row r="34" spans="1:9">
      <c r="A34" s="1" t="s">
        <v>249</v>
      </c>
      <c r="B34" s="8" t="s">
        <v>250</v>
      </c>
      <c r="C34" s="1">
        <v>12</v>
      </c>
      <c r="D34" s="1">
        <f t="shared" si="0"/>
        <v>9</v>
      </c>
      <c r="E34" s="15">
        <f t="shared" si="1"/>
        <v>3</v>
      </c>
      <c r="F34" s="1" t="s">
        <v>27</v>
      </c>
      <c r="G34" s="8" t="s">
        <v>251</v>
      </c>
      <c r="H34" s="1" t="s">
        <v>89</v>
      </c>
      <c r="I34" s="1" t="s">
        <v>30</v>
      </c>
    </row>
    <row r="35" spans="1:9">
      <c r="A35" s="1" t="s">
        <v>252</v>
      </c>
      <c r="B35" s="8" t="s">
        <v>253</v>
      </c>
      <c r="C35" s="1">
        <v>20</v>
      </c>
      <c r="D35" s="1">
        <f t="shared" si="0"/>
        <v>2</v>
      </c>
      <c r="E35" s="15">
        <f t="shared" si="1"/>
        <v>6</v>
      </c>
      <c r="F35" s="1" t="s">
        <v>27</v>
      </c>
      <c r="G35" s="8" t="s">
        <v>254</v>
      </c>
      <c r="H35" s="1" t="s">
        <v>29</v>
      </c>
      <c r="I35" s="1" t="s">
        <v>37</v>
      </c>
    </row>
    <row r="36" spans="1:9">
      <c r="A36" s="1" t="s">
        <v>255</v>
      </c>
      <c r="B36" s="8" t="s">
        <v>256</v>
      </c>
      <c r="C36" s="1">
        <v>20</v>
      </c>
      <c r="D36" s="1">
        <f t="shared" si="0"/>
        <v>2</v>
      </c>
      <c r="E36" s="15">
        <f t="shared" si="1"/>
        <v>6</v>
      </c>
      <c r="F36" s="1" t="s">
        <v>27</v>
      </c>
      <c r="G36" s="8" t="s">
        <v>257</v>
      </c>
      <c r="H36" s="1" t="s">
        <v>29</v>
      </c>
      <c r="I36" s="1" t="s">
        <v>37</v>
      </c>
    </row>
    <row r="37" spans="1:9">
      <c r="A37" s="1" t="s">
        <v>258</v>
      </c>
      <c r="B37" s="8" t="s">
        <v>259</v>
      </c>
      <c r="C37" s="1">
        <v>20</v>
      </c>
      <c r="D37" s="1">
        <f t="shared" si="0"/>
        <v>2</v>
      </c>
      <c r="E37" s="15">
        <f t="shared" si="1"/>
        <v>6</v>
      </c>
      <c r="F37" s="1" t="s">
        <v>172</v>
      </c>
      <c r="G37" s="8" t="s">
        <v>260</v>
      </c>
      <c r="H37" s="1" t="s">
        <v>29</v>
      </c>
      <c r="I37" s="1" t="s">
        <v>37</v>
      </c>
    </row>
    <row r="38" spans="1:9">
      <c r="A38" s="1" t="s">
        <v>261</v>
      </c>
      <c r="B38" s="8" t="s">
        <v>262</v>
      </c>
      <c r="C38" s="1">
        <v>40</v>
      </c>
      <c r="D38" s="1">
        <f t="shared" si="0"/>
        <v>4</v>
      </c>
      <c r="E38" s="15">
        <f t="shared" si="1"/>
        <v>12</v>
      </c>
      <c r="F38" s="1" t="s">
        <v>27</v>
      </c>
      <c r="G38" s="8" t="s">
        <v>263</v>
      </c>
      <c r="H38" s="1" t="s">
        <v>29</v>
      </c>
      <c r="I38" s="1" t="s">
        <v>37</v>
      </c>
    </row>
    <row r="39" spans="1:9">
      <c r="A39" s="1" t="s">
        <v>264</v>
      </c>
      <c r="B39" s="8" t="s">
        <v>265</v>
      </c>
      <c r="C39" s="1">
        <v>20</v>
      </c>
      <c r="D39" s="1">
        <f t="shared" si="0"/>
        <v>2</v>
      </c>
      <c r="E39" s="15">
        <f t="shared" si="1"/>
        <v>6</v>
      </c>
      <c r="F39" s="1" t="s">
        <v>27</v>
      </c>
      <c r="G39" s="8" t="s">
        <v>266</v>
      </c>
      <c r="H39" s="1" t="s">
        <v>29</v>
      </c>
      <c r="I39" s="1" t="s">
        <v>37</v>
      </c>
    </row>
    <row r="40" spans="1:9">
      <c r="A40" s="1" t="s">
        <v>267</v>
      </c>
      <c r="B40" s="8" t="s">
        <v>268</v>
      </c>
      <c r="C40" s="1">
        <v>12</v>
      </c>
      <c r="D40" s="1">
        <f t="shared" si="0"/>
        <v>9</v>
      </c>
      <c r="E40" s="15">
        <f t="shared" si="1"/>
        <v>3</v>
      </c>
      <c r="F40" s="1" t="s">
        <v>27</v>
      </c>
      <c r="G40" s="8" t="s">
        <v>269</v>
      </c>
      <c r="H40" s="1" t="s">
        <v>89</v>
      </c>
      <c r="I40" s="1" t="s">
        <v>30</v>
      </c>
    </row>
    <row r="41" spans="1:9">
      <c r="A41" s="1" t="s">
        <v>270</v>
      </c>
      <c r="B41" s="8" t="s">
        <v>271</v>
      </c>
      <c r="C41" s="1">
        <v>20</v>
      </c>
      <c r="D41" s="1">
        <f t="shared" si="0"/>
        <v>2</v>
      </c>
      <c r="E41" s="15">
        <f t="shared" si="1"/>
        <v>6</v>
      </c>
      <c r="F41" s="1" t="s">
        <v>27</v>
      </c>
      <c r="G41" s="8" t="s">
        <v>272</v>
      </c>
      <c r="H41" s="1" t="s">
        <v>29</v>
      </c>
      <c r="I41" s="1" t="s">
        <v>37</v>
      </c>
    </row>
    <row r="42" spans="1:9">
      <c r="A42" s="1" t="s">
        <v>273</v>
      </c>
      <c r="B42" s="8" t="s">
        <v>274</v>
      </c>
      <c r="C42" s="1">
        <v>12</v>
      </c>
      <c r="D42" s="1">
        <f t="shared" si="0"/>
        <v>9</v>
      </c>
      <c r="E42" s="15">
        <f t="shared" si="1"/>
        <v>3</v>
      </c>
      <c r="F42" s="1" t="s">
        <v>27</v>
      </c>
      <c r="G42" s="8" t="s">
        <v>275</v>
      </c>
      <c r="H42" s="1" t="s">
        <v>89</v>
      </c>
      <c r="I42" s="1" t="s">
        <v>30</v>
      </c>
    </row>
    <row r="43" spans="1:9">
      <c r="A43" s="1" t="s">
        <v>276</v>
      </c>
      <c r="B43" s="8" t="s">
        <v>277</v>
      </c>
      <c r="C43" s="1">
        <v>12</v>
      </c>
      <c r="D43" s="1">
        <f t="shared" si="0"/>
        <v>9</v>
      </c>
      <c r="E43" s="15">
        <f t="shared" si="1"/>
        <v>3</v>
      </c>
      <c r="F43" s="1" t="s">
        <v>27</v>
      </c>
      <c r="G43" s="8" t="s">
        <v>278</v>
      </c>
      <c r="H43" s="1" t="s">
        <v>89</v>
      </c>
      <c r="I43" s="1" t="s">
        <v>30</v>
      </c>
    </row>
    <row r="44" spans="1:9">
      <c r="A44" s="1" t="s">
        <v>279</v>
      </c>
      <c r="B44" s="8" t="s">
        <v>280</v>
      </c>
      <c r="C44" s="1">
        <v>12</v>
      </c>
      <c r="D44" s="1">
        <f t="shared" si="0"/>
        <v>9</v>
      </c>
      <c r="E44" s="15">
        <f t="shared" si="1"/>
        <v>3</v>
      </c>
      <c r="F44" s="1" t="s">
        <v>27</v>
      </c>
      <c r="G44" s="8" t="s">
        <v>281</v>
      </c>
      <c r="H44" s="1" t="s">
        <v>89</v>
      </c>
      <c r="I44" s="1" t="s">
        <v>30</v>
      </c>
    </row>
    <row r="45" spans="1:9">
      <c r="A45" s="1" t="s">
        <v>282</v>
      </c>
      <c r="B45" s="8" t="s">
        <v>283</v>
      </c>
      <c r="C45" s="1">
        <v>20</v>
      </c>
      <c r="D45" s="1">
        <f t="shared" si="0"/>
        <v>2</v>
      </c>
      <c r="E45" s="15">
        <f t="shared" si="1"/>
        <v>6</v>
      </c>
      <c r="F45" s="1" t="s">
        <v>27</v>
      </c>
      <c r="G45" s="8" t="s">
        <v>284</v>
      </c>
      <c r="H45" s="1" t="s">
        <v>29</v>
      </c>
      <c r="I45" s="1" t="s">
        <v>37</v>
      </c>
    </row>
    <row r="46" spans="1:9">
      <c r="A46" s="1" t="s">
        <v>285</v>
      </c>
      <c r="B46" s="8" t="s">
        <v>286</v>
      </c>
      <c r="C46" s="1">
        <v>40</v>
      </c>
      <c r="D46" s="1">
        <f t="shared" si="0"/>
        <v>4</v>
      </c>
      <c r="E46" s="15">
        <f t="shared" si="1"/>
        <v>12</v>
      </c>
      <c r="F46" s="1" t="s">
        <v>27</v>
      </c>
      <c r="G46" s="8" t="s">
        <v>287</v>
      </c>
      <c r="H46" s="1" t="s">
        <v>29</v>
      </c>
      <c r="I46" s="1" t="s">
        <v>37</v>
      </c>
    </row>
    <row r="47" spans="1:9">
      <c r="A47" s="1" t="s">
        <v>288</v>
      </c>
      <c r="B47" s="8" t="s">
        <v>289</v>
      </c>
      <c r="C47" s="1">
        <v>40</v>
      </c>
      <c r="D47" s="1">
        <f t="shared" si="0"/>
        <v>20</v>
      </c>
      <c r="E47" s="15">
        <f t="shared" si="1"/>
        <v>20</v>
      </c>
      <c r="F47" s="1" t="s">
        <v>27</v>
      </c>
      <c r="G47" s="8" t="s">
        <v>290</v>
      </c>
      <c r="H47" s="1" t="s">
        <v>89</v>
      </c>
      <c r="I47" s="1" t="s">
        <v>30</v>
      </c>
    </row>
    <row r="48" spans="1:9">
      <c r="A48" s="1" t="s">
        <v>291</v>
      </c>
      <c r="B48" s="8" t="s">
        <v>292</v>
      </c>
      <c r="C48" s="1">
        <v>20</v>
      </c>
      <c r="D48" s="1">
        <f t="shared" si="0"/>
        <v>2</v>
      </c>
      <c r="E48" s="15">
        <f t="shared" si="1"/>
        <v>6</v>
      </c>
      <c r="F48" s="1" t="s">
        <v>27</v>
      </c>
      <c r="G48" s="8" t="s">
        <v>293</v>
      </c>
      <c r="H48" s="1" t="s">
        <v>29</v>
      </c>
      <c r="I48" s="1" t="s">
        <v>37</v>
      </c>
    </row>
    <row r="49" spans="1:9">
      <c r="A49" s="1" t="s">
        <v>294</v>
      </c>
      <c r="B49" s="8" t="s">
        <v>295</v>
      </c>
      <c r="C49" s="1">
        <v>40</v>
      </c>
      <c r="D49" s="1">
        <f t="shared" si="0"/>
        <v>20</v>
      </c>
      <c r="E49" s="15">
        <f t="shared" si="1"/>
        <v>20</v>
      </c>
      <c r="F49" s="1" t="s">
        <v>27</v>
      </c>
      <c r="G49" s="8" t="s">
        <v>296</v>
      </c>
      <c r="H49" s="1" t="s">
        <v>89</v>
      </c>
      <c r="I49" s="1" t="s">
        <v>30</v>
      </c>
    </row>
    <row r="50" spans="1:9">
      <c r="A50" s="1" t="s">
        <v>297</v>
      </c>
      <c r="B50" s="8" t="s">
        <v>298</v>
      </c>
      <c r="C50" s="1">
        <v>40</v>
      </c>
      <c r="D50" s="1">
        <f t="shared" si="0"/>
        <v>4</v>
      </c>
      <c r="E50" s="15">
        <f t="shared" si="1"/>
        <v>12</v>
      </c>
      <c r="F50" s="1" t="s">
        <v>27</v>
      </c>
      <c r="G50" s="8" t="s">
        <v>299</v>
      </c>
      <c r="H50" s="1" t="s">
        <v>29</v>
      </c>
      <c r="I50" s="1" t="s">
        <v>37</v>
      </c>
    </row>
    <row r="51" spans="1:9">
      <c r="A51" s="1" t="s">
        <v>300</v>
      </c>
      <c r="B51" s="8" t="s">
        <v>301</v>
      </c>
      <c r="C51" s="1">
        <v>12</v>
      </c>
      <c r="D51" s="1">
        <f t="shared" si="0"/>
        <v>2</v>
      </c>
      <c r="E51" s="15">
        <f t="shared" si="1"/>
        <v>6</v>
      </c>
      <c r="F51" s="1" t="s">
        <v>27</v>
      </c>
      <c r="G51" s="8" t="s">
        <v>302</v>
      </c>
      <c r="H51" s="1" t="s">
        <v>29</v>
      </c>
      <c r="I51" s="1" t="s">
        <v>37</v>
      </c>
    </row>
    <row r="52" spans="1:9">
      <c r="A52" s="1" t="s">
        <v>303</v>
      </c>
      <c r="B52" s="8" t="s">
        <v>304</v>
      </c>
      <c r="C52" s="1">
        <v>12</v>
      </c>
      <c r="D52" s="1">
        <f t="shared" si="0"/>
        <v>9</v>
      </c>
      <c r="E52" s="15">
        <f t="shared" si="1"/>
        <v>3</v>
      </c>
      <c r="F52" s="1" t="s">
        <v>27</v>
      </c>
      <c r="G52" s="8" t="s">
        <v>305</v>
      </c>
      <c r="H52" s="1" t="s">
        <v>89</v>
      </c>
      <c r="I52" s="1" t="s">
        <v>30</v>
      </c>
    </row>
    <row r="53" spans="1:9">
      <c r="A53" s="1" t="s">
        <v>306</v>
      </c>
      <c r="B53" s="8" t="s">
        <v>307</v>
      </c>
      <c r="C53" s="1">
        <v>12</v>
      </c>
      <c r="D53" s="1">
        <f t="shared" si="0"/>
        <v>9</v>
      </c>
      <c r="E53" s="15">
        <f t="shared" si="1"/>
        <v>3</v>
      </c>
      <c r="F53" s="1" t="s">
        <v>27</v>
      </c>
      <c r="G53" s="8" t="s">
        <v>308</v>
      </c>
      <c r="H53" s="1" t="s">
        <v>89</v>
      </c>
      <c r="I53" s="1" t="s">
        <v>30</v>
      </c>
    </row>
    <row r="54" spans="1:9">
      <c r="A54" s="1" t="s">
        <v>309</v>
      </c>
      <c r="B54" s="8" t="s">
        <v>310</v>
      </c>
      <c r="C54" s="1">
        <v>20</v>
      </c>
      <c r="D54" s="1">
        <f t="shared" si="0"/>
        <v>2</v>
      </c>
      <c r="E54" s="15">
        <f t="shared" si="1"/>
        <v>6</v>
      </c>
      <c r="F54" s="1" t="s">
        <v>27</v>
      </c>
      <c r="G54" s="8" t="s">
        <v>311</v>
      </c>
      <c r="H54" s="1" t="s">
        <v>29</v>
      </c>
      <c r="I54" s="1" t="s">
        <v>37</v>
      </c>
    </row>
    <row r="55" spans="1:9">
      <c r="A55" s="1" t="s">
        <v>312</v>
      </c>
      <c r="B55" s="8" t="s">
        <v>313</v>
      </c>
      <c r="C55" s="1">
        <v>12</v>
      </c>
      <c r="D55" s="1">
        <f t="shared" si="0"/>
        <v>9</v>
      </c>
      <c r="E55" s="15">
        <f t="shared" si="1"/>
        <v>3</v>
      </c>
      <c r="F55" s="1" t="s">
        <v>27</v>
      </c>
      <c r="G55" s="8" t="s">
        <v>314</v>
      </c>
      <c r="H55" s="1" t="s">
        <v>89</v>
      </c>
      <c r="I55" s="1" t="s">
        <v>30</v>
      </c>
    </row>
    <row r="56" spans="1:9">
      <c r="A56" s="1" t="s">
        <v>315</v>
      </c>
      <c r="B56" s="8" t="s">
        <v>316</v>
      </c>
      <c r="C56" s="1">
        <v>20</v>
      </c>
      <c r="D56" s="1">
        <f t="shared" si="0"/>
        <v>2</v>
      </c>
      <c r="E56" s="15">
        <f t="shared" si="1"/>
        <v>6</v>
      </c>
      <c r="F56" s="1" t="s">
        <v>27</v>
      </c>
      <c r="G56" s="8" t="s">
        <v>317</v>
      </c>
      <c r="H56" s="1" t="s">
        <v>29</v>
      </c>
      <c r="I56" s="1" t="s">
        <v>37</v>
      </c>
    </row>
    <row r="57" spans="1:9">
      <c r="A57" s="1" t="s">
        <v>318</v>
      </c>
      <c r="B57" s="8" t="s">
        <v>319</v>
      </c>
      <c r="C57" s="1">
        <v>12</v>
      </c>
      <c r="D57" s="1">
        <f t="shared" si="0"/>
        <v>9</v>
      </c>
      <c r="E57" s="15">
        <f t="shared" si="1"/>
        <v>3</v>
      </c>
      <c r="F57" s="1" t="s">
        <v>27</v>
      </c>
      <c r="G57" s="8" t="s">
        <v>320</v>
      </c>
      <c r="H57" s="1" t="s">
        <v>89</v>
      </c>
      <c r="I57" s="1" t="s">
        <v>30</v>
      </c>
    </row>
    <row r="58" spans="1:9">
      <c r="A58" s="1" t="s">
        <v>321</v>
      </c>
      <c r="B58" s="8" t="s">
        <v>322</v>
      </c>
      <c r="C58" s="1">
        <v>40</v>
      </c>
      <c r="D58" s="1">
        <f t="shared" si="0"/>
        <v>4</v>
      </c>
      <c r="E58" s="15">
        <f t="shared" si="1"/>
        <v>12</v>
      </c>
      <c r="F58" s="1" t="s">
        <v>323</v>
      </c>
      <c r="G58" s="8" t="s">
        <v>324</v>
      </c>
      <c r="H58" s="1" t="s">
        <v>29</v>
      </c>
      <c r="I58" s="1" t="s">
        <v>37</v>
      </c>
    </row>
    <row r="59" spans="1:9">
      <c r="A59" s="1" t="s">
        <v>325</v>
      </c>
      <c r="B59" s="8" t="s">
        <v>326</v>
      </c>
      <c r="C59" s="1">
        <v>12</v>
      </c>
      <c r="D59" s="1">
        <f t="shared" si="0"/>
        <v>9</v>
      </c>
      <c r="E59" s="15">
        <f t="shared" si="1"/>
        <v>3</v>
      </c>
      <c r="F59" s="1" t="s">
        <v>27</v>
      </c>
      <c r="G59" s="8" t="s">
        <v>327</v>
      </c>
      <c r="H59" s="1" t="s">
        <v>89</v>
      </c>
      <c r="I59" s="1" t="s">
        <v>30</v>
      </c>
    </row>
    <row r="60" spans="1:9">
      <c r="A60" s="1" t="s">
        <v>328</v>
      </c>
      <c r="B60" s="8" t="s">
        <v>329</v>
      </c>
      <c r="C60" s="1">
        <v>20</v>
      </c>
      <c r="D60" s="1">
        <f t="shared" si="0"/>
        <v>2</v>
      </c>
      <c r="E60" s="15">
        <f t="shared" si="1"/>
        <v>6</v>
      </c>
      <c r="F60" s="1" t="s">
        <v>27</v>
      </c>
      <c r="G60" s="8" t="s">
        <v>330</v>
      </c>
      <c r="H60" s="1" t="s">
        <v>29</v>
      </c>
      <c r="I60" s="1" t="s">
        <v>37</v>
      </c>
    </row>
    <row r="61" spans="1:9">
      <c r="A61" s="1" t="s">
        <v>331</v>
      </c>
      <c r="B61" s="8" t="s">
        <v>332</v>
      </c>
      <c r="C61" s="1">
        <v>20</v>
      </c>
      <c r="D61" s="1">
        <f t="shared" si="0"/>
        <v>2</v>
      </c>
      <c r="E61" s="15">
        <f t="shared" si="1"/>
        <v>6</v>
      </c>
      <c r="F61" s="1" t="s">
        <v>27</v>
      </c>
      <c r="G61" s="8" t="s">
        <v>333</v>
      </c>
      <c r="H61" s="1" t="s">
        <v>29</v>
      </c>
      <c r="I61" s="1" t="s">
        <v>37</v>
      </c>
    </row>
    <row r="62" spans="1:9">
      <c r="A62" s="1" t="s">
        <v>334</v>
      </c>
      <c r="B62" s="8" t="s">
        <v>335</v>
      </c>
      <c r="C62" s="1">
        <v>40</v>
      </c>
      <c r="D62" s="1">
        <f t="shared" si="0"/>
        <v>4</v>
      </c>
      <c r="E62" s="15">
        <f t="shared" si="1"/>
        <v>12</v>
      </c>
      <c r="F62" s="1" t="s">
        <v>27</v>
      </c>
      <c r="G62" s="8" t="s">
        <v>336</v>
      </c>
      <c r="H62" s="1" t="s">
        <v>29</v>
      </c>
      <c r="I62" s="1" t="s">
        <v>37</v>
      </c>
    </row>
    <row r="63" spans="1:9">
      <c r="A63" s="1" t="s">
        <v>337</v>
      </c>
      <c r="B63" s="8" t="s">
        <v>338</v>
      </c>
      <c r="C63" s="1">
        <v>12</v>
      </c>
      <c r="D63" s="1">
        <f t="shared" si="0"/>
        <v>9</v>
      </c>
      <c r="E63" s="15">
        <f t="shared" si="1"/>
        <v>3</v>
      </c>
      <c r="F63" s="1" t="s">
        <v>27</v>
      </c>
      <c r="G63" s="8" t="s">
        <v>339</v>
      </c>
      <c r="H63" s="1" t="s">
        <v>89</v>
      </c>
      <c r="I63" s="1" t="s">
        <v>30</v>
      </c>
    </row>
    <row r="64" spans="1:9">
      <c r="A64" s="1" t="s">
        <v>340</v>
      </c>
      <c r="B64" s="8" t="s">
        <v>341</v>
      </c>
      <c r="C64" s="1">
        <v>20</v>
      </c>
      <c r="D64" s="1">
        <f t="shared" si="0"/>
        <v>2</v>
      </c>
      <c r="E64" s="15">
        <f t="shared" si="1"/>
        <v>6</v>
      </c>
      <c r="F64" s="1" t="s">
        <v>27</v>
      </c>
      <c r="G64" s="8" t="s">
        <v>342</v>
      </c>
      <c r="H64" s="1" t="s">
        <v>29</v>
      </c>
      <c r="I64" s="1" t="s">
        <v>37</v>
      </c>
    </row>
    <row r="65" spans="1:9">
      <c r="A65" s="1" t="s">
        <v>343</v>
      </c>
      <c r="B65" s="8" t="s">
        <v>344</v>
      </c>
      <c r="C65" s="1">
        <v>40</v>
      </c>
      <c r="D65" s="1">
        <f t="shared" si="0"/>
        <v>4</v>
      </c>
      <c r="E65" s="15">
        <f t="shared" si="1"/>
        <v>12</v>
      </c>
      <c r="F65" s="1" t="s">
        <v>27</v>
      </c>
      <c r="G65" s="8" t="s">
        <v>345</v>
      </c>
      <c r="H65" s="1" t="s">
        <v>29</v>
      </c>
      <c r="I65" s="1" t="s">
        <v>37</v>
      </c>
    </row>
    <row r="66" spans="1:9">
      <c r="A66" s="1" t="s">
        <v>346</v>
      </c>
      <c r="B66" s="8" t="s">
        <v>347</v>
      </c>
      <c r="C66" s="1">
        <v>20</v>
      </c>
      <c r="D66" s="1">
        <f t="shared" si="0"/>
        <v>2</v>
      </c>
      <c r="E66" s="15">
        <f t="shared" si="1"/>
        <v>6</v>
      </c>
      <c r="F66" s="1" t="s">
        <v>172</v>
      </c>
      <c r="G66" s="8" t="s">
        <v>348</v>
      </c>
      <c r="H66" s="1" t="s">
        <v>29</v>
      </c>
      <c r="I66" s="1" t="s">
        <v>37</v>
      </c>
    </row>
    <row r="67" spans="1:9">
      <c r="A67" s="1" t="s">
        <v>349</v>
      </c>
      <c r="B67" s="8" t="s">
        <v>350</v>
      </c>
      <c r="C67" s="1">
        <v>20</v>
      </c>
      <c r="D67" s="1">
        <f t="shared" si="0"/>
        <v>2</v>
      </c>
      <c r="E67" s="15">
        <f t="shared" si="1"/>
        <v>6</v>
      </c>
      <c r="F67" s="1" t="s">
        <v>27</v>
      </c>
      <c r="G67" s="8" t="s">
        <v>351</v>
      </c>
      <c r="H67" s="1" t="s">
        <v>29</v>
      </c>
      <c r="I67" s="1" t="s">
        <v>37</v>
      </c>
    </row>
    <row r="68" spans="1:9">
      <c r="A68" s="1" t="s">
        <v>352</v>
      </c>
      <c r="B68" s="8" t="s">
        <v>353</v>
      </c>
      <c r="C68" s="1">
        <v>20</v>
      </c>
      <c r="D68" s="1">
        <f t="shared" ref="D68:D131" si="3">IF(I68="PROFESSOR REGENTE",IF(C68=40,C68*0.5,IF(C68&gt;11,C68*0.75,C68)),IF(I68="PROFESSOR DE ENSINO SUPERIOR EAD",IF(C68=40,4,2),0))</f>
        <v>2</v>
      </c>
      <c r="E68" s="15">
        <f t="shared" ref="E68:E131" si="4">IF(OR(I68="PROFESSOR REGENTE",I68="PROFESSOR DE ENSINO SUPERIOR PRESENCIAL"),C68-D68,IF(C68=40,12,6))</f>
        <v>6</v>
      </c>
      <c r="F68" s="1" t="s">
        <v>172</v>
      </c>
      <c r="G68" s="8" t="s">
        <v>354</v>
      </c>
      <c r="H68" s="1" t="s">
        <v>355</v>
      </c>
      <c r="I68" s="1" t="s">
        <v>37</v>
      </c>
    </row>
    <row r="69" spans="1:9">
      <c r="A69" s="1" t="s">
        <v>356</v>
      </c>
      <c r="B69" s="8" t="s">
        <v>357</v>
      </c>
      <c r="C69" s="1">
        <v>40</v>
      </c>
      <c r="D69" s="1">
        <f t="shared" si="3"/>
        <v>4</v>
      </c>
      <c r="E69" s="15">
        <f t="shared" si="4"/>
        <v>12</v>
      </c>
      <c r="F69" s="1" t="s">
        <v>27</v>
      </c>
      <c r="G69" s="8" t="s">
        <v>358</v>
      </c>
      <c r="H69" s="1" t="s">
        <v>29</v>
      </c>
      <c r="I69" s="1" t="s">
        <v>37</v>
      </c>
    </row>
    <row r="70" spans="1:9">
      <c r="A70" s="1" t="s">
        <v>359</v>
      </c>
      <c r="B70" s="8" t="s">
        <v>360</v>
      </c>
      <c r="C70" s="1">
        <v>12</v>
      </c>
      <c r="D70" s="1">
        <f t="shared" si="3"/>
        <v>9</v>
      </c>
      <c r="E70" s="15">
        <f t="shared" si="4"/>
        <v>3</v>
      </c>
      <c r="F70" s="1" t="s">
        <v>27</v>
      </c>
      <c r="G70" s="8" t="s">
        <v>361</v>
      </c>
      <c r="H70" s="1" t="s">
        <v>89</v>
      </c>
      <c r="I70" s="1" t="s">
        <v>30</v>
      </c>
    </row>
    <row r="71" spans="1:9">
      <c r="A71" s="1" t="s">
        <v>362</v>
      </c>
      <c r="B71" s="8" t="s">
        <v>363</v>
      </c>
      <c r="C71" s="1">
        <v>20</v>
      </c>
      <c r="D71" s="1">
        <f t="shared" si="3"/>
        <v>2</v>
      </c>
      <c r="E71" s="15">
        <f t="shared" si="4"/>
        <v>6</v>
      </c>
      <c r="F71" s="1" t="s">
        <v>27</v>
      </c>
      <c r="G71" s="8" t="s">
        <v>364</v>
      </c>
      <c r="H71" s="1" t="s">
        <v>29</v>
      </c>
      <c r="I71" s="1" t="s">
        <v>37</v>
      </c>
    </row>
    <row r="72" spans="1:9">
      <c r="A72" s="1" t="s">
        <v>365</v>
      </c>
      <c r="B72" s="8" t="s">
        <v>366</v>
      </c>
      <c r="C72" s="1">
        <v>40</v>
      </c>
      <c r="D72" s="1">
        <f t="shared" si="3"/>
        <v>4</v>
      </c>
      <c r="E72" s="15">
        <f t="shared" si="4"/>
        <v>12</v>
      </c>
      <c r="F72" s="1" t="s">
        <v>27</v>
      </c>
      <c r="G72" s="8" t="s">
        <v>367</v>
      </c>
      <c r="H72" s="1" t="s">
        <v>29</v>
      </c>
      <c r="I72" s="1" t="s">
        <v>37</v>
      </c>
    </row>
    <row r="73" spans="1:9">
      <c r="A73" s="1" t="s">
        <v>368</v>
      </c>
      <c r="B73" s="8" t="s">
        <v>369</v>
      </c>
      <c r="C73" s="1">
        <v>12</v>
      </c>
      <c r="D73" s="1">
        <f t="shared" si="3"/>
        <v>9</v>
      </c>
      <c r="E73" s="15">
        <f t="shared" si="4"/>
        <v>3</v>
      </c>
      <c r="F73" s="1" t="s">
        <v>172</v>
      </c>
      <c r="G73" s="8" t="s">
        <v>370</v>
      </c>
      <c r="H73" s="1" t="s">
        <v>89</v>
      </c>
      <c r="I73" s="1" t="s">
        <v>30</v>
      </c>
    </row>
    <row r="74" spans="1:9">
      <c r="A74" s="1" t="s">
        <v>371</v>
      </c>
      <c r="B74" s="8" t="s">
        <v>372</v>
      </c>
      <c r="C74" s="1">
        <v>20</v>
      </c>
      <c r="D74" s="1">
        <f t="shared" si="3"/>
        <v>2</v>
      </c>
      <c r="E74" s="15">
        <f t="shared" si="4"/>
        <v>6</v>
      </c>
      <c r="F74" s="1" t="s">
        <v>27</v>
      </c>
      <c r="G74" s="8" t="s">
        <v>373</v>
      </c>
      <c r="H74" s="1" t="s">
        <v>29</v>
      </c>
      <c r="I74" s="1" t="s">
        <v>37</v>
      </c>
    </row>
    <row r="75" spans="1:9">
      <c r="A75" s="1" t="s">
        <v>374</v>
      </c>
      <c r="B75" s="8" t="s">
        <v>375</v>
      </c>
      <c r="C75" s="1">
        <v>12</v>
      </c>
      <c r="D75" s="1">
        <f t="shared" si="3"/>
        <v>9</v>
      </c>
      <c r="E75" s="15">
        <f t="shared" si="4"/>
        <v>3</v>
      </c>
      <c r="F75" s="1" t="s">
        <v>27</v>
      </c>
      <c r="G75" s="8" t="s">
        <v>376</v>
      </c>
      <c r="H75" s="1" t="s">
        <v>89</v>
      </c>
      <c r="I75" s="1" t="s">
        <v>30</v>
      </c>
    </row>
    <row r="76" spans="1:9">
      <c r="A76" s="1" t="s">
        <v>377</v>
      </c>
      <c r="B76" s="8" t="s">
        <v>378</v>
      </c>
      <c r="C76" s="1">
        <v>20</v>
      </c>
      <c r="D76" s="1">
        <f t="shared" si="3"/>
        <v>2</v>
      </c>
      <c r="E76" s="15">
        <f t="shared" si="4"/>
        <v>6</v>
      </c>
      <c r="F76" s="1" t="s">
        <v>27</v>
      </c>
      <c r="G76" s="8" t="s">
        <v>379</v>
      </c>
      <c r="H76" s="1" t="s">
        <v>29</v>
      </c>
      <c r="I76" s="1" t="s">
        <v>37</v>
      </c>
    </row>
    <row r="77" spans="1:9">
      <c r="A77" s="1" t="s">
        <v>380</v>
      </c>
      <c r="B77" s="8" t="s">
        <v>381</v>
      </c>
      <c r="C77" s="1">
        <v>20</v>
      </c>
      <c r="D77" s="1">
        <f t="shared" si="3"/>
        <v>2</v>
      </c>
      <c r="E77" s="15">
        <f t="shared" si="4"/>
        <v>6</v>
      </c>
      <c r="F77" s="1" t="s">
        <v>27</v>
      </c>
      <c r="G77" s="8" t="s">
        <v>382</v>
      </c>
      <c r="H77" s="1" t="s">
        <v>29</v>
      </c>
      <c r="I77" s="1" t="s">
        <v>37</v>
      </c>
    </row>
    <row r="78" spans="1:9">
      <c r="A78" s="1" t="s">
        <v>383</v>
      </c>
      <c r="B78" s="8" t="s">
        <v>384</v>
      </c>
      <c r="C78" s="1">
        <v>20</v>
      </c>
      <c r="D78" s="1">
        <f t="shared" si="3"/>
        <v>2</v>
      </c>
      <c r="E78" s="15">
        <f t="shared" si="4"/>
        <v>6</v>
      </c>
      <c r="F78" s="1" t="s">
        <v>27</v>
      </c>
      <c r="G78" s="8" t="s">
        <v>385</v>
      </c>
      <c r="H78" s="1" t="s">
        <v>29</v>
      </c>
      <c r="I78" s="1" t="s">
        <v>37</v>
      </c>
    </row>
    <row r="79" spans="1:9">
      <c r="A79" s="1" t="s">
        <v>386</v>
      </c>
      <c r="B79" s="8" t="s">
        <v>387</v>
      </c>
      <c r="C79" s="1">
        <v>40</v>
      </c>
      <c r="D79" s="1">
        <f t="shared" si="3"/>
        <v>4</v>
      </c>
      <c r="E79" s="15">
        <f t="shared" si="4"/>
        <v>12</v>
      </c>
      <c r="F79" s="1" t="s">
        <v>27</v>
      </c>
      <c r="G79" s="8" t="s">
        <v>388</v>
      </c>
      <c r="H79" s="1" t="s">
        <v>29</v>
      </c>
      <c r="I79" s="1" t="s">
        <v>37</v>
      </c>
    </row>
    <row r="80" spans="1:9">
      <c r="A80" s="1" t="s">
        <v>389</v>
      </c>
      <c r="B80" s="8" t="s">
        <v>390</v>
      </c>
      <c r="C80" s="1">
        <v>20</v>
      </c>
      <c r="D80" s="1">
        <f t="shared" si="3"/>
        <v>2</v>
      </c>
      <c r="E80" s="15">
        <f t="shared" si="4"/>
        <v>6</v>
      </c>
      <c r="F80" s="1" t="s">
        <v>27</v>
      </c>
      <c r="G80" s="8" t="s">
        <v>391</v>
      </c>
      <c r="H80" s="1" t="s">
        <v>29</v>
      </c>
      <c r="I80" s="1" t="s">
        <v>37</v>
      </c>
    </row>
    <row r="81" spans="1:9">
      <c r="A81" s="1" t="s">
        <v>392</v>
      </c>
      <c r="B81" s="8" t="s">
        <v>393</v>
      </c>
      <c r="C81" s="1">
        <v>12</v>
      </c>
      <c r="D81" s="1">
        <f t="shared" si="3"/>
        <v>9</v>
      </c>
      <c r="E81" s="15">
        <f t="shared" si="4"/>
        <v>3</v>
      </c>
      <c r="F81" s="1" t="s">
        <v>27</v>
      </c>
      <c r="G81" s="8" t="s">
        <v>394</v>
      </c>
      <c r="H81" s="1" t="s">
        <v>89</v>
      </c>
      <c r="I81" s="1" t="s">
        <v>30</v>
      </c>
    </row>
    <row r="82" spans="1:9">
      <c r="A82" s="1" t="s">
        <v>395</v>
      </c>
      <c r="B82" s="8" t="s">
        <v>396</v>
      </c>
      <c r="C82" s="1">
        <v>20</v>
      </c>
      <c r="D82" s="1">
        <f t="shared" si="3"/>
        <v>2</v>
      </c>
      <c r="E82" s="15">
        <f t="shared" si="4"/>
        <v>6</v>
      </c>
      <c r="F82" s="1" t="s">
        <v>27</v>
      </c>
      <c r="G82" s="8" t="s">
        <v>397</v>
      </c>
      <c r="H82" s="1" t="s">
        <v>29</v>
      </c>
      <c r="I82" s="1" t="s">
        <v>37</v>
      </c>
    </row>
    <row r="83" spans="1:9">
      <c r="A83" s="1" t="s">
        <v>398</v>
      </c>
      <c r="B83" s="8" t="s">
        <v>399</v>
      </c>
      <c r="C83" s="1">
        <v>12</v>
      </c>
      <c r="D83" s="1">
        <f t="shared" si="3"/>
        <v>9</v>
      </c>
      <c r="E83" s="15">
        <f t="shared" si="4"/>
        <v>3</v>
      </c>
      <c r="F83" s="1" t="s">
        <v>27</v>
      </c>
      <c r="G83" s="8" t="s">
        <v>400</v>
      </c>
      <c r="H83" s="1" t="s">
        <v>89</v>
      </c>
      <c r="I83" s="1" t="s">
        <v>30</v>
      </c>
    </row>
    <row r="84" spans="1:9">
      <c r="A84" s="1" t="s">
        <v>401</v>
      </c>
      <c r="B84" s="8" t="s">
        <v>402</v>
      </c>
      <c r="C84" s="1">
        <v>20</v>
      </c>
      <c r="D84" s="1">
        <f t="shared" si="3"/>
        <v>2</v>
      </c>
      <c r="E84" s="15">
        <f t="shared" si="4"/>
        <v>6</v>
      </c>
      <c r="F84" s="1" t="s">
        <v>27</v>
      </c>
      <c r="G84" s="8" t="s">
        <v>403</v>
      </c>
      <c r="H84" s="1" t="s">
        <v>29</v>
      </c>
      <c r="I84" s="1" t="s">
        <v>37</v>
      </c>
    </row>
    <row r="85" spans="1:9">
      <c r="A85" s="1" t="s">
        <v>404</v>
      </c>
      <c r="B85" s="8" t="s">
        <v>405</v>
      </c>
      <c r="C85" s="1">
        <v>12</v>
      </c>
      <c r="D85" s="1">
        <f t="shared" si="3"/>
        <v>9</v>
      </c>
      <c r="E85" s="15">
        <f t="shared" si="4"/>
        <v>3</v>
      </c>
      <c r="F85" s="1" t="s">
        <v>27</v>
      </c>
      <c r="G85" s="8" t="s">
        <v>406</v>
      </c>
      <c r="H85" s="1" t="s">
        <v>89</v>
      </c>
      <c r="I85" s="1" t="s">
        <v>30</v>
      </c>
    </row>
    <row r="86" spans="1:9">
      <c r="A86" s="1" t="s">
        <v>407</v>
      </c>
      <c r="B86" s="8" t="s">
        <v>408</v>
      </c>
      <c r="C86" s="1">
        <v>40</v>
      </c>
      <c r="D86" s="1">
        <f t="shared" si="3"/>
        <v>4</v>
      </c>
      <c r="E86" s="15">
        <f t="shared" si="4"/>
        <v>12</v>
      </c>
      <c r="F86" s="1" t="s">
        <v>27</v>
      </c>
      <c r="G86" s="8" t="s">
        <v>409</v>
      </c>
      <c r="H86" s="1" t="s">
        <v>29</v>
      </c>
      <c r="I86" s="1" t="s">
        <v>37</v>
      </c>
    </row>
    <row r="87" spans="1:9">
      <c r="A87" s="1" t="s">
        <v>410</v>
      </c>
      <c r="B87" s="8" t="s">
        <v>411</v>
      </c>
      <c r="C87" s="1">
        <v>40</v>
      </c>
      <c r="D87" s="1">
        <f t="shared" si="3"/>
        <v>4</v>
      </c>
      <c r="E87" s="15">
        <f t="shared" si="4"/>
        <v>12</v>
      </c>
      <c r="F87" s="1" t="s">
        <v>27</v>
      </c>
      <c r="G87" s="8" t="s">
        <v>412</v>
      </c>
      <c r="H87" s="1" t="s">
        <v>29</v>
      </c>
      <c r="I87" s="1" t="s">
        <v>37</v>
      </c>
    </row>
    <row r="88" spans="1:9">
      <c r="A88" s="1" t="s">
        <v>413</v>
      </c>
      <c r="B88" s="8" t="s">
        <v>414</v>
      </c>
      <c r="C88" s="1">
        <v>12</v>
      </c>
      <c r="D88" s="1">
        <f t="shared" si="3"/>
        <v>9</v>
      </c>
      <c r="E88" s="15">
        <f t="shared" si="4"/>
        <v>3</v>
      </c>
      <c r="F88" s="1" t="s">
        <v>415</v>
      </c>
      <c r="G88" s="8" t="s">
        <v>416</v>
      </c>
      <c r="H88" s="1" t="s">
        <v>89</v>
      </c>
      <c r="I88" s="1" t="s">
        <v>30</v>
      </c>
    </row>
    <row r="89" spans="1:9">
      <c r="A89" s="1" t="s">
        <v>417</v>
      </c>
      <c r="B89" s="8" t="s">
        <v>418</v>
      </c>
      <c r="C89" s="1">
        <v>20</v>
      </c>
      <c r="D89" s="1">
        <f t="shared" si="3"/>
        <v>2</v>
      </c>
      <c r="E89" s="15">
        <f t="shared" si="4"/>
        <v>6</v>
      </c>
      <c r="F89" s="1" t="s">
        <v>415</v>
      </c>
      <c r="G89" s="8" t="s">
        <v>419</v>
      </c>
      <c r="H89" s="1" t="s">
        <v>29</v>
      </c>
      <c r="I89" s="1" t="s">
        <v>37</v>
      </c>
    </row>
    <row r="90" spans="1:9">
      <c r="A90" s="1" t="s">
        <v>420</v>
      </c>
      <c r="B90" s="8" t="s">
        <v>421</v>
      </c>
      <c r="C90" s="1">
        <v>12</v>
      </c>
      <c r="D90" s="1">
        <f t="shared" si="3"/>
        <v>9</v>
      </c>
      <c r="E90" s="15">
        <f t="shared" si="4"/>
        <v>3</v>
      </c>
      <c r="F90" s="1" t="s">
        <v>27</v>
      </c>
      <c r="G90" s="8" t="s">
        <v>422</v>
      </c>
      <c r="H90" s="1" t="s">
        <v>89</v>
      </c>
      <c r="I90" s="1" t="s">
        <v>30</v>
      </c>
    </row>
    <row r="91" spans="1:9">
      <c r="A91" s="1" t="s">
        <v>423</v>
      </c>
      <c r="B91" s="8" t="s">
        <v>424</v>
      </c>
      <c r="C91" s="1">
        <v>40</v>
      </c>
      <c r="D91" s="1">
        <f t="shared" si="3"/>
        <v>4</v>
      </c>
      <c r="E91" s="15">
        <f t="shared" si="4"/>
        <v>12</v>
      </c>
      <c r="F91" s="1" t="s">
        <v>27</v>
      </c>
      <c r="G91" s="8" t="s">
        <v>425</v>
      </c>
      <c r="H91" s="1" t="s">
        <v>29</v>
      </c>
      <c r="I91" s="1" t="s">
        <v>37</v>
      </c>
    </row>
    <row r="92" spans="1:9">
      <c r="A92" s="1" t="s">
        <v>426</v>
      </c>
      <c r="B92" s="8" t="s">
        <v>427</v>
      </c>
      <c r="C92" s="1">
        <v>20</v>
      </c>
      <c r="D92" s="1">
        <f t="shared" si="3"/>
        <v>2</v>
      </c>
      <c r="E92" s="15">
        <f t="shared" si="4"/>
        <v>6</v>
      </c>
      <c r="F92" s="1" t="s">
        <v>27</v>
      </c>
      <c r="G92" s="8" t="s">
        <v>428</v>
      </c>
      <c r="H92" s="1" t="s">
        <v>29</v>
      </c>
      <c r="I92" s="1" t="s">
        <v>37</v>
      </c>
    </row>
    <row r="93" spans="1:9">
      <c r="A93" s="1" t="s">
        <v>429</v>
      </c>
      <c r="B93" s="8" t="s">
        <v>430</v>
      </c>
      <c r="C93" s="1">
        <v>40</v>
      </c>
      <c r="D93" s="1">
        <f t="shared" si="3"/>
        <v>4</v>
      </c>
      <c r="E93" s="15">
        <f t="shared" si="4"/>
        <v>12</v>
      </c>
      <c r="F93" s="1" t="s">
        <v>27</v>
      </c>
      <c r="G93" s="8" t="s">
        <v>431</v>
      </c>
      <c r="H93" s="1" t="s">
        <v>29</v>
      </c>
      <c r="I93" s="1" t="s">
        <v>37</v>
      </c>
    </row>
    <row r="94" spans="1:9">
      <c r="A94" s="1" t="s">
        <v>432</v>
      </c>
      <c r="B94" s="8" t="s">
        <v>433</v>
      </c>
      <c r="C94" s="1">
        <v>40</v>
      </c>
      <c r="D94" s="1">
        <f t="shared" si="3"/>
        <v>4</v>
      </c>
      <c r="E94" s="15">
        <f t="shared" si="4"/>
        <v>12</v>
      </c>
      <c r="F94" s="1" t="s">
        <v>27</v>
      </c>
      <c r="G94" s="8" t="s">
        <v>434</v>
      </c>
      <c r="H94" s="1" t="s">
        <v>29</v>
      </c>
      <c r="I94" s="1" t="s">
        <v>37</v>
      </c>
    </row>
    <row r="95" spans="1:9">
      <c r="A95" s="1" t="s">
        <v>435</v>
      </c>
      <c r="B95" s="8" t="s">
        <v>436</v>
      </c>
      <c r="C95" s="1">
        <v>12</v>
      </c>
      <c r="D95" s="1">
        <f t="shared" si="3"/>
        <v>9</v>
      </c>
      <c r="E95" s="15">
        <f t="shared" si="4"/>
        <v>3</v>
      </c>
      <c r="F95" s="1" t="s">
        <v>27</v>
      </c>
      <c r="G95" s="8" t="s">
        <v>437</v>
      </c>
      <c r="H95" s="1" t="s">
        <v>89</v>
      </c>
      <c r="I95" s="1" t="s">
        <v>30</v>
      </c>
    </row>
    <row r="96" spans="1:9">
      <c r="A96" s="1" t="s">
        <v>438</v>
      </c>
      <c r="B96" s="8" t="s">
        <v>439</v>
      </c>
      <c r="C96" s="1">
        <v>20</v>
      </c>
      <c r="D96" s="1">
        <f t="shared" si="3"/>
        <v>2</v>
      </c>
      <c r="E96" s="15">
        <f t="shared" si="4"/>
        <v>6</v>
      </c>
      <c r="F96" s="1" t="s">
        <v>27</v>
      </c>
      <c r="G96" s="8" t="s">
        <v>440</v>
      </c>
      <c r="H96" s="1" t="s">
        <v>29</v>
      </c>
      <c r="I96" s="1" t="s">
        <v>37</v>
      </c>
    </row>
    <row r="97" spans="1:9">
      <c r="A97" s="1" t="s">
        <v>441</v>
      </c>
      <c r="B97" s="8" t="s">
        <v>442</v>
      </c>
      <c r="C97" s="1">
        <v>12</v>
      </c>
      <c r="D97" s="1">
        <f t="shared" si="3"/>
        <v>2</v>
      </c>
      <c r="E97" s="15">
        <f t="shared" si="4"/>
        <v>6</v>
      </c>
      <c r="F97" s="1" t="s">
        <v>27</v>
      </c>
      <c r="G97" s="8" t="s">
        <v>443</v>
      </c>
      <c r="H97" s="1" t="s">
        <v>29</v>
      </c>
      <c r="I97" s="1" t="s">
        <v>37</v>
      </c>
    </row>
    <row r="98" spans="1:9">
      <c r="A98" s="1" t="s">
        <v>444</v>
      </c>
      <c r="B98" s="8" t="s">
        <v>445</v>
      </c>
      <c r="C98" s="1">
        <v>20</v>
      </c>
      <c r="D98" s="1">
        <f t="shared" si="3"/>
        <v>2</v>
      </c>
      <c r="E98" s="15">
        <f t="shared" si="4"/>
        <v>6</v>
      </c>
      <c r="F98" s="1" t="s">
        <v>27</v>
      </c>
      <c r="G98" s="8" t="s">
        <v>446</v>
      </c>
      <c r="H98" s="1" t="s">
        <v>29</v>
      </c>
      <c r="I98" s="1" t="s">
        <v>37</v>
      </c>
    </row>
    <row r="99" spans="1:9">
      <c r="A99" s="1" t="s">
        <v>447</v>
      </c>
      <c r="B99" s="8" t="s">
        <v>448</v>
      </c>
      <c r="C99" s="1">
        <v>20</v>
      </c>
      <c r="D99" s="1">
        <f t="shared" si="3"/>
        <v>2</v>
      </c>
      <c r="E99" s="15">
        <f t="shared" si="4"/>
        <v>6</v>
      </c>
      <c r="F99" s="1" t="s">
        <v>27</v>
      </c>
      <c r="G99" s="8" t="s">
        <v>449</v>
      </c>
      <c r="H99" s="1" t="s">
        <v>29</v>
      </c>
      <c r="I99" s="1" t="s">
        <v>37</v>
      </c>
    </row>
    <row r="100" spans="1:9">
      <c r="A100" s="1" t="s">
        <v>450</v>
      </c>
      <c r="B100" s="8" t="s">
        <v>451</v>
      </c>
      <c r="C100" s="1">
        <v>12</v>
      </c>
      <c r="D100" s="1">
        <f t="shared" si="3"/>
        <v>9</v>
      </c>
      <c r="E100" s="15">
        <f t="shared" si="4"/>
        <v>3</v>
      </c>
      <c r="F100" s="1" t="s">
        <v>27</v>
      </c>
      <c r="G100" s="8" t="s">
        <v>452</v>
      </c>
      <c r="H100" s="1" t="s">
        <v>89</v>
      </c>
      <c r="I100" s="1" t="s">
        <v>30</v>
      </c>
    </row>
    <row r="101" spans="1:9">
      <c r="A101" s="1" t="s">
        <v>453</v>
      </c>
      <c r="B101" s="8" t="s">
        <v>454</v>
      </c>
      <c r="C101" s="1">
        <v>20</v>
      </c>
      <c r="D101" s="1">
        <f t="shared" si="3"/>
        <v>2</v>
      </c>
      <c r="E101" s="15">
        <f t="shared" si="4"/>
        <v>6</v>
      </c>
      <c r="F101" s="1" t="s">
        <v>27</v>
      </c>
      <c r="G101" s="8" t="s">
        <v>455</v>
      </c>
      <c r="H101" s="1" t="s">
        <v>29</v>
      </c>
      <c r="I101" s="1" t="s">
        <v>37</v>
      </c>
    </row>
    <row r="102" spans="1:9">
      <c r="A102" s="1" t="s">
        <v>456</v>
      </c>
      <c r="B102" s="8" t="s">
        <v>457</v>
      </c>
      <c r="C102" s="1">
        <v>12</v>
      </c>
      <c r="D102" s="1">
        <f t="shared" si="3"/>
        <v>9</v>
      </c>
      <c r="E102" s="15">
        <f t="shared" si="4"/>
        <v>3</v>
      </c>
      <c r="F102" s="1" t="s">
        <v>27</v>
      </c>
      <c r="G102" s="8" t="s">
        <v>458</v>
      </c>
      <c r="H102" s="1" t="s">
        <v>89</v>
      </c>
      <c r="I102" s="1" t="s">
        <v>30</v>
      </c>
    </row>
    <row r="103" spans="1:9">
      <c r="A103" s="1" t="s">
        <v>459</v>
      </c>
      <c r="B103" s="8" t="s">
        <v>460</v>
      </c>
      <c r="C103" s="1">
        <v>12</v>
      </c>
      <c r="D103" s="1">
        <f t="shared" si="3"/>
        <v>9</v>
      </c>
      <c r="E103" s="15">
        <f t="shared" si="4"/>
        <v>3</v>
      </c>
      <c r="F103" s="1" t="s">
        <v>27</v>
      </c>
      <c r="G103" s="8" t="s">
        <v>461</v>
      </c>
      <c r="H103" s="1" t="s">
        <v>89</v>
      </c>
      <c r="I103" s="1" t="s">
        <v>30</v>
      </c>
    </row>
    <row r="104" spans="1:9">
      <c r="A104" s="1" t="s">
        <v>462</v>
      </c>
      <c r="B104" s="8" t="s">
        <v>463</v>
      </c>
      <c r="C104" s="1">
        <v>20</v>
      </c>
      <c r="D104" s="1">
        <f t="shared" si="3"/>
        <v>2</v>
      </c>
      <c r="E104" s="15">
        <f t="shared" si="4"/>
        <v>6</v>
      </c>
      <c r="F104" s="1" t="s">
        <v>27</v>
      </c>
      <c r="G104" s="8" t="s">
        <v>464</v>
      </c>
      <c r="H104" s="1" t="s">
        <v>29</v>
      </c>
      <c r="I104" s="1" t="s">
        <v>37</v>
      </c>
    </row>
    <row r="105" spans="1:9">
      <c r="A105" s="1" t="s">
        <v>465</v>
      </c>
      <c r="B105" s="8" t="s">
        <v>466</v>
      </c>
      <c r="C105" s="1">
        <v>40</v>
      </c>
      <c r="D105" s="1">
        <f t="shared" si="3"/>
        <v>4</v>
      </c>
      <c r="E105" s="15">
        <f t="shared" si="4"/>
        <v>12</v>
      </c>
      <c r="F105" s="1" t="s">
        <v>27</v>
      </c>
      <c r="G105" s="8" t="s">
        <v>467</v>
      </c>
      <c r="H105" s="1" t="s">
        <v>29</v>
      </c>
      <c r="I105" s="1" t="s">
        <v>37</v>
      </c>
    </row>
    <row r="106" spans="1:9">
      <c r="A106" s="1" t="s">
        <v>468</v>
      </c>
      <c r="B106" s="8" t="s">
        <v>469</v>
      </c>
      <c r="C106" s="1">
        <v>12</v>
      </c>
      <c r="D106" s="1">
        <f t="shared" si="3"/>
        <v>9</v>
      </c>
      <c r="E106" s="15">
        <f t="shared" si="4"/>
        <v>3</v>
      </c>
      <c r="F106" s="1" t="s">
        <v>415</v>
      </c>
      <c r="G106" s="8" t="s">
        <v>470</v>
      </c>
      <c r="H106" s="1" t="s">
        <v>89</v>
      </c>
      <c r="I106" s="1" t="s">
        <v>30</v>
      </c>
    </row>
    <row r="107" spans="1:9">
      <c r="A107" s="1" t="s">
        <v>471</v>
      </c>
      <c r="B107" s="8" t="s">
        <v>472</v>
      </c>
      <c r="C107" s="1">
        <v>20</v>
      </c>
      <c r="D107" s="1">
        <f t="shared" si="3"/>
        <v>2</v>
      </c>
      <c r="E107" s="15">
        <f t="shared" si="4"/>
        <v>6</v>
      </c>
      <c r="F107" s="1" t="s">
        <v>27</v>
      </c>
      <c r="G107" s="8" t="s">
        <v>473</v>
      </c>
      <c r="H107" s="1" t="s">
        <v>474</v>
      </c>
      <c r="I107" s="1" t="s">
        <v>37</v>
      </c>
    </row>
    <row r="108" spans="1:9">
      <c r="A108" s="1" t="s">
        <v>475</v>
      </c>
      <c r="B108" s="8" t="s">
        <v>476</v>
      </c>
      <c r="C108" s="1">
        <v>40</v>
      </c>
      <c r="D108" s="1">
        <f t="shared" si="3"/>
        <v>4</v>
      </c>
      <c r="E108" s="15">
        <f t="shared" si="4"/>
        <v>12</v>
      </c>
      <c r="F108" s="1" t="s">
        <v>27</v>
      </c>
      <c r="G108" s="8" t="s">
        <v>477</v>
      </c>
      <c r="H108" s="1" t="s">
        <v>29</v>
      </c>
      <c r="I108" s="1" t="s">
        <v>37</v>
      </c>
    </row>
    <row r="109" spans="1:9">
      <c r="A109" s="1" t="s">
        <v>478</v>
      </c>
      <c r="B109" s="8" t="s">
        <v>479</v>
      </c>
      <c r="C109" s="1">
        <v>40</v>
      </c>
      <c r="D109" s="1">
        <f t="shared" si="3"/>
        <v>4</v>
      </c>
      <c r="E109" s="15">
        <f t="shared" si="4"/>
        <v>12</v>
      </c>
      <c r="F109" s="1" t="s">
        <v>27</v>
      </c>
      <c r="G109" s="8" t="s">
        <v>480</v>
      </c>
      <c r="H109" s="1" t="s">
        <v>29</v>
      </c>
      <c r="I109" s="1" t="s">
        <v>37</v>
      </c>
    </row>
    <row r="110" spans="1:9">
      <c r="A110" s="1" t="s">
        <v>481</v>
      </c>
      <c r="B110" s="8" t="s">
        <v>482</v>
      </c>
      <c r="C110" s="1">
        <v>40</v>
      </c>
      <c r="D110" s="1">
        <f t="shared" si="3"/>
        <v>4</v>
      </c>
      <c r="E110" s="15">
        <f t="shared" si="4"/>
        <v>12</v>
      </c>
      <c r="F110" s="1" t="s">
        <v>27</v>
      </c>
      <c r="G110" s="8" t="s">
        <v>483</v>
      </c>
      <c r="H110" s="1" t="s">
        <v>29</v>
      </c>
      <c r="I110" s="1" t="s">
        <v>37</v>
      </c>
    </row>
    <row r="111" spans="1:9">
      <c r="A111" s="1" t="s">
        <v>484</v>
      </c>
      <c r="B111" s="8" t="s">
        <v>485</v>
      </c>
      <c r="C111" s="1">
        <v>20</v>
      </c>
      <c r="D111" s="1">
        <f t="shared" si="3"/>
        <v>2</v>
      </c>
      <c r="E111" s="15">
        <f t="shared" si="4"/>
        <v>6</v>
      </c>
      <c r="F111" s="1" t="s">
        <v>27</v>
      </c>
      <c r="G111" s="8" t="s">
        <v>486</v>
      </c>
      <c r="H111" s="1" t="s">
        <v>29</v>
      </c>
      <c r="I111" s="1" t="s">
        <v>37</v>
      </c>
    </row>
    <row r="112" spans="1:9">
      <c r="A112" s="1" t="s">
        <v>487</v>
      </c>
      <c r="B112" s="8" t="s">
        <v>488</v>
      </c>
      <c r="C112" s="1">
        <v>20</v>
      </c>
      <c r="D112" s="1">
        <f t="shared" si="3"/>
        <v>2</v>
      </c>
      <c r="E112" s="15">
        <f t="shared" si="4"/>
        <v>6</v>
      </c>
      <c r="F112" s="1" t="s">
        <v>27</v>
      </c>
      <c r="G112" s="8" t="s">
        <v>489</v>
      </c>
      <c r="H112" s="1" t="s">
        <v>29</v>
      </c>
      <c r="I112" s="1" t="s">
        <v>37</v>
      </c>
    </row>
    <row r="113" spans="1:9">
      <c r="A113" s="1" t="s">
        <v>490</v>
      </c>
      <c r="B113" s="8" t="s">
        <v>491</v>
      </c>
      <c r="C113" s="1">
        <v>20</v>
      </c>
      <c r="D113" s="1">
        <f t="shared" si="3"/>
        <v>2</v>
      </c>
      <c r="E113" s="15">
        <f t="shared" si="4"/>
        <v>6</v>
      </c>
      <c r="F113" s="1" t="s">
        <v>27</v>
      </c>
      <c r="G113" s="8" t="s">
        <v>492</v>
      </c>
      <c r="H113" s="1" t="s">
        <v>29</v>
      </c>
      <c r="I113" s="1" t="s">
        <v>37</v>
      </c>
    </row>
    <row r="114" spans="1:9">
      <c r="A114" s="1" t="s">
        <v>493</v>
      </c>
      <c r="B114" s="8" t="s">
        <v>494</v>
      </c>
      <c r="C114" s="1">
        <v>20</v>
      </c>
      <c r="D114" s="1">
        <f t="shared" si="3"/>
        <v>2</v>
      </c>
      <c r="E114" s="15">
        <f t="shared" si="4"/>
        <v>6</v>
      </c>
      <c r="F114" s="1" t="s">
        <v>27</v>
      </c>
      <c r="G114" s="8" t="s">
        <v>495</v>
      </c>
      <c r="H114" s="1" t="s">
        <v>29</v>
      </c>
      <c r="I114" s="1" t="s">
        <v>37</v>
      </c>
    </row>
    <row r="115" spans="1:9">
      <c r="A115" s="1" t="s">
        <v>496</v>
      </c>
      <c r="B115" s="8" t="s">
        <v>497</v>
      </c>
      <c r="C115" s="1">
        <v>20</v>
      </c>
      <c r="D115" s="1">
        <f t="shared" si="3"/>
        <v>2</v>
      </c>
      <c r="E115" s="15">
        <f t="shared" si="4"/>
        <v>6</v>
      </c>
      <c r="F115" s="1" t="s">
        <v>27</v>
      </c>
      <c r="G115" s="8" t="s">
        <v>498</v>
      </c>
      <c r="H115" s="1" t="s">
        <v>29</v>
      </c>
      <c r="I115" s="1" t="s">
        <v>37</v>
      </c>
    </row>
    <row r="116" spans="1:9">
      <c r="A116" s="1" t="s">
        <v>499</v>
      </c>
      <c r="B116" s="8" t="s">
        <v>500</v>
      </c>
      <c r="C116" s="1">
        <v>20</v>
      </c>
      <c r="D116" s="1">
        <f t="shared" si="3"/>
        <v>2</v>
      </c>
      <c r="E116" s="15">
        <f t="shared" si="4"/>
        <v>6</v>
      </c>
      <c r="F116" s="1" t="s">
        <v>27</v>
      </c>
      <c r="G116" s="8" t="s">
        <v>501</v>
      </c>
      <c r="H116" s="1" t="s">
        <v>29</v>
      </c>
      <c r="I116" s="1" t="s">
        <v>37</v>
      </c>
    </row>
    <row r="117" spans="1:9">
      <c r="A117" s="1" t="s">
        <v>502</v>
      </c>
      <c r="B117" s="8" t="s">
        <v>503</v>
      </c>
      <c r="C117" s="1">
        <v>20</v>
      </c>
      <c r="D117" s="1">
        <f t="shared" si="3"/>
        <v>2</v>
      </c>
      <c r="E117" s="15">
        <f t="shared" si="4"/>
        <v>6</v>
      </c>
      <c r="F117" s="1" t="s">
        <v>27</v>
      </c>
      <c r="G117" s="8" t="s">
        <v>504</v>
      </c>
      <c r="H117" s="1" t="s">
        <v>29</v>
      </c>
      <c r="I117" s="1" t="s">
        <v>37</v>
      </c>
    </row>
    <row r="118" spans="1:9">
      <c r="A118" s="1" t="s">
        <v>505</v>
      </c>
      <c r="B118" s="8" t="s">
        <v>506</v>
      </c>
      <c r="C118" s="1">
        <v>12</v>
      </c>
      <c r="D118" s="1">
        <f t="shared" si="3"/>
        <v>9</v>
      </c>
      <c r="E118" s="15">
        <f t="shared" si="4"/>
        <v>3</v>
      </c>
      <c r="F118" s="1" t="s">
        <v>27</v>
      </c>
      <c r="G118" s="8" t="s">
        <v>507</v>
      </c>
      <c r="H118" s="1" t="s">
        <v>89</v>
      </c>
      <c r="I118" s="1" t="s">
        <v>30</v>
      </c>
    </row>
    <row r="119" spans="1:9">
      <c r="A119" s="1" t="s">
        <v>508</v>
      </c>
      <c r="B119" s="8" t="s">
        <v>509</v>
      </c>
      <c r="C119" s="1">
        <v>20</v>
      </c>
      <c r="D119" s="1">
        <f t="shared" si="3"/>
        <v>2</v>
      </c>
      <c r="E119" s="15">
        <f t="shared" si="4"/>
        <v>6</v>
      </c>
      <c r="F119" s="1" t="s">
        <v>27</v>
      </c>
      <c r="G119" s="8" t="s">
        <v>510</v>
      </c>
      <c r="H119" s="1" t="s">
        <v>29</v>
      </c>
      <c r="I119" s="1" t="s">
        <v>37</v>
      </c>
    </row>
    <row r="120" spans="1:9">
      <c r="A120" s="1" t="s">
        <v>511</v>
      </c>
      <c r="B120" s="8" t="s">
        <v>512</v>
      </c>
      <c r="C120" s="1">
        <v>20</v>
      </c>
      <c r="D120" s="1">
        <f t="shared" si="3"/>
        <v>2</v>
      </c>
      <c r="E120" s="15">
        <f t="shared" si="4"/>
        <v>6</v>
      </c>
      <c r="F120" s="1" t="s">
        <v>27</v>
      </c>
      <c r="G120" s="8" t="s">
        <v>513</v>
      </c>
      <c r="H120" s="1" t="s">
        <v>29</v>
      </c>
      <c r="I120" s="1" t="s">
        <v>37</v>
      </c>
    </row>
    <row r="121" spans="1:9">
      <c r="A121" s="1" t="s">
        <v>514</v>
      </c>
      <c r="B121" s="8" t="s">
        <v>515</v>
      </c>
      <c r="C121" s="1">
        <v>20</v>
      </c>
      <c r="D121" s="1">
        <f t="shared" si="3"/>
        <v>2</v>
      </c>
      <c r="E121" s="15">
        <f t="shared" si="4"/>
        <v>6</v>
      </c>
      <c r="F121" s="1" t="s">
        <v>323</v>
      </c>
      <c r="G121" s="8" t="s">
        <v>516</v>
      </c>
      <c r="H121" s="1" t="s">
        <v>29</v>
      </c>
      <c r="I121" s="1" t="s">
        <v>37</v>
      </c>
    </row>
    <row r="122" spans="1:9">
      <c r="A122" s="1" t="s">
        <v>517</v>
      </c>
      <c r="B122" s="8" t="s">
        <v>518</v>
      </c>
      <c r="C122" s="1">
        <v>20</v>
      </c>
      <c r="D122" s="1">
        <f t="shared" si="3"/>
        <v>2</v>
      </c>
      <c r="E122" s="15">
        <f t="shared" si="4"/>
        <v>6</v>
      </c>
      <c r="F122" s="1" t="s">
        <v>27</v>
      </c>
      <c r="G122" s="8" t="s">
        <v>519</v>
      </c>
      <c r="H122" s="1" t="s">
        <v>29</v>
      </c>
      <c r="I122" s="1" t="s">
        <v>37</v>
      </c>
    </row>
    <row r="123" spans="1:9">
      <c r="A123" s="1" t="s">
        <v>520</v>
      </c>
      <c r="B123" s="8" t="s">
        <v>521</v>
      </c>
      <c r="C123" s="1">
        <v>40</v>
      </c>
      <c r="D123" s="1">
        <f t="shared" si="3"/>
        <v>4</v>
      </c>
      <c r="E123" s="15">
        <f t="shared" si="4"/>
        <v>12</v>
      </c>
      <c r="F123" s="1" t="s">
        <v>27</v>
      </c>
      <c r="G123" s="8" t="s">
        <v>522</v>
      </c>
      <c r="H123" s="1" t="s">
        <v>29</v>
      </c>
      <c r="I123" s="1" t="s">
        <v>37</v>
      </c>
    </row>
    <row r="124" spans="1:9">
      <c r="A124" s="1" t="s">
        <v>523</v>
      </c>
      <c r="B124" s="8" t="s">
        <v>524</v>
      </c>
      <c r="C124" s="1">
        <v>20</v>
      </c>
      <c r="D124" s="1">
        <f t="shared" si="3"/>
        <v>2</v>
      </c>
      <c r="E124" s="15">
        <f t="shared" si="4"/>
        <v>6</v>
      </c>
      <c r="F124" s="1" t="s">
        <v>27</v>
      </c>
      <c r="G124" s="8" t="s">
        <v>525</v>
      </c>
      <c r="H124" s="1" t="s">
        <v>29</v>
      </c>
      <c r="I124" s="1" t="s">
        <v>37</v>
      </c>
    </row>
    <row r="125" spans="1:9">
      <c r="A125" s="1" t="s">
        <v>526</v>
      </c>
      <c r="B125" s="8" t="s">
        <v>527</v>
      </c>
      <c r="C125" s="1">
        <v>40</v>
      </c>
      <c r="D125" s="1">
        <f t="shared" si="3"/>
        <v>20</v>
      </c>
      <c r="E125" s="15">
        <f t="shared" si="4"/>
        <v>20</v>
      </c>
      <c r="F125" s="1" t="s">
        <v>27</v>
      </c>
      <c r="G125" s="8" t="s">
        <v>528</v>
      </c>
      <c r="H125" s="1" t="s">
        <v>89</v>
      </c>
      <c r="I125" s="1" t="s">
        <v>30</v>
      </c>
    </row>
    <row r="126" spans="1:9">
      <c r="A126" s="1" t="s">
        <v>529</v>
      </c>
      <c r="B126" s="8" t="s">
        <v>530</v>
      </c>
      <c r="C126" s="1">
        <v>12</v>
      </c>
      <c r="D126" s="1">
        <f t="shared" si="3"/>
        <v>9</v>
      </c>
      <c r="E126" s="15">
        <f t="shared" si="4"/>
        <v>3</v>
      </c>
      <c r="F126" s="1" t="s">
        <v>27</v>
      </c>
      <c r="G126" s="8" t="s">
        <v>531</v>
      </c>
      <c r="H126" s="1" t="s">
        <v>89</v>
      </c>
      <c r="I126" s="1" t="s">
        <v>30</v>
      </c>
    </row>
    <row r="127" spans="1:9">
      <c r="A127" s="1" t="s">
        <v>532</v>
      </c>
      <c r="B127" s="8" t="s">
        <v>533</v>
      </c>
      <c r="C127" s="1">
        <v>40</v>
      </c>
      <c r="D127" s="1">
        <f t="shared" si="3"/>
        <v>4</v>
      </c>
      <c r="E127" s="15">
        <f t="shared" si="4"/>
        <v>12</v>
      </c>
      <c r="F127" s="1" t="s">
        <v>323</v>
      </c>
      <c r="G127" s="8" t="s">
        <v>534</v>
      </c>
      <c r="H127" s="1" t="s">
        <v>29</v>
      </c>
      <c r="I127" s="1" t="s">
        <v>37</v>
      </c>
    </row>
    <row r="128" spans="1:9">
      <c r="A128" s="1" t="s">
        <v>535</v>
      </c>
      <c r="B128" s="8" t="s">
        <v>536</v>
      </c>
      <c r="C128" s="1">
        <v>20</v>
      </c>
      <c r="D128" s="1">
        <f t="shared" si="3"/>
        <v>2</v>
      </c>
      <c r="E128" s="15">
        <f t="shared" si="4"/>
        <v>6</v>
      </c>
      <c r="F128" s="1" t="s">
        <v>27</v>
      </c>
      <c r="G128" s="8" t="s">
        <v>537</v>
      </c>
      <c r="H128" s="1" t="s">
        <v>29</v>
      </c>
      <c r="I128" s="1" t="s">
        <v>37</v>
      </c>
    </row>
    <row r="129" spans="1:9">
      <c r="A129" s="1" t="s">
        <v>538</v>
      </c>
      <c r="B129" s="8" t="s">
        <v>539</v>
      </c>
      <c r="C129" s="1">
        <v>20</v>
      </c>
      <c r="D129" s="1">
        <f t="shared" si="3"/>
        <v>2</v>
      </c>
      <c r="E129" s="15">
        <f t="shared" si="4"/>
        <v>6</v>
      </c>
      <c r="F129" s="1" t="s">
        <v>172</v>
      </c>
      <c r="G129" s="8" t="s">
        <v>540</v>
      </c>
      <c r="H129" s="1" t="s">
        <v>29</v>
      </c>
      <c r="I129" s="1" t="s">
        <v>37</v>
      </c>
    </row>
    <row r="130" spans="1:9">
      <c r="A130" s="1" t="s">
        <v>541</v>
      </c>
      <c r="B130" s="8" t="s">
        <v>542</v>
      </c>
      <c r="C130" s="1">
        <v>20</v>
      </c>
      <c r="D130" s="1">
        <f t="shared" si="3"/>
        <v>2</v>
      </c>
      <c r="E130" s="15">
        <f t="shared" si="4"/>
        <v>6</v>
      </c>
      <c r="F130" s="1" t="s">
        <v>27</v>
      </c>
      <c r="G130" s="8" t="s">
        <v>543</v>
      </c>
      <c r="H130" s="1" t="s">
        <v>29</v>
      </c>
      <c r="I130" s="1" t="s">
        <v>37</v>
      </c>
    </row>
    <row r="131" spans="1:9">
      <c r="A131" s="1" t="s">
        <v>544</v>
      </c>
      <c r="B131" s="8" t="s">
        <v>545</v>
      </c>
      <c r="C131" s="1">
        <v>40</v>
      </c>
      <c r="D131" s="1">
        <f t="shared" si="3"/>
        <v>4</v>
      </c>
      <c r="E131" s="15">
        <f t="shared" si="4"/>
        <v>12</v>
      </c>
      <c r="F131" s="1" t="s">
        <v>27</v>
      </c>
      <c r="G131" s="8" t="s">
        <v>546</v>
      </c>
      <c r="H131" s="1" t="s">
        <v>29</v>
      </c>
      <c r="I131" s="1" t="s">
        <v>37</v>
      </c>
    </row>
    <row r="132" spans="1:9">
      <c r="A132" s="1" t="s">
        <v>547</v>
      </c>
      <c r="B132" s="8" t="s">
        <v>548</v>
      </c>
      <c r="C132" s="1">
        <v>40</v>
      </c>
      <c r="D132" s="1">
        <f t="shared" ref="D132:D180" si="5">IF(I132="PROFESSOR REGENTE",IF(C132=40,C132*0.5,IF(C132&gt;11,C132*0.75,C132)),IF(I132="PROFESSOR DE ENSINO SUPERIOR EAD",IF(C132=40,4,2),0))</f>
        <v>4</v>
      </c>
      <c r="E132" s="15">
        <f t="shared" ref="E132:E180" si="6">IF(OR(I132="PROFESSOR REGENTE",I132="PROFESSOR DE ENSINO SUPERIOR PRESENCIAL"),C132-D132,IF(C132=40,12,6))</f>
        <v>12</v>
      </c>
      <c r="F132" s="1" t="s">
        <v>27</v>
      </c>
      <c r="G132" s="8" t="s">
        <v>549</v>
      </c>
      <c r="H132" s="1" t="s">
        <v>29</v>
      </c>
      <c r="I132" s="1" t="s">
        <v>37</v>
      </c>
    </row>
    <row r="133" spans="1:9">
      <c r="A133" s="1" t="s">
        <v>550</v>
      </c>
      <c r="B133" s="8" t="s">
        <v>551</v>
      </c>
      <c r="C133" s="1">
        <v>40</v>
      </c>
      <c r="D133" s="1">
        <f t="shared" si="5"/>
        <v>4</v>
      </c>
      <c r="E133" s="15">
        <f t="shared" si="6"/>
        <v>12</v>
      </c>
      <c r="F133" s="1" t="s">
        <v>27</v>
      </c>
      <c r="G133" s="8" t="s">
        <v>552</v>
      </c>
      <c r="H133" s="1" t="s">
        <v>29</v>
      </c>
      <c r="I133" s="1" t="s">
        <v>37</v>
      </c>
    </row>
    <row r="134" spans="1:9">
      <c r="A134" s="1" t="s">
        <v>553</v>
      </c>
      <c r="B134" s="8" t="s">
        <v>554</v>
      </c>
      <c r="C134" s="1">
        <v>40</v>
      </c>
      <c r="D134" s="1">
        <f t="shared" si="5"/>
        <v>4</v>
      </c>
      <c r="E134" s="15">
        <f t="shared" si="6"/>
        <v>12</v>
      </c>
      <c r="F134" s="1" t="s">
        <v>27</v>
      </c>
      <c r="G134" s="8" t="s">
        <v>555</v>
      </c>
      <c r="H134" s="1" t="s">
        <v>29</v>
      </c>
      <c r="I134" s="1" t="s">
        <v>37</v>
      </c>
    </row>
    <row r="135" spans="1:9">
      <c r="A135" s="1" t="s">
        <v>556</v>
      </c>
      <c r="B135" s="8" t="s">
        <v>557</v>
      </c>
      <c r="C135" s="1">
        <v>12</v>
      </c>
      <c r="D135" s="1">
        <f t="shared" si="5"/>
        <v>9</v>
      </c>
      <c r="E135" s="15">
        <f t="shared" si="6"/>
        <v>3</v>
      </c>
      <c r="F135" s="1" t="s">
        <v>27</v>
      </c>
      <c r="G135" s="8" t="s">
        <v>558</v>
      </c>
      <c r="H135" s="1" t="s">
        <v>29</v>
      </c>
      <c r="I135" s="1" t="s">
        <v>30</v>
      </c>
    </row>
    <row r="136" spans="1:9">
      <c r="A136" s="1" t="s">
        <v>559</v>
      </c>
      <c r="B136" s="8" t="s">
        <v>560</v>
      </c>
      <c r="C136" s="1">
        <v>12</v>
      </c>
      <c r="D136" s="1">
        <f t="shared" si="5"/>
        <v>9</v>
      </c>
      <c r="E136" s="15">
        <f t="shared" si="6"/>
        <v>3</v>
      </c>
      <c r="F136" s="1" t="s">
        <v>27</v>
      </c>
      <c r="G136" s="8">
        <v>42451307846</v>
      </c>
      <c r="H136" s="1" t="s">
        <v>29</v>
      </c>
      <c r="I136" s="1" t="s">
        <v>30</v>
      </c>
    </row>
    <row r="137" spans="1:9">
      <c r="A137" s="1" t="s">
        <v>561</v>
      </c>
      <c r="B137" s="8" t="s">
        <v>562</v>
      </c>
      <c r="C137" s="1">
        <v>12</v>
      </c>
      <c r="D137" s="1">
        <f t="shared" si="5"/>
        <v>9</v>
      </c>
      <c r="E137" s="15">
        <f t="shared" si="6"/>
        <v>3</v>
      </c>
      <c r="F137" s="1" t="s">
        <v>27</v>
      </c>
      <c r="G137" s="8">
        <v>10252115961</v>
      </c>
      <c r="H137" s="1" t="s">
        <v>29</v>
      </c>
      <c r="I137" s="1" t="s">
        <v>30</v>
      </c>
    </row>
    <row r="138" spans="1:9">
      <c r="A138" s="1" t="s">
        <v>563</v>
      </c>
      <c r="B138" s="8" t="s">
        <v>564</v>
      </c>
      <c r="C138" s="1">
        <v>12</v>
      </c>
      <c r="D138" s="1">
        <f t="shared" si="5"/>
        <v>9</v>
      </c>
      <c r="E138" s="15">
        <f t="shared" si="6"/>
        <v>3</v>
      </c>
      <c r="F138" s="1" t="s">
        <v>27</v>
      </c>
      <c r="G138" s="8" t="s">
        <v>565</v>
      </c>
      <c r="H138" s="1" t="s">
        <v>29</v>
      </c>
      <c r="I138" s="1" t="s">
        <v>30</v>
      </c>
    </row>
    <row r="139" spans="1:9">
      <c r="A139" s="1" t="s">
        <v>566</v>
      </c>
      <c r="B139" s="8" t="s">
        <v>567</v>
      </c>
      <c r="C139" s="1">
        <v>12</v>
      </c>
      <c r="D139" s="1">
        <f t="shared" si="5"/>
        <v>9</v>
      </c>
      <c r="E139" s="15">
        <f t="shared" si="6"/>
        <v>3</v>
      </c>
      <c r="F139" s="1" t="s">
        <v>27</v>
      </c>
      <c r="G139" s="8" t="s">
        <v>568</v>
      </c>
      <c r="H139" s="1" t="s">
        <v>29</v>
      </c>
      <c r="I139" s="1" t="s">
        <v>30</v>
      </c>
    </row>
    <row r="140" spans="1:9">
      <c r="A140" s="1" t="s">
        <v>569</v>
      </c>
      <c r="B140" s="8" t="s">
        <v>570</v>
      </c>
      <c r="C140" s="1">
        <v>12</v>
      </c>
      <c r="D140" s="1">
        <f t="shared" si="5"/>
        <v>9</v>
      </c>
      <c r="E140" s="15">
        <f t="shared" si="6"/>
        <v>3</v>
      </c>
      <c r="F140" s="1" t="s">
        <v>27</v>
      </c>
      <c r="G140" s="8" t="s">
        <v>571</v>
      </c>
      <c r="H140" s="1" t="s">
        <v>29</v>
      </c>
      <c r="I140" s="1" t="s">
        <v>30</v>
      </c>
    </row>
    <row r="141" spans="1:9">
      <c r="A141" s="1" t="s">
        <v>572</v>
      </c>
      <c r="B141" s="8" t="s">
        <v>573</v>
      </c>
      <c r="C141" s="1">
        <v>12</v>
      </c>
      <c r="D141" s="1">
        <f t="shared" si="5"/>
        <v>9</v>
      </c>
      <c r="E141" s="15">
        <f t="shared" si="6"/>
        <v>3</v>
      </c>
      <c r="F141" s="1" t="s">
        <v>27</v>
      </c>
      <c r="G141" s="8">
        <v>31705859836</v>
      </c>
      <c r="H141" s="1" t="s">
        <v>29</v>
      </c>
      <c r="I141" s="1" t="s">
        <v>30</v>
      </c>
    </row>
    <row r="142" spans="1:9">
      <c r="A142" s="1" t="s">
        <v>574</v>
      </c>
      <c r="B142" s="8" t="s">
        <v>575</v>
      </c>
      <c r="C142" s="1">
        <v>12</v>
      </c>
      <c r="D142" s="1">
        <f t="shared" si="5"/>
        <v>9</v>
      </c>
      <c r="E142" s="15">
        <f t="shared" si="6"/>
        <v>3</v>
      </c>
      <c r="F142" s="1" t="s">
        <v>27</v>
      </c>
      <c r="G142" s="8" t="s">
        <v>576</v>
      </c>
      <c r="H142" s="1" t="s">
        <v>29</v>
      </c>
      <c r="I142" s="1" t="s">
        <v>30</v>
      </c>
    </row>
    <row r="143" spans="1:9">
      <c r="A143" s="1" t="s">
        <v>577</v>
      </c>
      <c r="B143" s="8" t="s">
        <v>578</v>
      </c>
      <c r="C143" s="1">
        <v>12</v>
      </c>
      <c r="D143" s="1">
        <f t="shared" si="5"/>
        <v>9</v>
      </c>
      <c r="E143" s="15">
        <f t="shared" si="6"/>
        <v>3</v>
      </c>
      <c r="F143" s="1" t="s">
        <v>27</v>
      </c>
      <c r="G143" s="8" t="s">
        <v>579</v>
      </c>
      <c r="H143" s="1" t="s">
        <v>29</v>
      </c>
      <c r="I143" s="1" t="s">
        <v>30</v>
      </c>
    </row>
    <row r="144" spans="1:9">
      <c r="A144" s="1" t="s">
        <v>580</v>
      </c>
      <c r="B144" s="8" t="s">
        <v>581</v>
      </c>
      <c r="C144" s="1">
        <v>12</v>
      </c>
      <c r="D144" s="1">
        <f t="shared" si="5"/>
        <v>9</v>
      </c>
      <c r="E144" s="15">
        <f t="shared" si="6"/>
        <v>3</v>
      </c>
      <c r="F144" s="1" t="s">
        <v>27</v>
      </c>
      <c r="G144" s="8">
        <v>16043449706</v>
      </c>
      <c r="H144" s="1" t="s">
        <v>29</v>
      </c>
      <c r="I144" s="1" t="s">
        <v>30</v>
      </c>
    </row>
    <row r="145" spans="1:9">
      <c r="A145" s="1" t="s">
        <v>582</v>
      </c>
      <c r="B145" s="8" t="s">
        <v>583</v>
      </c>
      <c r="C145" s="1">
        <v>12</v>
      </c>
      <c r="D145" s="1">
        <f t="shared" si="5"/>
        <v>9</v>
      </c>
      <c r="E145" s="15">
        <f t="shared" si="6"/>
        <v>3</v>
      </c>
      <c r="F145" s="1" t="s">
        <v>27</v>
      </c>
      <c r="G145" s="8">
        <v>35493802830</v>
      </c>
      <c r="H145" s="1" t="s">
        <v>29</v>
      </c>
      <c r="I145" s="1" t="s">
        <v>30</v>
      </c>
    </row>
    <row r="146" spans="1:9">
      <c r="A146" s="1" t="s">
        <v>584</v>
      </c>
      <c r="B146" s="8" t="s">
        <v>585</v>
      </c>
      <c r="C146" s="1">
        <v>12</v>
      </c>
      <c r="D146" s="1">
        <f t="shared" si="5"/>
        <v>9</v>
      </c>
      <c r="E146" s="15">
        <f t="shared" si="6"/>
        <v>3</v>
      </c>
      <c r="F146" s="1" t="s">
        <v>27</v>
      </c>
      <c r="G146" s="8" t="s">
        <v>586</v>
      </c>
      <c r="H146" s="1" t="s">
        <v>29</v>
      </c>
      <c r="I146" s="1" t="s">
        <v>30</v>
      </c>
    </row>
    <row r="147" spans="1:9">
      <c r="A147" s="9" t="s">
        <v>587</v>
      </c>
      <c r="B147" s="11" t="s">
        <v>588</v>
      </c>
      <c r="C147" s="9">
        <v>12</v>
      </c>
      <c r="D147" s="1">
        <f t="shared" si="5"/>
        <v>9</v>
      </c>
      <c r="E147" s="15">
        <f t="shared" si="6"/>
        <v>3</v>
      </c>
      <c r="F147" s="9" t="s">
        <v>27</v>
      </c>
      <c r="G147" s="7" t="s">
        <v>589</v>
      </c>
      <c r="H147" s="10" t="s">
        <v>29</v>
      </c>
      <c r="I147" s="10" t="s">
        <v>30</v>
      </c>
    </row>
    <row r="148" spans="1:9">
      <c r="A148" s="9" t="s">
        <v>590</v>
      </c>
      <c r="B148" s="11" t="s">
        <v>591</v>
      </c>
      <c r="C148" s="9">
        <v>12</v>
      </c>
      <c r="D148" s="1">
        <f t="shared" si="5"/>
        <v>9</v>
      </c>
      <c r="E148" s="15">
        <f t="shared" si="6"/>
        <v>3</v>
      </c>
      <c r="F148" s="9" t="s">
        <v>27</v>
      </c>
      <c r="G148" s="7" t="s">
        <v>592</v>
      </c>
      <c r="H148" s="10" t="s">
        <v>29</v>
      </c>
      <c r="I148" s="10" t="s">
        <v>30</v>
      </c>
    </row>
    <row r="149" spans="1:9">
      <c r="A149" s="9" t="s">
        <v>593</v>
      </c>
      <c r="B149" s="11" t="s">
        <v>594</v>
      </c>
      <c r="C149" s="9">
        <v>12</v>
      </c>
      <c r="D149" s="1">
        <f t="shared" si="5"/>
        <v>9</v>
      </c>
      <c r="E149" s="15">
        <f t="shared" si="6"/>
        <v>3</v>
      </c>
      <c r="F149" s="9" t="s">
        <v>27</v>
      </c>
      <c r="G149" s="7" t="s">
        <v>595</v>
      </c>
      <c r="H149" s="10" t="s">
        <v>29</v>
      </c>
      <c r="I149" s="10" t="s">
        <v>30</v>
      </c>
    </row>
    <row r="150" spans="1:9">
      <c r="A150" s="9" t="s">
        <v>596</v>
      </c>
      <c r="B150" s="11" t="s">
        <v>597</v>
      </c>
      <c r="C150" s="9">
        <v>12</v>
      </c>
      <c r="D150" s="1">
        <f t="shared" si="5"/>
        <v>9</v>
      </c>
      <c r="E150" s="15">
        <f t="shared" si="6"/>
        <v>3</v>
      </c>
      <c r="F150" s="9" t="s">
        <v>27</v>
      </c>
      <c r="G150" s="7" t="s">
        <v>598</v>
      </c>
      <c r="H150" s="10" t="s">
        <v>29</v>
      </c>
      <c r="I150" s="10" t="s">
        <v>30</v>
      </c>
    </row>
    <row r="151" spans="1:9">
      <c r="A151" s="9" t="s">
        <v>599</v>
      </c>
      <c r="B151" s="11" t="s">
        <v>600</v>
      </c>
      <c r="C151" s="9">
        <v>12</v>
      </c>
      <c r="D151" s="1">
        <f t="shared" si="5"/>
        <v>9</v>
      </c>
      <c r="E151" s="15">
        <f t="shared" si="6"/>
        <v>3</v>
      </c>
      <c r="F151" s="9" t="s">
        <v>27</v>
      </c>
      <c r="G151" s="7" t="s">
        <v>601</v>
      </c>
      <c r="H151" s="10" t="s">
        <v>29</v>
      </c>
      <c r="I151" s="10" t="s">
        <v>30</v>
      </c>
    </row>
    <row r="152" spans="1:9">
      <c r="A152" s="9" t="s">
        <v>602</v>
      </c>
      <c r="B152" s="11" t="s">
        <v>603</v>
      </c>
      <c r="C152" s="9">
        <v>12</v>
      </c>
      <c r="D152" s="1">
        <f t="shared" si="5"/>
        <v>9</v>
      </c>
      <c r="E152" s="15">
        <f t="shared" si="6"/>
        <v>3</v>
      </c>
      <c r="F152" s="9" t="s">
        <v>27</v>
      </c>
      <c r="G152" s="7" t="s">
        <v>604</v>
      </c>
      <c r="H152" s="10" t="s">
        <v>29</v>
      </c>
      <c r="I152" s="10" t="s">
        <v>30</v>
      </c>
    </row>
    <row r="153" spans="1:9">
      <c r="A153" s="9" t="s">
        <v>605</v>
      </c>
      <c r="B153" s="11" t="s">
        <v>606</v>
      </c>
      <c r="C153" s="9">
        <v>12</v>
      </c>
      <c r="D153" s="1">
        <f t="shared" si="5"/>
        <v>9</v>
      </c>
      <c r="E153" s="15">
        <f t="shared" si="6"/>
        <v>3</v>
      </c>
      <c r="F153" s="9" t="s">
        <v>27</v>
      </c>
      <c r="G153" s="7" t="s">
        <v>607</v>
      </c>
      <c r="H153" s="10" t="s">
        <v>29</v>
      </c>
      <c r="I153" s="10" t="s">
        <v>30</v>
      </c>
    </row>
    <row r="154" spans="1:9">
      <c r="A154" s="9" t="s">
        <v>608</v>
      </c>
      <c r="B154" s="11" t="s">
        <v>609</v>
      </c>
      <c r="C154" s="9">
        <v>12</v>
      </c>
      <c r="D154" s="1">
        <f t="shared" si="5"/>
        <v>9</v>
      </c>
      <c r="E154" s="15">
        <f t="shared" si="6"/>
        <v>3</v>
      </c>
      <c r="F154" s="9" t="s">
        <v>27</v>
      </c>
      <c r="G154" s="7" t="s">
        <v>610</v>
      </c>
      <c r="H154" s="10" t="s">
        <v>29</v>
      </c>
      <c r="I154" s="10" t="s">
        <v>30</v>
      </c>
    </row>
    <row r="155" spans="1:9">
      <c r="A155" s="9" t="s">
        <v>611</v>
      </c>
      <c r="B155" s="11" t="s">
        <v>612</v>
      </c>
      <c r="C155" s="9">
        <v>12</v>
      </c>
      <c r="D155" s="1">
        <f t="shared" si="5"/>
        <v>9</v>
      </c>
      <c r="E155" s="15">
        <f t="shared" si="6"/>
        <v>3</v>
      </c>
      <c r="F155" s="9" t="s">
        <v>27</v>
      </c>
      <c r="G155" s="7" t="s">
        <v>613</v>
      </c>
      <c r="H155" s="10" t="s">
        <v>29</v>
      </c>
      <c r="I155" s="10" t="s">
        <v>30</v>
      </c>
    </row>
    <row r="156" spans="1:9">
      <c r="A156" s="9" t="s">
        <v>614</v>
      </c>
      <c r="B156" s="11" t="s">
        <v>615</v>
      </c>
      <c r="C156" s="9">
        <v>12</v>
      </c>
      <c r="D156" s="1">
        <f t="shared" si="5"/>
        <v>9</v>
      </c>
      <c r="E156" s="15">
        <f t="shared" si="6"/>
        <v>3</v>
      </c>
      <c r="F156" s="9" t="s">
        <v>27</v>
      </c>
      <c r="G156" s="7" t="s">
        <v>616</v>
      </c>
      <c r="H156" s="10" t="s">
        <v>29</v>
      </c>
      <c r="I156" s="10" t="s">
        <v>30</v>
      </c>
    </row>
    <row r="157" spans="1:9">
      <c r="A157" s="9" t="s">
        <v>617</v>
      </c>
      <c r="B157" s="11" t="s">
        <v>618</v>
      </c>
      <c r="C157" s="9">
        <v>12</v>
      </c>
      <c r="D157" s="1">
        <f t="shared" si="5"/>
        <v>9</v>
      </c>
      <c r="E157" s="15">
        <f t="shared" si="6"/>
        <v>3</v>
      </c>
      <c r="F157" s="9" t="s">
        <v>27</v>
      </c>
      <c r="G157" s="7" t="s">
        <v>619</v>
      </c>
      <c r="H157" s="10" t="s">
        <v>29</v>
      </c>
      <c r="I157" s="10" t="s">
        <v>30</v>
      </c>
    </row>
    <row r="158" spans="1:9">
      <c r="A158" s="9" t="s">
        <v>620</v>
      </c>
      <c r="B158" s="11" t="s">
        <v>621</v>
      </c>
      <c r="C158" s="9">
        <v>12</v>
      </c>
      <c r="D158" s="1">
        <f t="shared" si="5"/>
        <v>9</v>
      </c>
      <c r="E158" s="15">
        <f t="shared" si="6"/>
        <v>3</v>
      </c>
      <c r="F158" s="9" t="s">
        <v>27</v>
      </c>
      <c r="G158" s="7" t="s">
        <v>622</v>
      </c>
      <c r="H158" s="10" t="s">
        <v>29</v>
      </c>
      <c r="I158" s="10" t="s">
        <v>30</v>
      </c>
    </row>
    <row r="159" spans="1:9">
      <c r="A159" s="9" t="s">
        <v>623</v>
      </c>
      <c r="B159" s="11" t="s">
        <v>624</v>
      </c>
      <c r="C159" s="9">
        <v>12</v>
      </c>
      <c r="D159" s="1">
        <f t="shared" si="5"/>
        <v>9</v>
      </c>
      <c r="E159" s="15">
        <f t="shared" si="6"/>
        <v>3</v>
      </c>
      <c r="F159" s="9" t="s">
        <v>27</v>
      </c>
      <c r="G159" s="7" t="s">
        <v>625</v>
      </c>
      <c r="H159" s="10" t="s">
        <v>29</v>
      </c>
      <c r="I159" s="10" t="s">
        <v>30</v>
      </c>
    </row>
    <row r="160" spans="1:9">
      <c r="A160" s="9" t="s">
        <v>626</v>
      </c>
      <c r="B160" s="11" t="s">
        <v>627</v>
      </c>
      <c r="C160" s="9">
        <v>12</v>
      </c>
      <c r="D160" s="1">
        <f t="shared" si="5"/>
        <v>9</v>
      </c>
      <c r="E160" s="15">
        <f t="shared" si="6"/>
        <v>3</v>
      </c>
      <c r="F160" s="9" t="s">
        <v>27</v>
      </c>
      <c r="G160" s="7" t="s">
        <v>628</v>
      </c>
      <c r="H160" s="10" t="s">
        <v>29</v>
      </c>
      <c r="I160" s="10" t="s">
        <v>30</v>
      </c>
    </row>
    <row r="161" spans="1:9">
      <c r="A161" s="9" t="s">
        <v>629</v>
      </c>
      <c r="B161" s="11" t="s">
        <v>630</v>
      </c>
      <c r="C161" s="9">
        <v>12</v>
      </c>
      <c r="D161" s="1">
        <f t="shared" si="5"/>
        <v>9</v>
      </c>
      <c r="E161" s="15">
        <f t="shared" si="6"/>
        <v>3</v>
      </c>
      <c r="F161" s="9" t="s">
        <v>27</v>
      </c>
      <c r="G161" s="7" t="s">
        <v>631</v>
      </c>
      <c r="H161" s="10" t="s">
        <v>29</v>
      </c>
      <c r="I161" s="10" t="s">
        <v>30</v>
      </c>
    </row>
    <row r="162" spans="1:9">
      <c r="A162" s="9" t="s">
        <v>632</v>
      </c>
      <c r="B162" s="11" t="s">
        <v>633</v>
      </c>
      <c r="C162" s="9">
        <v>12</v>
      </c>
      <c r="D162" s="1">
        <f t="shared" si="5"/>
        <v>9</v>
      </c>
      <c r="E162" s="15">
        <f t="shared" si="6"/>
        <v>3</v>
      </c>
      <c r="F162" s="9" t="s">
        <v>27</v>
      </c>
      <c r="G162" s="7" t="s">
        <v>634</v>
      </c>
      <c r="H162" s="10" t="s">
        <v>29</v>
      </c>
      <c r="I162" s="10" t="s">
        <v>30</v>
      </c>
    </row>
    <row r="163" spans="1:9">
      <c r="A163" s="9" t="s">
        <v>635</v>
      </c>
      <c r="B163" s="11" t="s">
        <v>636</v>
      </c>
      <c r="C163" s="9">
        <v>12</v>
      </c>
      <c r="D163" s="1">
        <f t="shared" si="5"/>
        <v>9</v>
      </c>
      <c r="E163" s="15">
        <f t="shared" si="6"/>
        <v>3</v>
      </c>
      <c r="F163" s="9" t="s">
        <v>27</v>
      </c>
      <c r="G163" s="7" t="s">
        <v>637</v>
      </c>
      <c r="H163" s="10" t="s">
        <v>29</v>
      </c>
      <c r="I163" s="10" t="s">
        <v>30</v>
      </c>
    </row>
    <row r="164" spans="1:9">
      <c r="A164" s="9" t="s">
        <v>638</v>
      </c>
      <c r="B164" s="11" t="s">
        <v>639</v>
      </c>
      <c r="C164" s="9">
        <v>40</v>
      </c>
      <c r="D164" s="1">
        <f t="shared" si="5"/>
        <v>20</v>
      </c>
      <c r="E164" s="15">
        <f t="shared" si="6"/>
        <v>20</v>
      </c>
      <c r="F164" s="9" t="s">
        <v>27</v>
      </c>
      <c r="G164" s="7" t="s">
        <v>640</v>
      </c>
      <c r="H164" s="10" t="s">
        <v>29</v>
      </c>
      <c r="I164" s="10" t="s">
        <v>30</v>
      </c>
    </row>
    <row r="165" spans="1:9">
      <c r="A165" s="9" t="s">
        <v>641</v>
      </c>
      <c r="B165" s="11" t="s">
        <v>642</v>
      </c>
      <c r="C165" s="9">
        <v>12</v>
      </c>
      <c r="D165" s="1">
        <f t="shared" si="5"/>
        <v>9</v>
      </c>
      <c r="E165" s="15">
        <f t="shared" si="6"/>
        <v>3</v>
      </c>
      <c r="F165" s="9" t="s">
        <v>27</v>
      </c>
      <c r="G165" s="7" t="s">
        <v>643</v>
      </c>
      <c r="H165" s="10" t="s">
        <v>29</v>
      </c>
      <c r="I165" s="10" t="s">
        <v>30</v>
      </c>
    </row>
    <row r="166" spans="1:9">
      <c r="A166" s="9" t="s">
        <v>644</v>
      </c>
      <c r="B166" s="7" t="s">
        <v>645</v>
      </c>
      <c r="C166" s="9">
        <v>12</v>
      </c>
      <c r="D166" s="1">
        <f t="shared" si="5"/>
        <v>9</v>
      </c>
      <c r="E166" s="15">
        <f t="shared" si="6"/>
        <v>3</v>
      </c>
      <c r="F166" s="9" t="s">
        <v>27</v>
      </c>
      <c r="G166" s="7" t="s">
        <v>646</v>
      </c>
      <c r="H166" s="10" t="s">
        <v>29</v>
      </c>
      <c r="I166" s="10" t="s">
        <v>30</v>
      </c>
    </row>
    <row r="167" spans="1:9">
      <c r="A167" s="9" t="s">
        <v>647</v>
      </c>
      <c r="B167" s="7" t="s">
        <v>648</v>
      </c>
      <c r="C167" s="9">
        <v>40</v>
      </c>
      <c r="D167" s="1">
        <f t="shared" si="5"/>
        <v>20</v>
      </c>
      <c r="E167" s="15">
        <f t="shared" si="6"/>
        <v>20</v>
      </c>
      <c r="F167" s="9" t="s">
        <v>27</v>
      </c>
      <c r="G167" s="7" t="s">
        <v>649</v>
      </c>
      <c r="H167" s="10" t="s">
        <v>29</v>
      </c>
      <c r="I167" s="10" t="s">
        <v>30</v>
      </c>
    </row>
    <row r="168" spans="1:9">
      <c r="A168" s="9" t="s">
        <v>650</v>
      </c>
      <c r="B168" s="7" t="s">
        <v>651</v>
      </c>
      <c r="C168" s="9">
        <v>40</v>
      </c>
      <c r="D168" s="1">
        <f t="shared" si="5"/>
        <v>20</v>
      </c>
      <c r="E168" s="15">
        <f t="shared" si="6"/>
        <v>20</v>
      </c>
      <c r="F168" s="9" t="s">
        <v>323</v>
      </c>
      <c r="G168" s="7" t="s">
        <v>652</v>
      </c>
      <c r="H168" s="10" t="s">
        <v>29</v>
      </c>
      <c r="I168" s="10" t="s">
        <v>30</v>
      </c>
    </row>
    <row r="169" spans="1:9">
      <c r="A169" s="9" t="s">
        <v>653</v>
      </c>
      <c r="B169" s="7" t="s">
        <v>654</v>
      </c>
      <c r="C169" s="9">
        <v>24</v>
      </c>
      <c r="D169" s="1">
        <f t="shared" si="5"/>
        <v>18</v>
      </c>
      <c r="E169" s="15">
        <f t="shared" si="6"/>
        <v>6</v>
      </c>
      <c r="F169" s="9" t="s">
        <v>27</v>
      </c>
      <c r="G169" s="7" t="s">
        <v>655</v>
      </c>
      <c r="H169" s="10" t="s">
        <v>29</v>
      </c>
      <c r="I169" s="10" t="s">
        <v>30</v>
      </c>
    </row>
    <row r="170" spans="1:9">
      <c r="A170" t="s">
        <v>656</v>
      </c>
      <c r="B170" s="7" t="s">
        <v>657</v>
      </c>
      <c r="C170">
        <v>40</v>
      </c>
      <c r="D170" s="1">
        <f t="shared" si="5"/>
        <v>20</v>
      </c>
      <c r="E170" s="15">
        <f t="shared" si="6"/>
        <v>20</v>
      </c>
      <c r="F170" t="s">
        <v>323</v>
      </c>
      <c r="G170" s="7" t="s">
        <v>658</v>
      </c>
      <c r="H170" t="s">
        <v>29</v>
      </c>
      <c r="I170" t="s">
        <v>30</v>
      </c>
    </row>
    <row r="171" spans="1:9">
      <c r="A171" t="s">
        <v>659</v>
      </c>
      <c r="B171" s="7" t="s">
        <v>660</v>
      </c>
      <c r="C171">
        <v>40</v>
      </c>
      <c r="D171" s="1">
        <f t="shared" si="5"/>
        <v>20</v>
      </c>
      <c r="E171" s="15">
        <f t="shared" si="6"/>
        <v>20</v>
      </c>
      <c r="F171" t="s">
        <v>172</v>
      </c>
      <c r="G171" s="7" t="s">
        <v>661</v>
      </c>
      <c r="H171" t="s">
        <v>29</v>
      </c>
      <c r="I171" t="s">
        <v>30</v>
      </c>
    </row>
    <row r="172" spans="1:9">
      <c r="A172" t="s">
        <v>662</v>
      </c>
      <c r="B172" s="7" t="s">
        <v>663</v>
      </c>
      <c r="C172">
        <v>40</v>
      </c>
      <c r="D172" s="1">
        <f t="shared" si="5"/>
        <v>20</v>
      </c>
      <c r="E172" s="15">
        <f t="shared" si="6"/>
        <v>20</v>
      </c>
      <c r="F172" t="s">
        <v>323</v>
      </c>
      <c r="G172" s="7" t="s">
        <v>664</v>
      </c>
      <c r="H172" t="s">
        <v>29</v>
      </c>
      <c r="I172" t="s">
        <v>30</v>
      </c>
    </row>
    <row r="173" spans="1:9">
      <c r="A173" t="s">
        <v>665</v>
      </c>
      <c r="B173" s="7" t="s">
        <v>666</v>
      </c>
      <c r="C173">
        <v>40</v>
      </c>
      <c r="D173" s="1">
        <f t="shared" si="5"/>
        <v>20</v>
      </c>
      <c r="E173" s="15">
        <f t="shared" si="6"/>
        <v>20</v>
      </c>
      <c r="F173" t="s">
        <v>27</v>
      </c>
      <c r="G173" s="7" t="s">
        <v>667</v>
      </c>
      <c r="H173" t="s">
        <v>29</v>
      </c>
      <c r="I173" t="s">
        <v>30</v>
      </c>
    </row>
    <row r="174" spans="1:9">
      <c r="A174" t="s">
        <v>668</v>
      </c>
      <c r="B174" s="7" t="s">
        <v>669</v>
      </c>
      <c r="C174">
        <v>12</v>
      </c>
      <c r="D174" s="1">
        <f t="shared" si="5"/>
        <v>9</v>
      </c>
      <c r="E174" s="15">
        <f t="shared" si="6"/>
        <v>3</v>
      </c>
      <c r="F174" t="s">
        <v>27</v>
      </c>
      <c r="G174" s="7" t="s">
        <v>670</v>
      </c>
      <c r="H174" t="s">
        <v>29</v>
      </c>
      <c r="I174" t="s">
        <v>30</v>
      </c>
    </row>
    <row r="175" spans="1:9" ht="29.25">
      <c r="A175" t="s">
        <v>671</v>
      </c>
      <c r="B175" s="7" t="s">
        <v>672</v>
      </c>
      <c r="C175">
        <v>0</v>
      </c>
      <c r="D175" s="1">
        <f t="shared" si="5"/>
        <v>0</v>
      </c>
      <c r="E175" s="15">
        <f t="shared" si="6"/>
        <v>0</v>
      </c>
      <c r="F175" t="s">
        <v>673</v>
      </c>
      <c r="G175" s="7" t="s">
        <v>674</v>
      </c>
      <c r="H175" t="s">
        <v>29</v>
      </c>
      <c r="I175" s="14" t="s">
        <v>675</v>
      </c>
    </row>
    <row r="176" spans="1:9" ht="29.25">
      <c r="A176" t="s">
        <v>676</v>
      </c>
      <c r="B176" s="7" t="s">
        <v>677</v>
      </c>
      <c r="C176">
        <v>0</v>
      </c>
      <c r="D176" s="1">
        <f t="shared" si="5"/>
        <v>0</v>
      </c>
      <c r="E176" s="15">
        <f t="shared" si="6"/>
        <v>0</v>
      </c>
      <c r="F176" t="s">
        <v>673</v>
      </c>
      <c r="G176" s="7" t="s">
        <v>678</v>
      </c>
      <c r="H176" t="s">
        <v>29</v>
      </c>
      <c r="I176" s="14" t="s">
        <v>675</v>
      </c>
    </row>
    <row r="177" spans="1:9" ht="29.25">
      <c r="A177" t="s">
        <v>679</v>
      </c>
      <c r="B177" s="7" t="s">
        <v>680</v>
      </c>
      <c r="C177">
        <v>0</v>
      </c>
      <c r="D177" s="1">
        <f t="shared" si="5"/>
        <v>0</v>
      </c>
      <c r="E177" s="15">
        <f t="shared" si="6"/>
        <v>0</v>
      </c>
      <c r="F177" t="s">
        <v>673</v>
      </c>
      <c r="G177" s="7" t="s">
        <v>681</v>
      </c>
      <c r="H177" t="s">
        <v>29</v>
      </c>
      <c r="I177" s="14" t="s">
        <v>675</v>
      </c>
    </row>
    <row r="178" spans="1:9" ht="29.25">
      <c r="A178" t="s">
        <v>682</v>
      </c>
      <c r="B178" s="7" t="s">
        <v>683</v>
      </c>
      <c r="C178">
        <v>0</v>
      </c>
      <c r="D178" s="1">
        <f t="shared" si="5"/>
        <v>0</v>
      </c>
      <c r="E178" s="15">
        <f t="shared" si="6"/>
        <v>0</v>
      </c>
      <c r="F178" t="s">
        <v>673</v>
      </c>
      <c r="G178" s="7" t="s">
        <v>684</v>
      </c>
      <c r="H178" t="s">
        <v>29</v>
      </c>
      <c r="I178" s="14" t="s">
        <v>675</v>
      </c>
    </row>
    <row r="179" spans="1:9" ht="29.25">
      <c r="A179" t="s">
        <v>685</v>
      </c>
      <c r="B179" s="7" t="s">
        <v>686</v>
      </c>
      <c r="C179">
        <v>0</v>
      </c>
      <c r="D179" s="1">
        <f t="shared" si="5"/>
        <v>0</v>
      </c>
      <c r="E179" s="15">
        <f t="shared" si="6"/>
        <v>0</v>
      </c>
      <c r="F179" t="s">
        <v>673</v>
      </c>
      <c r="G179" s="7" t="s">
        <v>687</v>
      </c>
      <c r="H179" t="s">
        <v>29</v>
      </c>
      <c r="I179" s="14" t="s">
        <v>675</v>
      </c>
    </row>
    <row r="180" spans="1:9" ht="29.25">
      <c r="A180" t="s">
        <v>688</v>
      </c>
      <c r="B180" s="7" t="s">
        <v>689</v>
      </c>
      <c r="C180">
        <v>0</v>
      </c>
      <c r="D180" s="1">
        <f t="shared" si="5"/>
        <v>0</v>
      </c>
      <c r="E180" s="15">
        <f t="shared" si="6"/>
        <v>0</v>
      </c>
      <c r="F180" t="s">
        <v>673</v>
      </c>
      <c r="G180" s="7" t="s">
        <v>690</v>
      </c>
      <c r="H180" t="s">
        <v>29</v>
      </c>
      <c r="I180" s="14" t="s">
        <v>675</v>
      </c>
    </row>
    <row r="181" spans="1:9" ht="29.25">
      <c r="A181" t="s">
        <v>691</v>
      </c>
      <c r="B181" s="7" t="s">
        <v>692</v>
      </c>
      <c r="C181">
        <v>0</v>
      </c>
      <c r="D181" s="1">
        <f t="shared" ref="D181" si="7">IF(I181="PROFESSOR REGENTE",IF(C181=40,C181*0.5,IF(C181&gt;11,C181*0.75,C181)),IF(I181="PROFESSOR DE ENSINO SUPERIOR EAD",IF(C181=40,4,2),0))</f>
        <v>0</v>
      </c>
      <c r="E181" s="15">
        <f t="shared" ref="E181" si="8">IF(OR(I181="PROFESSOR REGENTE",I181="PROFESSOR DE ENSINO SUPERIOR PRESENCIAL"),C181-D181,IF(C181=40,12,6))</f>
        <v>0</v>
      </c>
      <c r="F181" t="s">
        <v>673</v>
      </c>
      <c r="G181" s="7" t="s">
        <v>693</v>
      </c>
      <c r="H181" t="s">
        <v>29</v>
      </c>
      <c r="I181" s="14" t="s">
        <v>675</v>
      </c>
    </row>
    <row r="182" spans="1:9">
      <c r="A182" t="s">
        <v>694</v>
      </c>
      <c r="B182" s="7" t="s">
        <v>695</v>
      </c>
      <c r="C182">
        <v>12</v>
      </c>
      <c r="D182" s="10">
        <f>IF(I182="PROFESSOR REGENTE",IF(C182=40,C182*0.5,IF(C182&gt;11,C182*0.75,C182)),IF(I182="PROFESSOR DE ENSINO SUPERIOR EAD",IF(C182=40,4,2),0))</f>
        <v>9</v>
      </c>
      <c r="E182" s="16">
        <f>IF(OR(I182="PROFESSOR REGENTE",I182="PROFESSOR DE ENSINO SUPERIOR PRESENCIAL"),C182-D182,IF(C182=40,12,6))</f>
        <v>3</v>
      </c>
      <c r="F182" t="s">
        <v>27</v>
      </c>
      <c r="G182" s="7" t="s">
        <v>696</v>
      </c>
      <c r="H182" t="s">
        <v>29</v>
      </c>
      <c r="I182" t="s">
        <v>30</v>
      </c>
    </row>
    <row r="183" spans="1:9">
      <c r="A183" t="s">
        <v>697</v>
      </c>
      <c r="B183" s="7" t="s">
        <v>698</v>
      </c>
      <c r="C183">
        <v>40</v>
      </c>
      <c r="D183" s="10">
        <f>IF(I183="PROFESSOR REGENTE",IF(C183=40,C183*0.5,IF(C183&gt;11,C183*0.75,C183)),IF(I183="PROFESSOR DE ENSINO SUPERIOR EAD",IF(C183=40,4,2),0))</f>
        <v>20</v>
      </c>
      <c r="E183" s="16">
        <f>IF(OR(I183="PROFESSOR REGENTE",I183="PROFESSOR DE ENSINO SUPERIOR PRESENCIAL"),C183-D183,IF(C183=40,12,6))</f>
        <v>20</v>
      </c>
      <c r="F183" t="s">
        <v>27</v>
      </c>
      <c r="G183" s="7" t="s">
        <v>699</v>
      </c>
      <c r="H183" t="s">
        <v>29</v>
      </c>
      <c r="I183" t="s">
        <v>30</v>
      </c>
    </row>
    <row r="184" spans="1:9">
      <c r="A184" t="s">
        <v>700</v>
      </c>
      <c r="B184" s="7" t="s">
        <v>701</v>
      </c>
      <c r="C184">
        <v>12</v>
      </c>
      <c r="D184" s="10">
        <f>IF(I184="PROFESSOR REGENTE",IF(C184=40,C184*0.5,IF(C184&gt;11,C184*0.75,C184)),IF(I184="PROFESSOR DE ENSINO SUPERIOR EAD",IF(C184=40,4,2),0))</f>
        <v>9</v>
      </c>
      <c r="E184" s="16">
        <f>IF(OR(I184="PROFESSOR REGENTE",I184="PROFESSOR DE ENSINO SUPERIOR PRESENCIAL"),C184-D184,IF(C184=40,12,6))</f>
        <v>3</v>
      </c>
      <c r="F184" t="s">
        <v>27</v>
      </c>
      <c r="G184" s="7" t="s">
        <v>702</v>
      </c>
      <c r="H184" t="s">
        <v>29</v>
      </c>
      <c r="I184" t="s">
        <v>30</v>
      </c>
    </row>
    <row r="185" spans="1:9">
      <c r="A185" t="s">
        <v>703</v>
      </c>
      <c r="B185" s="7" t="s">
        <v>704</v>
      </c>
      <c r="C185">
        <v>12</v>
      </c>
      <c r="D185" s="10">
        <f>IF(I185="PROFESSOR REGENTE",IF(C185=40,C185*0.5,IF(C185&gt;11,C185*0.75,C185)),IF(I185="PROFESSOR DE ENSINO SUPERIOR EAD",IF(C185=40,4,2),0))</f>
        <v>9</v>
      </c>
      <c r="E185" s="16">
        <f>IF(OR(I185="PROFESSOR REGENTE",I185="PROFESSOR DE ENSINO SUPERIOR PRESENCIAL"),C185-D185,IF(C185=40,12,6))</f>
        <v>3</v>
      </c>
      <c r="F185" t="s">
        <v>27</v>
      </c>
      <c r="G185" s="7" t="s">
        <v>705</v>
      </c>
      <c r="H185" t="s">
        <v>29</v>
      </c>
      <c r="I185" t="s">
        <v>30</v>
      </c>
    </row>
    <row r="186" spans="1:9">
      <c r="A186" t="s">
        <v>706</v>
      </c>
      <c r="B186" s="7" t="s">
        <v>707</v>
      </c>
      <c r="C186">
        <v>12</v>
      </c>
      <c r="D186" s="10">
        <f>IF(I186="PROFESSOR REGENTE",IF(C186=40,C186*0.5,IF(C186&gt;11,C186*0.75,C186)),IF(I186="PROFESSOR DE ENSINO SUPERIOR EAD",IF(C186=40,4,2),0))</f>
        <v>9</v>
      </c>
      <c r="E186" s="16">
        <f>IF(OR(I186="PROFESSOR REGENTE",I186="PROFESSOR DE ENSINO SUPERIOR PRESENCIAL"),C186-D186,IF(C186=40,12,6))</f>
        <v>3</v>
      </c>
      <c r="F186" t="s">
        <v>27</v>
      </c>
      <c r="G186" s="7" t="s">
        <v>708</v>
      </c>
      <c r="H186" t="s">
        <v>29</v>
      </c>
      <c r="I186" t="s">
        <v>30</v>
      </c>
    </row>
    <row r="187" spans="1:9">
      <c r="A187" t="s">
        <v>709</v>
      </c>
      <c r="B187" s="7" t="s">
        <v>710</v>
      </c>
      <c r="C187">
        <v>12</v>
      </c>
      <c r="D187" s="10">
        <f>IF(I187="PROFESSOR REGENTE",IF(C187=40,C187*0.5,IF(C187&gt;11,C187*0.75,C187)),IF(I187="PROFESSOR DE ENSINO SUPERIOR EAD",IF(C187=40,4,2),0))</f>
        <v>9</v>
      </c>
      <c r="E187" s="16">
        <f>IF(OR(I187="PROFESSOR REGENTE",I187="PROFESSOR DE ENSINO SUPERIOR PRESENCIAL"),C187-D187,IF(C187=40,12,6))</f>
        <v>3</v>
      </c>
      <c r="F187" t="s">
        <v>27</v>
      </c>
      <c r="G187" s="7" t="s">
        <v>711</v>
      </c>
      <c r="H187" t="s">
        <v>29</v>
      </c>
      <c r="I187" t="s">
        <v>30</v>
      </c>
    </row>
    <row r="188" spans="1:9">
      <c r="A188" t="s">
        <v>712</v>
      </c>
      <c r="B188" s="7" t="s">
        <v>713</v>
      </c>
      <c r="C188">
        <v>12</v>
      </c>
      <c r="D188" s="10">
        <f>IF(I188="PROFESSOR REGENTE",IF(C188=40,C188*0.5,IF(C188&gt;11,C188*0.75,C188)),IF(I188="PROFESSOR DE ENSINO SUPERIOR EAD",IF(C188=40,4,2),0))</f>
        <v>9</v>
      </c>
      <c r="E188" s="16">
        <f>IF(OR(I188="PROFESSOR REGENTE",I188="PROFESSOR DE ENSINO SUPERIOR PRESENCIAL"),C188-D188,IF(C188=40,12,6))</f>
        <v>3</v>
      </c>
      <c r="F188" t="s">
        <v>27</v>
      </c>
      <c r="G188" s="7" t="s">
        <v>714</v>
      </c>
      <c r="H188" t="s">
        <v>29</v>
      </c>
      <c r="I188" t="s">
        <v>30</v>
      </c>
    </row>
    <row r="189" spans="1:9">
      <c r="A189" t="s">
        <v>715</v>
      </c>
      <c r="B189" s="7" t="s">
        <v>716</v>
      </c>
      <c r="C189">
        <v>12</v>
      </c>
      <c r="D189" s="10">
        <f>IF(I189="PROFESSOR REGENTE",IF(C189=40,C189*0.5,IF(C189&gt;11,C189*0.75,C189)),IF(I189="PROFESSOR DE ENSINO SUPERIOR EAD",IF(C189=40,4,2),0))</f>
        <v>9</v>
      </c>
      <c r="E189" s="16">
        <f>IF(OR(I189="PROFESSOR REGENTE",I189="PROFESSOR DE ENSINO SUPERIOR PRESENCIAL"),C189-D189,IF(C189=40,12,6))</f>
        <v>3</v>
      </c>
      <c r="F189" t="s">
        <v>27</v>
      </c>
      <c r="G189" s="7" t="s">
        <v>717</v>
      </c>
      <c r="H189" t="s">
        <v>29</v>
      </c>
      <c r="I189" t="s">
        <v>30</v>
      </c>
    </row>
    <row r="190" spans="1:9">
      <c r="A190" t="s">
        <v>718</v>
      </c>
      <c r="B190" s="7" t="s">
        <v>719</v>
      </c>
      <c r="C190">
        <v>12</v>
      </c>
      <c r="D190" s="10">
        <f>IF(I190="PROFESSOR REGENTE",IF(C190=40,C190*0.5,IF(C190&gt;11,C190*0.75,C190)),IF(I190="PROFESSOR DE ENSINO SUPERIOR EAD",IF(C190=40,4,2),0))</f>
        <v>9</v>
      </c>
      <c r="E190" s="16">
        <f>IF(OR(I190="PROFESSOR REGENTE",I190="PROFESSOR DE ENSINO SUPERIOR PRESENCIAL"),C190-D190,IF(C190=40,12,6))</f>
        <v>3</v>
      </c>
      <c r="F190" t="s">
        <v>27</v>
      </c>
      <c r="G190" s="7" t="s">
        <v>720</v>
      </c>
      <c r="H190" t="s">
        <v>29</v>
      </c>
      <c r="I190" t="s">
        <v>30</v>
      </c>
    </row>
    <row r="191" spans="1:9">
      <c r="A191" t="s">
        <v>721</v>
      </c>
      <c r="B191" s="7" t="s">
        <v>722</v>
      </c>
      <c r="C191">
        <v>12</v>
      </c>
      <c r="D191" s="10">
        <f>IF(I191="PROFESSOR REGENTE",IF(C191=40,C191*0.5,IF(C191&gt;11,C191*0.75,C191)),IF(I191="PROFESSOR DE ENSINO SUPERIOR EAD",IF(C191=40,4,2),0))</f>
        <v>9</v>
      </c>
      <c r="E191" s="16">
        <f>IF(OR(I191="PROFESSOR REGENTE",I191="PROFESSOR DE ENSINO SUPERIOR PRESENCIAL"),C191-D191,IF(C191=40,12,6))</f>
        <v>3</v>
      </c>
      <c r="F191" t="s">
        <v>27</v>
      </c>
      <c r="G191" s="7" t="s">
        <v>723</v>
      </c>
      <c r="H191" t="s">
        <v>29</v>
      </c>
      <c r="I191" t="s">
        <v>30</v>
      </c>
    </row>
    <row r="192" spans="1:9">
      <c r="A192" t="s">
        <v>724</v>
      </c>
      <c r="B192" s="7" t="s">
        <v>725</v>
      </c>
      <c r="C192">
        <v>12</v>
      </c>
      <c r="D192" s="10">
        <f>IF(I192="PROFESSOR REGENTE",IF(C192=40,C192*0.5,IF(C192&gt;11,C192*0.75,C192)),IF(I192="PROFESSOR DE ENSINO SUPERIOR EAD",IF(C192=40,4,2),0))</f>
        <v>9</v>
      </c>
      <c r="E192" s="16">
        <f>IF(OR(I192="PROFESSOR REGENTE",I192="PROFESSOR DE ENSINO SUPERIOR PRESENCIAL"),C192-D192,IF(C192=40,12,6))</f>
        <v>3</v>
      </c>
      <c r="F192" t="s">
        <v>27</v>
      </c>
      <c r="G192" s="7" t="s">
        <v>726</v>
      </c>
      <c r="H192" t="s">
        <v>29</v>
      </c>
      <c r="I192" t="s">
        <v>30</v>
      </c>
    </row>
    <row r="193" spans="1:9">
      <c r="A193" t="s">
        <v>727</v>
      </c>
      <c r="B193" s="7" t="s">
        <v>728</v>
      </c>
      <c r="C193">
        <v>12</v>
      </c>
      <c r="D193" s="10">
        <f>IF(I193="PROFESSOR REGENTE",IF(C193=40,C193*0.5,IF(C193&gt;11,C193*0.75,C193)),IF(I193="PROFESSOR DE ENSINO SUPERIOR EAD",IF(C193=40,4,2),0))</f>
        <v>9</v>
      </c>
      <c r="E193" s="16">
        <f>IF(OR(I193="PROFESSOR REGENTE",I193="PROFESSOR DE ENSINO SUPERIOR PRESENCIAL"),C193-D193,IF(C193=40,12,6))</f>
        <v>3</v>
      </c>
      <c r="F193" t="s">
        <v>27</v>
      </c>
      <c r="G193" s="7" t="s">
        <v>729</v>
      </c>
      <c r="H193" t="s">
        <v>29</v>
      </c>
      <c r="I193" t="s">
        <v>30</v>
      </c>
    </row>
    <row r="194" spans="1:9">
      <c r="A194" t="s">
        <v>730</v>
      </c>
      <c r="B194" s="7" t="s">
        <v>731</v>
      </c>
      <c r="C194">
        <v>12</v>
      </c>
      <c r="D194" s="10">
        <f>IF(I194="PROFESSOR REGENTE",IF(C194=40,C194*0.5,IF(C194&gt;11,C194*0.75,C194)),IF(I194="PROFESSOR DE ENSINO SUPERIOR EAD",IF(C194=40,4,2),0))</f>
        <v>9</v>
      </c>
      <c r="E194" s="16">
        <f>IF(OR(I194="PROFESSOR REGENTE",I194="PROFESSOR DE ENSINO SUPERIOR PRESENCIAL"),C194-D194,IF(C194=40,12,6))</f>
        <v>3</v>
      </c>
      <c r="F194" t="s">
        <v>27</v>
      </c>
      <c r="G194" s="7" t="s">
        <v>732</v>
      </c>
      <c r="H194" t="s">
        <v>29</v>
      </c>
      <c r="I194" t="s">
        <v>30</v>
      </c>
    </row>
    <row r="195" spans="1:9">
      <c r="A195" t="s">
        <v>733</v>
      </c>
      <c r="B195" s="7" t="s">
        <v>734</v>
      </c>
      <c r="C195">
        <v>12</v>
      </c>
      <c r="D195" s="10">
        <f>IF(I195="PROFESSOR REGENTE",IF(C195=40,C195*0.5,IF(C195&gt;11,C195*0.75,C195)),IF(I195="PROFESSOR DE ENSINO SUPERIOR EAD",IF(C195=40,4,2),0))</f>
        <v>9</v>
      </c>
      <c r="E195" s="16">
        <f>IF(OR(I195="PROFESSOR REGENTE",I195="PROFESSOR DE ENSINO SUPERIOR PRESENCIAL"),C195-D195,IF(C195=40,12,6))</f>
        <v>3</v>
      </c>
      <c r="F195" t="s">
        <v>27</v>
      </c>
      <c r="G195" s="7" t="s">
        <v>735</v>
      </c>
      <c r="H195" t="s">
        <v>29</v>
      </c>
      <c r="I195" t="s">
        <v>30</v>
      </c>
    </row>
    <row r="196" spans="1:9">
      <c r="A196" t="s">
        <v>736</v>
      </c>
      <c r="B196" s="7" t="s">
        <v>737</v>
      </c>
      <c r="C196">
        <v>12</v>
      </c>
      <c r="D196" s="10">
        <f>IF(I196="PROFESSOR REGENTE",IF(C196=40,C196*0.5,IF(C196&gt;11,C196*0.75,C196)),IF(I196="PROFESSOR DE ENSINO SUPERIOR EAD",IF(C196=40,4,2),0))</f>
        <v>9</v>
      </c>
      <c r="E196" s="16">
        <f>IF(OR(I196="PROFESSOR REGENTE",I196="PROFESSOR DE ENSINO SUPERIOR PRESENCIAL"),C196-D196,IF(C196=40,12,6))</f>
        <v>3</v>
      </c>
      <c r="F196" t="s">
        <v>27</v>
      </c>
      <c r="G196" s="7" t="s">
        <v>738</v>
      </c>
      <c r="H196" t="s">
        <v>29</v>
      </c>
      <c r="I196" t="s">
        <v>30</v>
      </c>
    </row>
    <row r="197" spans="1:9" ht="29.25">
      <c r="A197" t="s">
        <v>739</v>
      </c>
      <c r="B197" s="7" t="s">
        <v>740</v>
      </c>
      <c r="C197">
        <v>0</v>
      </c>
      <c r="D197" s="10">
        <f>IF(I197="PROFESSOR REGENTE",IF(C197=40,C197*0.5,IF(C197&gt;11,C197*0.75,C197)),IF(I197="PROFESSOR DE ENSINO SUPERIOR EAD",IF(C197=40,4,2),0))</f>
        <v>0</v>
      </c>
      <c r="E197" s="16">
        <f>IF(OR(I197="PROFESSOR REGENTE",I197="PROFESSOR DE ENSINO SUPERIOR PRESENCIAL"),C197-D197,IF(C197=40,12,6))</f>
        <v>0</v>
      </c>
      <c r="F197" t="s">
        <v>673</v>
      </c>
      <c r="G197" s="7" t="s">
        <v>741</v>
      </c>
      <c r="H197" t="s">
        <v>29</v>
      </c>
      <c r="I197" s="14" t="s">
        <v>675</v>
      </c>
    </row>
    <row r="198" spans="1:9" ht="29.25">
      <c r="A198" t="s">
        <v>742</v>
      </c>
      <c r="B198" s="7" t="s">
        <v>743</v>
      </c>
      <c r="C198">
        <v>0</v>
      </c>
      <c r="D198" s="10">
        <f>IF(I198="PROFESSOR REGENTE",IF(C198=40,C198*0.5,IF(C198&gt;11,C198*0.75,C198)),IF(I198="PROFESSOR DE ENSINO SUPERIOR EAD",IF(C198=40,4,2),0))</f>
        <v>0</v>
      </c>
      <c r="E198" s="16">
        <f>IF(OR(I198="PROFESSOR REGENTE",I198="PROFESSOR DE ENSINO SUPERIOR PRESENCIAL"),C198-D198,IF(C198=40,12,6))</f>
        <v>0</v>
      </c>
      <c r="F198" t="s">
        <v>673</v>
      </c>
      <c r="G198" s="7" t="s">
        <v>744</v>
      </c>
      <c r="H198" t="s">
        <v>29</v>
      </c>
      <c r="I198" s="14" t="s">
        <v>675</v>
      </c>
    </row>
    <row r="199" spans="1:9" ht="29.25">
      <c r="A199" t="s">
        <v>745</v>
      </c>
      <c r="B199" s="7" t="s">
        <v>746</v>
      </c>
      <c r="C199">
        <v>0</v>
      </c>
      <c r="D199" s="10">
        <f>IF(I199="PROFESSOR REGENTE",IF(C199=40,C199*0.5,IF(C199&gt;11,C199*0.75,C199)),IF(I199="PROFESSOR DE ENSINO SUPERIOR EAD",IF(C199=40,4,2),0))</f>
        <v>0</v>
      </c>
      <c r="E199" s="16">
        <f>IF(OR(I199="PROFESSOR REGENTE",I199="PROFESSOR DE ENSINO SUPERIOR PRESENCIAL"),C199-D199,IF(C199=40,12,6))</f>
        <v>0</v>
      </c>
      <c r="F199" t="s">
        <v>673</v>
      </c>
      <c r="G199" s="7" t="s">
        <v>747</v>
      </c>
      <c r="H199" t="s">
        <v>29</v>
      </c>
      <c r="I199" s="14" t="s">
        <v>675</v>
      </c>
    </row>
    <row r="200" spans="1:9" ht="29.25">
      <c r="A200" t="s">
        <v>748</v>
      </c>
      <c r="B200" s="7" t="s">
        <v>749</v>
      </c>
      <c r="C200">
        <v>0</v>
      </c>
      <c r="D200" s="10">
        <f>IF(I200="PROFESSOR REGENTE",IF(C200=40,C200*0.5,IF(C200&gt;11,C200*0.75,C200)),IF(I200="PROFESSOR DE ENSINO SUPERIOR EAD",IF(C200=40,4,2),0))</f>
        <v>0</v>
      </c>
      <c r="E200" s="16">
        <f>IF(OR(I200="PROFESSOR REGENTE",I200="PROFESSOR DE ENSINO SUPERIOR PRESENCIAL"),C200-D200,IF(C200=40,12,6))</f>
        <v>0</v>
      </c>
      <c r="F200" t="s">
        <v>673</v>
      </c>
      <c r="G200" s="7" t="s">
        <v>750</v>
      </c>
      <c r="H200" t="s">
        <v>29</v>
      </c>
      <c r="I200" s="14" t="s">
        <v>675</v>
      </c>
    </row>
    <row r="201" spans="1:9">
      <c r="A201" t="s">
        <v>751</v>
      </c>
      <c r="B201" s="7" t="s">
        <v>752</v>
      </c>
      <c r="C201">
        <v>12</v>
      </c>
      <c r="D201" s="10">
        <f>IF(I201="PROFESSOR REGENTE",IF(C201=40,C201*0.5,IF(C201&gt;11,C201*0.75,C201)),IF(I201="PROFESSOR DE ENSINO SUPERIOR EAD",IF(C201=40,4,2),0))</f>
        <v>9</v>
      </c>
      <c r="E201" s="16">
        <f>IF(OR(I201="PROFESSOR REGENTE",I201="PROFESSOR DE ENSINO SUPERIOR PRESENCIAL"),C201-D201,IF(C201=40,12,6))</f>
        <v>3</v>
      </c>
      <c r="F201" t="s">
        <v>753</v>
      </c>
      <c r="G201" s="7" t="s">
        <v>754</v>
      </c>
      <c r="H201" t="s">
        <v>29</v>
      </c>
      <c r="I201" s="14" t="s">
        <v>30</v>
      </c>
    </row>
    <row r="202" spans="1:9">
      <c r="A202" t="s">
        <v>755</v>
      </c>
      <c r="B202" s="7" t="s">
        <v>756</v>
      </c>
      <c r="C202">
        <v>12</v>
      </c>
      <c r="D202" s="10">
        <f>IF(I202="PROFESSOR REGENTE",IF(C202=40,C202*0.5,IF(C202&gt;11,C202*0.75,C202)),IF(I202="PROFESSOR DE ENSINO SUPERIOR EAD",IF(C202=40,4,2),0))</f>
        <v>9</v>
      </c>
      <c r="E202" s="16">
        <f>IF(OR(I202="PROFESSOR REGENTE",I202="PROFESSOR DE ENSINO SUPERIOR PRESENCIAL"),C202-D202,IF(C202=40,12,6))</f>
        <v>3</v>
      </c>
      <c r="F202" t="s">
        <v>757</v>
      </c>
      <c r="G202" s="7" t="s">
        <v>758</v>
      </c>
      <c r="H202" t="s">
        <v>29</v>
      </c>
      <c r="I202" s="14" t="s">
        <v>30</v>
      </c>
    </row>
    <row r="203" spans="1:9">
      <c r="A203" t="s">
        <v>413</v>
      </c>
      <c r="B203" s="7" t="s">
        <v>414</v>
      </c>
      <c r="C203">
        <v>12</v>
      </c>
      <c r="D203" s="10">
        <f>IF(I203="PROFESSOR REGENTE",IF(C203=40,C203*0.5,IF(C203&gt;11,C203*0.75,C203)),IF(I203="PROFESSOR DE ENSINO SUPERIOR EAD",IF(C203=40,4,2),0))</f>
        <v>9</v>
      </c>
      <c r="E203" s="16">
        <f>IF(OR(I203="PROFESSOR REGENTE",I203="PROFESSOR DE ENSINO SUPERIOR PRESENCIAL"),C203-D203,IF(C203=40,12,6))</f>
        <v>3</v>
      </c>
      <c r="F203" t="s">
        <v>415</v>
      </c>
      <c r="G203" s="7" t="s">
        <v>416</v>
      </c>
      <c r="H203" t="s">
        <v>29</v>
      </c>
      <c r="I203" s="14" t="s">
        <v>30</v>
      </c>
    </row>
    <row r="204" spans="1:9">
      <c r="A204" t="s">
        <v>759</v>
      </c>
      <c r="B204" s="7" t="s">
        <v>760</v>
      </c>
      <c r="C204">
        <v>12</v>
      </c>
      <c r="D204" s="10">
        <f>IF(I204="PROFESSOR REGENTE",IF(C204=40,C204*0.5,IF(C204&gt;11,C204*0.75,C204)),IF(I204="PROFESSOR DE ENSINO SUPERIOR EAD",IF(C204=40,4,2),0))</f>
        <v>9</v>
      </c>
      <c r="E204" s="16">
        <f>IF(OR(I204="PROFESSOR REGENTE",I204="PROFESSOR DE ENSINO SUPERIOR PRESENCIAL"),C204-D204,IF(C204=40,12,6))</f>
        <v>3</v>
      </c>
      <c r="F204" t="s">
        <v>761</v>
      </c>
      <c r="G204" s="7" t="s">
        <v>762</v>
      </c>
      <c r="H204" t="s">
        <v>29</v>
      </c>
      <c r="I204" s="14" t="s">
        <v>30</v>
      </c>
    </row>
    <row r="205" spans="1:9" ht="29.25">
      <c r="A205" t="s">
        <v>763</v>
      </c>
      <c r="B205" s="7" t="s">
        <v>764</v>
      </c>
      <c r="C205">
        <v>0</v>
      </c>
      <c r="D205" s="10">
        <f>IF(I205="PROFESSOR REGENTE",IF(C205=40,C205*0.5,IF(C205&gt;11,C205*0.75,C205)),IF(I205="PROFESSOR DE ENSINO SUPERIOR EAD",IF(C205=40,4,2),0))</f>
        <v>0</v>
      </c>
      <c r="E205" s="16">
        <f>IF(OR(I205="PROFESSOR REGENTE",I205="PROFESSOR DE ENSINO SUPERIOR PRESENCIAL"),C205-D205,IF(C205=40,12,6))</f>
        <v>0</v>
      </c>
      <c r="F205" t="s">
        <v>765</v>
      </c>
      <c r="G205" s="7" t="s">
        <v>766</v>
      </c>
      <c r="H205" t="s">
        <v>29</v>
      </c>
      <c r="I205" s="14" t="s">
        <v>675</v>
      </c>
    </row>
    <row r="206" spans="1:9" ht="29.25">
      <c r="A206" t="s">
        <v>767</v>
      </c>
      <c r="B206" s="7" t="s">
        <v>686</v>
      </c>
      <c r="C206">
        <v>0</v>
      </c>
      <c r="D206" s="10">
        <f>IF(I206="PROFESSOR REGENTE",IF(C206=40,C206*0.5,IF(C206&gt;11,C206*0.75,C206)),IF(I206="PROFESSOR DE ENSINO SUPERIOR EAD",IF(C206=40,4,2),0))</f>
        <v>0</v>
      </c>
      <c r="E206" s="16">
        <f>IF(OR(I206="PROFESSOR REGENTE",I206="PROFESSOR DE ENSINO SUPERIOR PRESENCIAL"),C206-D206,IF(C206=40,12,6))</f>
        <v>0</v>
      </c>
      <c r="F206" t="s">
        <v>768</v>
      </c>
      <c r="G206" s="7" t="s">
        <v>687</v>
      </c>
      <c r="H206" t="s">
        <v>29</v>
      </c>
      <c r="I206" s="14" t="s">
        <v>675</v>
      </c>
    </row>
    <row r="207" spans="1:9">
      <c r="A207" t="s">
        <v>769</v>
      </c>
      <c r="B207" s="7" t="s">
        <v>770</v>
      </c>
      <c r="C207">
        <v>12</v>
      </c>
      <c r="D207" s="10">
        <f>IF(I207="PROFESSOR REGENTE",IF(C207=40,C207*0.5,IF(C207&gt;11,C207*0.75,C207)),IF(I207="PROFESSOR DE ENSINO SUPERIOR EAD",IF(C207=40,4,2),0))</f>
        <v>9</v>
      </c>
      <c r="E207" s="16">
        <f>IF(OR(I207="PROFESSOR REGENTE",I207="PROFESSOR DE ENSINO SUPERIOR PRESENCIAL"),C207-D207,IF(C207=40,12,6))</f>
        <v>3</v>
      </c>
      <c r="F207" t="s">
        <v>771</v>
      </c>
      <c r="G207" s="7" t="s">
        <v>772</v>
      </c>
      <c r="H207" t="s">
        <v>29</v>
      </c>
      <c r="I207" s="14" t="s">
        <v>30</v>
      </c>
    </row>
    <row r="208" spans="1:9">
      <c r="A208" t="s">
        <v>587</v>
      </c>
      <c r="B208" s="7" t="s">
        <v>588</v>
      </c>
      <c r="C208">
        <v>12</v>
      </c>
      <c r="D208" s="10">
        <f>IF(I208="PROFESSOR REGENTE",IF(C208=40,C208*0.5,IF(C208&gt;11,C208*0.75,C208)),IF(I208="PROFESSOR DE ENSINO SUPERIOR EAD",IF(C208=40,4,2),0))</f>
        <v>9</v>
      </c>
      <c r="E208" s="16">
        <f>IF(OR(I208="PROFESSOR REGENTE",I208="PROFESSOR DE ENSINO SUPERIOR PRESENCIAL"),C208-D208,IF(C208=40,12,6))</f>
        <v>3</v>
      </c>
      <c r="F208" t="s">
        <v>773</v>
      </c>
      <c r="G208" s="7" t="s">
        <v>589</v>
      </c>
      <c r="H208" t="s">
        <v>29</v>
      </c>
      <c r="I208" s="14" t="s">
        <v>30</v>
      </c>
    </row>
    <row r="209" spans="1:9">
      <c r="A209" t="s">
        <v>774</v>
      </c>
      <c r="B209" s="7" t="s">
        <v>775</v>
      </c>
      <c r="C209">
        <v>12</v>
      </c>
      <c r="D209" s="10">
        <f>IF(I209="PROFESSOR REGENTE",IF(C209=40,C209*0.5,IF(C209&gt;11,C209*0.75,C209)),IF(I209="PROFESSOR DE ENSINO SUPERIOR EAD",IF(C209=40,4,2),0))</f>
        <v>9</v>
      </c>
      <c r="E209" s="16">
        <f>IF(OR(I209="PROFESSOR REGENTE",I209="PROFESSOR DE ENSINO SUPERIOR PRESENCIAL"),C209-D209,IF(C209=40,12,6))</f>
        <v>3</v>
      </c>
      <c r="F209" t="s">
        <v>776</v>
      </c>
      <c r="G209" s="7" t="s">
        <v>777</v>
      </c>
      <c r="H209" t="s">
        <v>29</v>
      </c>
      <c r="I209" s="14" t="s">
        <v>30</v>
      </c>
    </row>
    <row r="210" spans="1:9">
      <c r="A210" t="s">
        <v>778</v>
      </c>
      <c r="B210" s="7" t="s">
        <v>779</v>
      </c>
      <c r="C210">
        <v>40</v>
      </c>
      <c r="D210" s="10">
        <f>IF(I210="PROFESSOR REGENTE",IF(C210=40,C210*0.5,IF(C210&gt;11,C210*0.75,C210)),IF(I210="PROFESSOR DE ENSINO SUPERIOR EAD",IF(C210=40,4,2),0))</f>
        <v>0</v>
      </c>
      <c r="E210" s="16">
        <f>IF(OR(I210="PROFESSOR REGENTE",I210="PROFESSOR DE ENSINO SUPERIOR PRESENCIAL"),C210-D210,IF(C210=40,12,6))</f>
        <v>12</v>
      </c>
      <c r="F210" t="s">
        <v>780</v>
      </c>
      <c r="G210" s="7" t="s">
        <v>781</v>
      </c>
      <c r="H210" t="s">
        <v>29</v>
      </c>
      <c r="I210" s="14" t="s">
        <v>782</v>
      </c>
    </row>
    <row r="211" spans="1:9">
      <c r="A211" t="s">
        <v>783</v>
      </c>
      <c r="B211" s="7" t="s">
        <v>784</v>
      </c>
      <c r="C211">
        <v>12</v>
      </c>
      <c r="D211" s="10">
        <f>IF(I211="PROFESSOR REGENTE",IF(C211=40,C211*0.5,IF(C211&gt;11,C211*0.75,C211)),IF(I211="PROFESSOR DE ENSINO SUPERIOR EAD",IF(C211=40,4,2),0))</f>
        <v>9</v>
      </c>
      <c r="E211" s="16">
        <f>IF(OR(I211="PROFESSOR REGENTE",I211="PROFESSOR DE ENSINO SUPERIOR PRESENCIAL"),C211-D211,IF(C211=40,12,6))</f>
        <v>3</v>
      </c>
      <c r="F211" t="s">
        <v>785</v>
      </c>
      <c r="G211" s="7" t="s">
        <v>786</v>
      </c>
      <c r="H211" t="s">
        <v>29</v>
      </c>
      <c r="I211" s="14" t="s">
        <v>30</v>
      </c>
    </row>
    <row r="212" spans="1:9">
      <c r="A212" t="s">
        <v>787</v>
      </c>
      <c r="B212" s="7" t="s">
        <v>788</v>
      </c>
      <c r="C212">
        <v>40</v>
      </c>
      <c r="D212" s="10">
        <f>IF(I212="PROFESSOR REGENTE",IF(C212=40,C212*0.5,IF(C212&gt;11,C212*0.75,C212)),IF(I212="PROFESSOR DE ENSINO SUPERIOR EAD",IF(C212=40,4,2),0))</f>
        <v>20</v>
      </c>
      <c r="E212" s="16">
        <f>IF(OR(I212="PROFESSOR REGENTE",I212="PROFESSOR DE ENSINO SUPERIOR PRESENCIAL"),C212-D212,IF(C212=40,12,6))</f>
        <v>20</v>
      </c>
      <c r="F212" t="s">
        <v>753</v>
      </c>
      <c r="G212" s="7" t="s">
        <v>789</v>
      </c>
      <c r="H212" t="s">
        <v>29</v>
      </c>
      <c r="I212" s="14" t="s">
        <v>30</v>
      </c>
    </row>
    <row r="213" spans="1:9">
      <c r="A213" t="s">
        <v>790</v>
      </c>
      <c r="B213" s="7" t="s">
        <v>791</v>
      </c>
      <c r="C213">
        <v>12</v>
      </c>
      <c r="D213" s="10">
        <f>IF(I213="PROFESSOR REGENTE",IF(C213=40,C213*0.5,IF(C213&gt;11,C213*0.75,C213)),IF(I213="PROFESSOR DE ENSINO SUPERIOR EAD",IF(C213=40,4,2),0))</f>
        <v>9</v>
      </c>
      <c r="E213" s="16">
        <f>IF(OR(I213="PROFESSOR REGENTE",I213="PROFESSOR DE ENSINO SUPERIOR PRESENCIAL"),C213-D213,IF(C213=40,12,6))</f>
        <v>3</v>
      </c>
      <c r="F213" t="s">
        <v>776</v>
      </c>
      <c r="G213" s="7" t="s">
        <v>792</v>
      </c>
      <c r="H213" t="s">
        <v>29</v>
      </c>
      <c r="I213" s="14" t="s">
        <v>30</v>
      </c>
    </row>
    <row r="214" spans="1:9" ht="29.25">
      <c r="A214" t="s">
        <v>793</v>
      </c>
      <c r="B214" s="7" t="s">
        <v>794</v>
      </c>
      <c r="C214">
        <v>12</v>
      </c>
      <c r="D214" s="10">
        <f>IF(I214="PROFESSOR REGENTE",IF(C214=40,C214*0.5,IF(C214&gt;11,C214*0.75,C214)),IF(I214="PROFESSOR DE ENSINO SUPERIOR EAD",IF(C214=40,4,2),0))</f>
        <v>9</v>
      </c>
      <c r="E214" s="16">
        <f>IF(OR(I214="PROFESSOR REGENTE",I214="PROFESSOR DE ENSINO SUPERIOR PRESENCIAL"),C214-D214,IF(C214=40,12,6))</f>
        <v>3</v>
      </c>
      <c r="F214" s="14" t="s">
        <v>795</v>
      </c>
      <c r="G214" s="7" t="s">
        <v>796</v>
      </c>
      <c r="H214" t="s">
        <v>29</v>
      </c>
      <c r="I214" s="14" t="s">
        <v>30</v>
      </c>
    </row>
    <row r="215" spans="1:9">
      <c r="A215" t="s">
        <v>797</v>
      </c>
      <c r="B215" s="7" t="s">
        <v>798</v>
      </c>
      <c r="C215">
        <v>12</v>
      </c>
      <c r="D215" s="10">
        <f>IF(I215="PROFESSOR REGENTE",IF(C215=40,C215*0.5,IF(C215&gt;11,C215*0.75,C215)),IF(I215="PROFESSOR DE ENSINO SUPERIOR EAD",IF(C215=40,4,2),0))</f>
        <v>9</v>
      </c>
      <c r="E215" s="16">
        <f>IF(OR(I215="PROFESSOR REGENTE",I215="PROFESSOR DE ENSINO SUPERIOR PRESENCIAL"),C215-D215,IF(C215=40,12,6))</f>
        <v>3</v>
      </c>
      <c r="F215" s="14" t="s">
        <v>761</v>
      </c>
      <c r="G215" s="7" t="s">
        <v>799</v>
      </c>
      <c r="H215" t="s">
        <v>29</v>
      </c>
      <c r="I215" s="14" t="s">
        <v>30</v>
      </c>
    </row>
    <row r="216" spans="1:9">
      <c r="A216" t="s">
        <v>800</v>
      </c>
      <c r="B216" s="7" t="s">
        <v>801</v>
      </c>
      <c r="C216">
        <v>12</v>
      </c>
      <c r="D216" s="10">
        <f>IF(I216="PROFESSOR REGENTE",IF(C216=40,C216*0.5,IF(C216&gt;11,C216*0.75,C216)),IF(I216="PROFESSOR DE ENSINO SUPERIOR EAD",IF(C216=40,4,2),0))</f>
        <v>9</v>
      </c>
      <c r="E216" s="16">
        <f>IF(OR(I216="PROFESSOR REGENTE",I216="PROFESSOR DE ENSINO SUPERIOR PRESENCIAL"),C216-D216,IF(C216=40,12,6))</f>
        <v>3</v>
      </c>
      <c r="F216" s="14" t="s">
        <v>802</v>
      </c>
      <c r="G216" s="7" t="s">
        <v>803</v>
      </c>
      <c r="H216" t="s">
        <v>29</v>
      </c>
      <c r="I216" s="14" t="s">
        <v>30</v>
      </c>
    </row>
    <row r="217" spans="1:9">
      <c r="A217" t="s">
        <v>804</v>
      </c>
      <c r="B217" s="7" t="s">
        <v>805</v>
      </c>
      <c r="C217">
        <v>12</v>
      </c>
      <c r="D217" s="10">
        <f>IF(I217="PROFESSOR REGENTE",IF(C217=40,C217*0.5,IF(C217&gt;11,C217*0.75,C217)),IF(I217="PROFESSOR DE ENSINO SUPERIOR EAD",IF(C217=40,4,2),0))</f>
        <v>9</v>
      </c>
      <c r="E217" s="16">
        <f>IF(OR(I217="PROFESSOR REGENTE",I217="PROFESSOR DE ENSINO SUPERIOR PRESENCIAL"),C217-D217,IF(C217=40,12,6))</f>
        <v>3</v>
      </c>
      <c r="F217" s="14" t="s">
        <v>806</v>
      </c>
      <c r="G217" s="7" t="s">
        <v>807</v>
      </c>
      <c r="H217" t="s">
        <v>29</v>
      </c>
      <c r="I217" s="14" t="s">
        <v>30</v>
      </c>
    </row>
    <row r="218" spans="1:9">
      <c r="A218" t="s">
        <v>727</v>
      </c>
      <c r="B218" s="7" t="s">
        <v>728</v>
      </c>
      <c r="C218">
        <v>12</v>
      </c>
      <c r="D218" s="10">
        <f>IF(I218="PROFESSOR REGENTE",IF(C218=40,C218*0.5,IF(C218&gt;11,C218*0.75,C218)),IF(I218="PROFESSOR DE ENSINO SUPERIOR EAD",IF(C218=40,4,2),0))</f>
        <v>9</v>
      </c>
      <c r="E218" s="16">
        <f>IF(OR(I218="PROFESSOR REGENTE",I218="PROFESSOR DE ENSINO SUPERIOR PRESENCIAL"),C218-D218,IF(C218=40,12,6))</f>
        <v>3</v>
      </c>
      <c r="F218" s="14" t="s">
        <v>808</v>
      </c>
      <c r="G218" s="7" t="s">
        <v>729</v>
      </c>
      <c r="H218" t="s">
        <v>29</v>
      </c>
      <c r="I218" s="14" t="s">
        <v>30</v>
      </c>
    </row>
    <row r="219" spans="1:9" ht="29.25">
      <c r="A219" t="s">
        <v>809</v>
      </c>
      <c r="B219" s="7" t="s">
        <v>810</v>
      </c>
      <c r="C219">
        <v>0</v>
      </c>
      <c r="D219" s="10">
        <f>IF(I219="PROFESSOR REGENTE",IF(C219=40,C219*0.5,IF(C219&gt;11,C219*0.75,C219)),IF(I219="PROFESSOR DE ENSINO SUPERIOR EAD",IF(C219=40,4,2),0))</f>
        <v>0</v>
      </c>
      <c r="E219" s="16">
        <f>IF(OR(I219="PROFESSOR REGENTE",I219="PROFESSOR DE ENSINO SUPERIOR PRESENCIAL"),C219-D219,IF(C219=40,12,6))</f>
        <v>0</v>
      </c>
      <c r="F219" s="14" t="s">
        <v>768</v>
      </c>
      <c r="G219" s="7" t="s">
        <v>811</v>
      </c>
      <c r="H219" t="s">
        <v>29</v>
      </c>
      <c r="I219" s="14" t="s">
        <v>675</v>
      </c>
    </row>
    <row r="220" spans="1:9">
      <c r="A220" t="s">
        <v>812</v>
      </c>
      <c r="B220" s="7" t="s">
        <v>813</v>
      </c>
      <c r="C220">
        <v>12</v>
      </c>
      <c r="D220" s="10">
        <f>IF(I220="PROFESSOR REGENTE",IF(C220=40,C220*0.5,IF(C220&gt;11,C220*0.75,C220)),IF(I220="PROFESSOR DE ENSINO SUPERIOR EAD",IF(C220=40,4,2),0))</f>
        <v>9</v>
      </c>
      <c r="E220" s="16">
        <f>IF(OR(I220="PROFESSOR REGENTE",I220="PROFESSOR DE ENSINO SUPERIOR PRESENCIAL"),C220-D220,IF(C220=40,12,6))</f>
        <v>3</v>
      </c>
      <c r="F220" s="14" t="s">
        <v>806</v>
      </c>
      <c r="G220" s="7" t="s">
        <v>814</v>
      </c>
      <c r="H220" t="s">
        <v>29</v>
      </c>
      <c r="I220" s="14" t="s">
        <v>30</v>
      </c>
    </row>
    <row r="221" spans="1:9">
      <c r="A221" t="s">
        <v>815</v>
      </c>
      <c r="B221" s="7" t="s">
        <v>816</v>
      </c>
      <c r="C221">
        <v>40</v>
      </c>
      <c r="D221" s="10">
        <f>IF(I221="PROFESSOR REGENTE",IF(C221=40,C221*0.5,IF(C221&gt;11,C221*0.75,C221)),IF(I221="PROFESSOR DE ENSINO SUPERIOR EAD",IF(C221=40,4,2),0))</f>
        <v>0</v>
      </c>
      <c r="E221" s="16">
        <f>IF(OR(I221="PROFESSOR REGENTE",I221="PROFESSOR DE ENSINO SUPERIOR PRESENCIAL"),C221-D221,IF(C221=40,12,6))</f>
        <v>12</v>
      </c>
      <c r="F221" s="14" t="s">
        <v>806</v>
      </c>
      <c r="G221" s="7" t="s">
        <v>817</v>
      </c>
      <c r="H221" t="s">
        <v>29</v>
      </c>
      <c r="I221" s="14" t="s">
        <v>782</v>
      </c>
    </row>
    <row r="222" spans="1:9">
      <c r="A222" t="s">
        <v>818</v>
      </c>
      <c r="B222" s="7" t="s">
        <v>819</v>
      </c>
      <c r="C222">
        <v>12</v>
      </c>
      <c r="D222" s="10">
        <f>IF(I222="PROFESSOR REGENTE",IF(C222=40,C222*0.5,IF(C222&gt;11,C222*0.75,C222)),IF(I222="PROFESSOR DE ENSINO SUPERIOR EAD",IF(C222=40,4,2),0))</f>
        <v>9</v>
      </c>
      <c r="E222" s="16">
        <f>IF(OR(I222="PROFESSOR REGENTE",I222="PROFESSOR DE ENSINO SUPERIOR PRESENCIAL"),C222-D222,IF(C222=40,12,6))</f>
        <v>3</v>
      </c>
      <c r="F222" s="14" t="s">
        <v>172</v>
      </c>
      <c r="G222" s="7" t="s">
        <v>820</v>
      </c>
      <c r="H222" t="s">
        <v>29</v>
      </c>
      <c r="I222" s="14" t="s">
        <v>30</v>
      </c>
    </row>
    <row r="223" spans="1:9">
      <c r="A223" t="s">
        <v>821</v>
      </c>
      <c r="B223" s="7" t="s">
        <v>822</v>
      </c>
      <c r="C223">
        <v>12</v>
      </c>
      <c r="D223" s="10">
        <f>IF(I223="PROFESSOR REGENTE",IF(C223=40,C223*0.5,IF(C223&gt;11,C223*0.75,C223)),IF(I223="PROFESSOR DE ENSINO SUPERIOR EAD",IF(C223=40,4,2),0))</f>
        <v>9</v>
      </c>
      <c r="E223" s="16">
        <f>IF(OR(I223="PROFESSOR REGENTE",I223="PROFESSOR DE ENSINO SUPERIOR PRESENCIAL"),C223-D223,IF(C223=40,12,6))</f>
        <v>3</v>
      </c>
      <c r="F223" s="14" t="s">
        <v>823</v>
      </c>
      <c r="G223" s="7" t="s">
        <v>824</v>
      </c>
      <c r="H223" t="s">
        <v>29</v>
      </c>
      <c r="I223" s="14" t="s">
        <v>30</v>
      </c>
    </row>
    <row r="224" spans="1:9">
      <c r="A224" t="s">
        <v>825</v>
      </c>
      <c r="B224" s="7" t="s">
        <v>826</v>
      </c>
      <c r="C224">
        <v>12</v>
      </c>
      <c r="D224" s="10">
        <f>IF(I224="PROFESSOR REGENTE",IF(C224=40,C224*0.5,IF(C224&gt;11,C224*0.75,C224)),IF(I224="PROFESSOR DE ENSINO SUPERIOR EAD",IF(C224=40,4,2),0))</f>
        <v>9</v>
      </c>
      <c r="E224" s="16">
        <f>IF(OR(I224="PROFESSOR REGENTE",I224="PROFESSOR DE ENSINO SUPERIOR PRESENCIAL"),C224-D224,IF(C224=40,12,6))</f>
        <v>3</v>
      </c>
      <c r="F224" s="14" t="s">
        <v>827</v>
      </c>
      <c r="G224" s="7" t="s">
        <v>828</v>
      </c>
      <c r="H224" t="s">
        <v>29</v>
      </c>
      <c r="I224" s="14" t="s">
        <v>30</v>
      </c>
    </row>
    <row r="225" spans="1:9" ht="29.25">
      <c r="A225" t="s">
        <v>829</v>
      </c>
      <c r="B225" s="7" t="s">
        <v>830</v>
      </c>
      <c r="C225">
        <v>0</v>
      </c>
      <c r="D225" s="10">
        <f>IF(I225="PROFESSOR REGENTE",IF(C225=40,C225*0.5,IF(C225&gt;11,C225*0.75,C225)),IF(I225="PROFESSOR DE ENSINO SUPERIOR EAD",IF(C225=40,4,2),0))</f>
        <v>0</v>
      </c>
      <c r="E225" s="16">
        <f>IF(OR(I225="PROFESSOR REGENTE",I225="PROFESSOR DE ENSINO SUPERIOR PRESENCIAL"),C225-D225,IF(C225=40,12,6))</f>
        <v>0</v>
      </c>
      <c r="F225" s="14" t="s">
        <v>765</v>
      </c>
      <c r="G225" s="7" t="s">
        <v>831</v>
      </c>
      <c r="H225" t="s">
        <v>29</v>
      </c>
      <c r="I225" s="14" t="s">
        <v>675</v>
      </c>
    </row>
    <row r="226" spans="1:9">
      <c r="A226" t="s">
        <v>832</v>
      </c>
      <c r="B226" s="7" t="s">
        <v>833</v>
      </c>
      <c r="C226">
        <v>12</v>
      </c>
      <c r="D226" s="10">
        <f>IF(I226="PROFESSOR REGENTE",IF(C226=40,C226*0.5,IF(C226&gt;11,C226*0.75,C226)),IF(I226="PROFESSOR DE ENSINO SUPERIOR EAD",IF(C226=40,4,2),0))</f>
        <v>9</v>
      </c>
      <c r="E226" s="16">
        <f>IF(OR(I226="PROFESSOR REGENTE",I226="PROFESSOR DE ENSINO SUPERIOR PRESENCIAL"),C226-D226,IF(C226=40,12,6))</f>
        <v>3</v>
      </c>
      <c r="F226" s="14" t="s">
        <v>806</v>
      </c>
      <c r="G226" s="7" t="s">
        <v>834</v>
      </c>
      <c r="H226" t="s">
        <v>29</v>
      </c>
      <c r="I226" s="14" t="s">
        <v>30</v>
      </c>
    </row>
    <row r="227" spans="1:9">
      <c r="A227" t="s">
        <v>835</v>
      </c>
      <c r="B227" s="7" t="s">
        <v>836</v>
      </c>
      <c r="C227">
        <v>12</v>
      </c>
      <c r="D227" s="10">
        <f>IF(I227="PROFESSOR REGENTE",IF(C227=40,C227*0.5,IF(C227&gt;11,C227*0.75,C227)),IF(I227="PROFESSOR DE ENSINO SUPERIOR EAD",IF(C227=40,4,2),0))</f>
        <v>9</v>
      </c>
      <c r="E227" s="16">
        <f>IF(OR(I227="PROFESSOR REGENTE",I227="PROFESSOR DE ENSINO SUPERIOR PRESENCIAL"),C227-D227,IF(C227=40,12,6))</f>
        <v>3</v>
      </c>
      <c r="F227" s="14" t="s">
        <v>753</v>
      </c>
      <c r="G227" s="7" t="s">
        <v>837</v>
      </c>
      <c r="H227" t="s">
        <v>29</v>
      </c>
      <c r="I227" s="14" t="s">
        <v>30</v>
      </c>
    </row>
    <row r="228" spans="1:9" ht="29.25">
      <c r="A228" t="s">
        <v>838</v>
      </c>
      <c r="B228" s="7" t="s">
        <v>839</v>
      </c>
      <c r="C228">
        <v>0</v>
      </c>
      <c r="D228" s="10">
        <f>IF(I228="PROFESSOR REGENTE",IF(C228=40,C228*0.5,IF(C228&gt;11,C228*0.75,C228)),IF(I228="PROFESSOR DE ENSINO SUPERIOR EAD",IF(C228=40,4,2),0))</f>
        <v>0</v>
      </c>
      <c r="E228" s="16">
        <f>IF(OR(I228="PROFESSOR REGENTE",I228="PROFESSOR DE ENSINO SUPERIOR PRESENCIAL"),C228-D228,IF(C228=40,12,6))</f>
        <v>0</v>
      </c>
      <c r="F228" t="s">
        <v>840</v>
      </c>
      <c r="G228" s="7" t="s">
        <v>841</v>
      </c>
      <c r="H228" t="s">
        <v>29</v>
      </c>
      <c r="I228" s="14" t="s">
        <v>675</v>
      </c>
    </row>
    <row r="229" spans="1:9">
      <c r="A229" t="s">
        <v>842</v>
      </c>
      <c r="B229" s="7" t="s">
        <v>843</v>
      </c>
      <c r="C229">
        <v>12</v>
      </c>
      <c r="D229" s="10">
        <f t="shared" ref="D229:D232" si="9">IF(I229="PROFESSOR REGENTE",IF(C229=40,C229*0.5,IF(C229&gt;11,C229*0.75,C229)),IF(I229="PROFESSOR DE ENSINO SUPERIOR EAD",IF(C229=40,4,2),0))</f>
        <v>9</v>
      </c>
      <c r="E229" s="16">
        <f t="shared" ref="E229:E232" si="10">IF(OR(I229="PROFESSOR REGENTE",I229="PROFESSOR DE ENSINO SUPERIOR PRESENCIAL"),C229-D229,IF(C229=40,12,6))</f>
        <v>3</v>
      </c>
      <c r="F229" t="s">
        <v>844</v>
      </c>
      <c r="G229" s="7" t="s">
        <v>845</v>
      </c>
      <c r="H229" t="s">
        <v>29</v>
      </c>
      <c r="I229" s="14" t="s">
        <v>30</v>
      </c>
    </row>
    <row r="230" spans="1:9">
      <c r="A230" t="s">
        <v>846</v>
      </c>
      <c r="B230" s="7" t="s">
        <v>847</v>
      </c>
      <c r="C230">
        <v>12</v>
      </c>
      <c r="D230" s="10">
        <f t="shared" si="9"/>
        <v>9</v>
      </c>
      <c r="E230" s="16">
        <f t="shared" si="10"/>
        <v>3</v>
      </c>
      <c r="F230" t="s">
        <v>415</v>
      </c>
      <c r="G230" s="7" t="s">
        <v>848</v>
      </c>
      <c r="H230" t="s">
        <v>29</v>
      </c>
      <c r="I230" s="14" t="s">
        <v>30</v>
      </c>
    </row>
    <row r="231" spans="1:9">
      <c r="A231" t="s">
        <v>849</v>
      </c>
      <c r="B231" s="7" t="s">
        <v>850</v>
      </c>
      <c r="C231">
        <v>12</v>
      </c>
      <c r="D231" s="10">
        <f t="shared" si="9"/>
        <v>9</v>
      </c>
      <c r="E231" s="16">
        <f t="shared" si="10"/>
        <v>3</v>
      </c>
      <c r="F231" t="s">
        <v>851</v>
      </c>
      <c r="G231" s="7" t="s">
        <v>852</v>
      </c>
      <c r="H231" t="s">
        <v>29</v>
      </c>
      <c r="I231" s="14" t="s">
        <v>30</v>
      </c>
    </row>
    <row r="232" spans="1:9">
      <c r="A232" t="s">
        <v>853</v>
      </c>
      <c r="B232" s="7" t="s">
        <v>854</v>
      </c>
      <c r="C232">
        <v>12</v>
      </c>
      <c r="D232" s="10">
        <f t="shared" si="9"/>
        <v>9</v>
      </c>
      <c r="E232" s="16">
        <f t="shared" si="10"/>
        <v>3</v>
      </c>
      <c r="F232" t="s">
        <v>780</v>
      </c>
      <c r="G232" s="7" t="s">
        <v>855</v>
      </c>
      <c r="H232" t="s">
        <v>29</v>
      </c>
      <c r="I232" s="14" t="s">
        <v>30</v>
      </c>
    </row>
    <row r="233" spans="1:9">
      <c r="A233" t="s">
        <v>856</v>
      </c>
      <c r="B233" s="7" t="s">
        <v>857</v>
      </c>
      <c r="C233">
        <v>0</v>
      </c>
      <c r="D233">
        <v>0</v>
      </c>
      <c r="E233">
        <v>0</v>
      </c>
      <c r="G233" s="7" t="s">
        <v>858</v>
      </c>
      <c r="I233" t="s">
        <v>859</v>
      </c>
    </row>
  </sheetData>
  <sheetProtection algorithmName="SHA-512" hashValue="1qjBbr8xSweuYbFXDP0lqdwGKfi4w60QCf5jUil1rStarKHPcvh8lnG3pb7fSojwhFVz7SI9J/ipDn760/Wh3w==" saltValue="nl7EGPwPtPYnzevY37t00g==" spinCount="100000" sheet="1" objects="1" scenarios="1"/>
  <autoFilter ref="A1:I1" xr:uid="{E00016CC-AB77-4613-AB82-418B9A0AB55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5873-736C-486C-A92B-50824622F23C}">
  <dimension ref="A1:W1792"/>
  <sheetViews>
    <sheetView tabSelected="1" zoomScaleNormal="100" workbookViewId="0">
      <pane ySplit="9" topLeftCell="A1131" activePane="bottomLeft" state="frozen"/>
      <selection pane="bottomLeft" activeCell="G1139" sqref="G1139"/>
    </sheetView>
  </sheetViews>
  <sheetFormatPr defaultRowHeight="15"/>
  <cols>
    <col min="1" max="1" width="50.42578125" bestFit="1" customWidth="1"/>
    <col min="2" max="2" width="14.28515625" bestFit="1" customWidth="1"/>
    <col min="3" max="4" width="14.28515625" customWidth="1"/>
    <col min="5" max="5" width="35.7109375" bestFit="1" customWidth="1"/>
    <col min="6" max="6" width="14.7109375" bestFit="1" customWidth="1"/>
    <col min="7" max="7" width="10.7109375" bestFit="1" customWidth="1"/>
    <col min="8" max="8" width="20" bestFit="1" customWidth="1"/>
    <col min="9" max="9" width="13.28515625" bestFit="1" customWidth="1"/>
    <col min="10" max="10" width="43.7109375" customWidth="1"/>
    <col min="11" max="11" width="39.85546875" customWidth="1"/>
    <col min="12" max="12" width="18" customWidth="1"/>
  </cols>
  <sheetData>
    <row r="1" spans="1:23" ht="15" customHeight="1">
      <c r="A1" s="23" t="s">
        <v>860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2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2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2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2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23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23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23">
      <c r="A8" s="22" t="s">
        <v>861</v>
      </c>
      <c r="B8" s="22"/>
      <c r="C8" s="22"/>
      <c r="D8" s="22"/>
      <c r="E8" s="22"/>
      <c r="F8" s="22"/>
      <c r="G8" s="22"/>
      <c r="H8" s="22"/>
      <c r="I8" s="22"/>
      <c r="J8" s="24" t="s">
        <v>862</v>
      </c>
      <c r="K8" s="24"/>
      <c r="L8" s="24"/>
    </row>
    <row r="9" spans="1:23">
      <c r="A9" s="4" t="s">
        <v>863</v>
      </c>
      <c r="B9" s="4" t="s">
        <v>1</v>
      </c>
      <c r="C9" s="4" t="s">
        <v>2</v>
      </c>
      <c r="D9" s="4" t="s">
        <v>3</v>
      </c>
      <c r="E9" s="4" t="s">
        <v>8</v>
      </c>
      <c r="F9" s="4" t="s">
        <v>9</v>
      </c>
      <c r="G9" s="4" t="s">
        <v>10</v>
      </c>
      <c r="H9" s="4" t="s">
        <v>864</v>
      </c>
      <c r="I9" s="4" t="s">
        <v>865</v>
      </c>
      <c r="J9" s="2" t="s">
        <v>866</v>
      </c>
      <c r="K9" s="2" t="s">
        <v>21</v>
      </c>
      <c r="L9" t="s">
        <v>867</v>
      </c>
    </row>
    <row r="10" spans="1:23">
      <c r="A10" s="3" t="s">
        <v>86</v>
      </c>
      <c r="B10" t="str">
        <f>IF(_xlfn.XLOOKUP(A10,PARAMETROS!A:A,PARAMETROS!B:B)=0,"",_xlfn.XLOOKUP(A10,PARAMETROS!A:A,PARAMETROS!B:B))</f>
        <v>012009006176</v>
      </c>
      <c r="C10">
        <f>IF(_xlfn.XLOOKUP(A10,PARAMETROS!A:A,PARAMETROS!C:C)=0,"",_xlfn.XLOOKUP(A10,PARAMETROS!A:A,PARAMETROS!C:C))</f>
        <v>12</v>
      </c>
      <c r="D10">
        <f>IF(_xlfn.XLOOKUP(A10,PARAMETROS!A:A,PARAMETROS!D:D)=0,"",_xlfn.XLOOKUP(A10,PARAMETROS!A:A,PARAMETROS!D:D))</f>
        <v>9</v>
      </c>
      <c r="E10" t="str">
        <f>IF(_xlfn.XLOOKUP('PREENCHIMENTO|LETIVAS'!A10,PARAMETROS!A:A,PARAMETROS!I:I)=0,"",_xlfn.XLOOKUP('PREENCHIMENTO|LETIVAS'!A10,PARAMETROS!A:A,PARAMETROS!I:I))</f>
        <v>PROFESSOR REGENTE</v>
      </c>
      <c r="F10" s="3" t="s">
        <v>31</v>
      </c>
      <c r="G10" s="3">
        <v>1</v>
      </c>
      <c r="H10" s="3" t="s">
        <v>55</v>
      </c>
      <c r="I10" s="3" t="s">
        <v>40</v>
      </c>
      <c r="J10" s="3" t="s">
        <v>868</v>
      </c>
      <c r="K10" s="3"/>
      <c r="L10" s="19"/>
      <c r="W10">
        <f>IF(I10&lt;&gt;"",2,0)</f>
        <v>2</v>
      </c>
    </row>
    <row r="11" spans="1:23">
      <c r="A11" s="3" t="s">
        <v>318</v>
      </c>
      <c r="B11" t="str">
        <f>IF(_xlfn.XLOOKUP(A11,PARAMETROS!A:A,PARAMETROS!B:B)=0,"",_xlfn.XLOOKUP(A11,PARAMETROS!A:A,PARAMETROS!B:B))</f>
        <v>012009006192</v>
      </c>
      <c r="C11">
        <f>IF(_xlfn.XLOOKUP(A11,PARAMETROS!A:A,PARAMETROS!C:C)=0,"",_xlfn.XLOOKUP(A11,PARAMETROS!A:A,PARAMETROS!C:C))</f>
        <v>12</v>
      </c>
      <c r="D11">
        <f>IF(_xlfn.XLOOKUP(A11,PARAMETROS!A:A,PARAMETROS!D:D)=0,"",_xlfn.XLOOKUP(A11,PARAMETROS!A:A,PARAMETROS!D:D))</f>
        <v>9</v>
      </c>
      <c r="E11" t="str">
        <f>IF(_xlfn.XLOOKUP('PREENCHIMENTO|LETIVAS'!A11,PARAMETROS!A:A,PARAMETROS!I:I)=0,"",_xlfn.XLOOKUP('PREENCHIMENTO|LETIVAS'!A11,PARAMETROS!A:A,PARAMETROS!I:I))</f>
        <v>PROFESSOR REGENTE</v>
      </c>
      <c r="F11" s="3" t="s">
        <v>31</v>
      </c>
      <c r="G11" s="3">
        <v>2</v>
      </c>
      <c r="H11" s="3" t="s">
        <v>55</v>
      </c>
      <c r="I11" s="3" t="s">
        <v>33</v>
      </c>
      <c r="J11" s="3" t="s">
        <v>869</v>
      </c>
      <c r="K11" s="3"/>
      <c r="L11" s="19"/>
      <c r="W11">
        <f t="shared" ref="W11:W74" si="0">IF(I11&lt;&gt;"",2,0)</f>
        <v>2</v>
      </c>
    </row>
    <row r="12" spans="1:23">
      <c r="A12" s="3" t="s">
        <v>318</v>
      </c>
      <c r="B12" t="str">
        <f>IF(_xlfn.XLOOKUP(A12,PARAMETROS!A:A,PARAMETROS!B:B)=0,"",_xlfn.XLOOKUP(A12,PARAMETROS!A:A,PARAMETROS!B:B))</f>
        <v>012009006192</v>
      </c>
      <c r="C12">
        <f>IF(_xlfn.XLOOKUP(A12,PARAMETROS!A:A,PARAMETROS!C:C)=0,"",_xlfn.XLOOKUP(A12,PARAMETROS!A:A,PARAMETROS!C:C))</f>
        <v>12</v>
      </c>
      <c r="D12">
        <f>IF(_xlfn.XLOOKUP(A12,PARAMETROS!A:A,PARAMETROS!D:D)=0,"",_xlfn.XLOOKUP(A12,PARAMETROS!A:A,PARAMETROS!D:D))</f>
        <v>9</v>
      </c>
      <c r="E12" t="str">
        <f>IF(_xlfn.XLOOKUP('PREENCHIMENTO|LETIVAS'!A12,PARAMETROS!A:A,PARAMETROS!I:I)=0,"",_xlfn.XLOOKUP('PREENCHIMENTO|LETIVAS'!A12,PARAMETROS!A:A,PARAMETROS!I:I))</f>
        <v>PROFESSOR REGENTE</v>
      </c>
      <c r="F12" s="3" t="s">
        <v>31</v>
      </c>
      <c r="G12" s="3">
        <v>1</v>
      </c>
      <c r="H12" s="3" t="s">
        <v>63</v>
      </c>
      <c r="I12" s="3" t="s">
        <v>33</v>
      </c>
      <c r="J12" s="3" t="s">
        <v>870</v>
      </c>
      <c r="K12" s="3"/>
      <c r="L12" s="19"/>
      <c r="W12">
        <f t="shared" si="0"/>
        <v>2</v>
      </c>
    </row>
    <row r="13" spans="1:23">
      <c r="A13" s="3" t="s">
        <v>318</v>
      </c>
      <c r="B13" t="str">
        <f>IF(_xlfn.XLOOKUP(A13,PARAMETROS!A:A,PARAMETROS!B:B)=0,"",_xlfn.XLOOKUP(A13,PARAMETROS!A:A,PARAMETROS!B:B))</f>
        <v>012009006192</v>
      </c>
      <c r="C13">
        <f>IF(_xlfn.XLOOKUP(A13,PARAMETROS!A:A,PARAMETROS!C:C)=0,"",_xlfn.XLOOKUP(A13,PARAMETROS!A:A,PARAMETROS!C:C))</f>
        <v>12</v>
      </c>
      <c r="D13">
        <f>IF(_xlfn.XLOOKUP(A13,PARAMETROS!A:A,PARAMETROS!D:D)=0,"",_xlfn.XLOOKUP(A13,PARAMETROS!A:A,PARAMETROS!D:D))</f>
        <v>9</v>
      </c>
      <c r="E13" t="str">
        <f>IF(_xlfn.XLOOKUP('PREENCHIMENTO|LETIVAS'!A13,PARAMETROS!A:A,PARAMETROS!I:I)=0,"",_xlfn.XLOOKUP('PREENCHIMENTO|LETIVAS'!A13,PARAMETROS!A:A,PARAMETROS!I:I))</f>
        <v>PROFESSOR REGENTE</v>
      </c>
      <c r="F13" s="3" t="s">
        <v>31</v>
      </c>
      <c r="G13" s="3">
        <v>2</v>
      </c>
      <c r="H13" s="3" t="s">
        <v>55</v>
      </c>
      <c r="I13" s="3" t="s">
        <v>40</v>
      </c>
      <c r="J13" s="3" t="s">
        <v>871</v>
      </c>
      <c r="K13" s="3"/>
      <c r="L13" s="19"/>
      <c r="W13">
        <f t="shared" si="0"/>
        <v>2</v>
      </c>
    </row>
    <row r="14" spans="1:23">
      <c r="A14" s="3" t="s">
        <v>318</v>
      </c>
      <c r="B14" t="str">
        <f>IF(_xlfn.XLOOKUP(A14,PARAMETROS!A:A,PARAMETROS!B:B)=0,"",_xlfn.XLOOKUP(A14,PARAMETROS!A:A,PARAMETROS!B:B))</f>
        <v>012009006192</v>
      </c>
      <c r="C14">
        <f>IF(_xlfn.XLOOKUP(A14,PARAMETROS!A:A,PARAMETROS!C:C)=0,"",_xlfn.XLOOKUP(A14,PARAMETROS!A:A,PARAMETROS!C:C))</f>
        <v>12</v>
      </c>
      <c r="D14">
        <f>IF(_xlfn.XLOOKUP(A14,PARAMETROS!A:A,PARAMETROS!D:D)=0,"",_xlfn.XLOOKUP(A14,PARAMETROS!A:A,PARAMETROS!D:D))</f>
        <v>9</v>
      </c>
      <c r="E14" t="str">
        <f>IF(_xlfn.XLOOKUP('PREENCHIMENTO|LETIVAS'!A14,PARAMETROS!A:A,PARAMETROS!I:I)=0,"",_xlfn.XLOOKUP('PREENCHIMENTO|LETIVAS'!A14,PARAMETROS!A:A,PARAMETROS!I:I))</f>
        <v>PROFESSOR REGENTE</v>
      </c>
      <c r="F14" s="3" t="s">
        <v>31</v>
      </c>
      <c r="G14" s="3">
        <v>2</v>
      </c>
      <c r="H14" s="3" t="s">
        <v>63</v>
      </c>
      <c r="I14" s="3" t="s">
        <v>33</v>
      </c>
      <c r="J14" s="3" t="s">
        <v>872</v>
      </c>
      <c r="K14" s="3"/>
      <c r="L14" s="19"/>
      <c r="W14">
        <f t="shared" si="0"/>
        <v>2</v>
      </c>
    </row>
    <row r="15" spans="1:23">
      <c r="A15" s="3" t="s">
        <v>647</v>
      </c>
      <c r="B15" t="str">
        <f>IF(_xlfn.XLOOKUP(A15,PARAMETROS!A:A,PARAMETROS!B:B)=0,"",_xlfn.XLOOKUP(A15,PARAMETROS!A:A,PARAMETROS!B:B))</f>
        <v>012009003424</v>
      </c>
      <c r="C15">
        <f>IF(_xlfn.XLOOKUP(A15,PARAMETROS!A:A,PARAMETROS!C:C)=0,"",_xlfn.XLOOKUP(A15,PARAMETROS!A:A,PARAMETROS!C:C))</f>
        <v>40</v>
      </c>
      <c r="D15">
        <f>IF(_xlfn.XLOOKUP(A15,PARAMETROS!A:A,PARAMETROS!D:D)=0,"",_xlfn.XLOOKUP(A15,PARAMETROS!A:A,PARAMETROS!D:D))</f>
        <v>20</v>
      </c>
      <c r="E15" t="str">
        <f>IF(_xlfn.XLOOKUP('PREENCHIMENTO|LETIVAS'!A15,PARAMETROS!A:A,PARAMETROS!I:I)=0,"",_xlfn.XLOOKUP('PREENCHIMENTO|LETIVAS'!A15,PARAMETROS!A:A,PARAMETROS!I:I))</f>
        <v>PROFESSOR REGENTE</v>
      </c>
      <c r="F15" s="3" t="s">
        <v>31</v>
      </c>
      <c r="G15" s="3">
        <v>1</v>
      </c>
      <c r="H15" s="3" t="s">
        <v>32</v>
      </c>
      <c r="I15" s="3" t="s">
        <v>40</v>
      </c>
      <c r="J15" s="3" t="s">
        <v>873</v>
      </c>
      <c r="K15" s="3"/>
      <c r="L15" s="19"/>
      <c r="W15">
        <f t="shared" si="0"/>
        <v>2</v>
      </c>
    </row>
    <row r="16" spans="1:23">
      <c r="A16" s="3" t="s">
        <v>647</v>
      </c>
      <c r="B16" t="str">
        <f>IF(_xlfn.XLOOKUP(A16,PARAMETROS!A:A,PARAMETROS!B:B)=0,"",_xlfn.XLOOKUP(A16,PARAMETROS!A:A,PARAMETROS!B:B))</f>
        <v>012009003424</v>
      </c>
      <c r="C16">
        <f>IF(_xlfn.XLOOKUP(A16,PARAMETROS!A:A,PARAMETROS!C:C)=0,"",_xlfn.XLOOKUP(A16,PARAMETROS!A:A,PARAMETROS!C:C))</f>
        <v>40</v>
      </c>
      <c r="D16">
        <f>IF(_xlfn.XLOOKUP(A16,PARAMETROS!A:A,PARAMETROS!D:D)=0,"",_xlfn.XLOOKUP(A16,PARAMETROS!A:A,PARAMETROS!D:D))</f>
        <v>20</v>
      </c>
      <c r="E16" t="str">
        <f>IF(_xlfn.XLOOKUP('PREENCHIMENTO|LETIVAS'!A16,PARAMETROS!A:A,PARAMETROS!I:I)=0,"",_xlfn.XLOOKUP('PREENCHIMENTO|LETIVAS'!A16,PARAMETROS!A:A,PARAMETROS!I:I))</f>
        <v>PROFESSOR REGENTE</v>
      </c>
      <c r="F16" s="3" t="s">
        <v>31</v>
      </c>
      <c r="G16" s="3">
        <v>1</v>
      </c>
      <c r="H16" s="3" t="s">
        <v>39</v>
      </c>
      <c r="I16" s="3" t="s">
        <v>40</v>
      </c>
      <c r="J16" s="3" t="s">
        <v>873</v>
      </c>
      <c r="K16" s="3"/>
      <c r="L16" s="19"/>
      <c r="W16">
        <f t="shared" si="0"/>
        <v>2</v>
      </c>
    </row>
    <row r="17" spans="1:23">
      <c r="A17" s="3" t="s">
        <v>647</v>
      </c>
      <c r="B17" t="str">
        <f>IF(_xlfn.XLOOKUP(A17,PARAMETROS!A:A,PARAMETROS!B:B)=0,"",_xlfn.XLOOKUP(A17,PARAMETROS!A:A,PARAMETROS!B:B))</f>
        <v>012009003424</v>
      </c>
      <c r="C17">
        <f>IF(_xlfn.XLOOKUP(A17,PARAMETROS!A:A,PARAMETROS!C:C)=0,"",_xlfn.XLOOKUP(A17,PARAMETROS!A:A,PARAMETROS!C:C))</f>
        <v>40</v>
      </c>
      <c r="D17">
        <f>IF(_xlfn.XLOOKUP(A17,PARAMETROS!A:A,PARAMETROS!D:D)=0,"",_xlfn.XLOOKUP(A17,PARAMETROS!A:A,PARAMETROS!D:D))</f>
        <v>20</v>
      </c>
      <c r="E17" t="str">
        <f>IF(_xlfn.XLOOKUP('PREENCHIMENTO|LETIVAS'!A17,PARAMETROS!A:A,PARAMETROS!I:I)=0,"",_xlfn.XLOOKUP('PREENCHIMENTO|LETIVAS'!A17,PARAMETROS!A:A,PARAMETROS!I:I))</f>
        <v>PROFESSOR REGENTE</v>
      </c>
      <c r="F17" s="3" t="s">
        <v>31</v>
      </c>
      <c r="G17" s="3">
        <v>1</v>
      </c>
      <c r="H17" s="3" t="s">
        <v>55</v>
      </c>
      <c r="I17" s="3" t="s">
        <v>40</v>
      </c>
      <c r="J17" s="3" t="s">
        <v>873</v>
      </c>
      <c r="K17" s="3"/>
      <c r="L17" s="19"/>
      <c r="W17">
        <f t="shared" si="0"/>
        <v>2</v>
      </c>
    </row>
    <row r="18" spans="1:23">
      <c r="A18" s="3" t="s">
        <v>647</v>
      </c>
      <c r="B18" t="str">
        <f>IF(_xlfn.XLOOKUP(A18,PARAMETROS!A:A,PARAMETROS!B:B)=0,"",_xlfn.XLOOKUP(A18,PARAMETROS!A:A,PARAMETROS!B:B))</f>
        <v>012009003424</v>
      </c>
      <c r="C18">
        <f>IF(_xlfn.XLOOKUP(A18,PARAMETROS!A:A,PARAMETROS!C:C)=0,"",_xlfn.XLOOKUP(A18,PARAMETROS!A:A,PARAMETROS!C:C))</f>
        <v>40</v>
      </c>
      <c r="D18">
        <f>IF(_xlfn.XLOOKUP(A18,PARAMETROS!A:A,PARAMETROS!D:D)=0,"",_xlfn.XLOOKUP(A18,PARAMETROS!A:A,PARAMETROS!D:D))</f>
        <v>20</v>
      </c>
      <c r="E18" t="str">
        <f>IF(_xlfn.XLOOKUP('PREENCHIMENTO|LETIVAS'!A18,PARAMETROS!A:A,PARAMETROS!I:I)=0,"",_xlfn.XLOOKUP('PREENCHIMENTO|LETIVAS'!A18,PARAMETROS!A:A,PARAMETROS!I:I))</f>
        <v>PROFESSOR REGENTE</v>
      </c>
      <c r="F18" s="3" t="s">
        <v>31</v>
      </c>
      <c r="G18" s="3">
        <v>1</v>
      </c>
      <c r="H18" s="3" t="s">
        <v>63</v>
      </c>
      <c r="I18" s="3" t="s">
        <v>40</v>
      </c>
      <c r="J18" s="3" t="s">
        <v>873</v>
      </c>
      <c r="K18" s="3"/>
      <c r="L18" s="19"/>
      <c r="W18">
        <f t="shared" si="0"/>
        <v>2</v>
      </c>
    </row>
    <row r="19" spans="1:23">
      <c r="A19" s="3" t="s">
        <v>582</v>
      </c>
      <c r="B19" t="str">
        <f>IF(_xlfn.XLOOKUP(A19,PARAMETROS!A:A,PARAMETROS!B:B)=0,"",_xlfn.XLOOKUP(A19,PARAMETROS!A:A,PARAMETROS!B:B))</f>
        <v>012009006245</v>
      </c>
      <c r="C19">
        <f>IF(_xlfn.XLOOKUP(A19,PARAMETROS!A:A,PARAMETROS!C:C)=0,"",_xlfn.XLOOKUP(A19,PARAMETROS!A:A,PARAMETROS!C:C))</f>
        <v>12</v>
      </c>
      <c r="D19">
        <f>IF(_xlfn.XLOOKUP(A19,PARAMETROS!A:A,PARAMETROS!D:D)=0,"",_xlfn.XLOOKUP(A19,PARAMETROS!A:A,PARAMETROS!D:D))</f>
        <v>9</v>
      </c>
      <c r="E19" t="str">
        <f>IF(_xlfn.XLOOKUP('PREENCHIMENTO|LETIVAS'!A19,PARAMETROS!A:A,PARAMETROS!I:I)=0,"",_xlfn.XLOOKUP('PREENCHIMENTO|LETIVAS'!A19,PARAMETROS!A:A,PARAMETROS!I:I))</f>
        <v>PROFESSOR REGENTE</v>
      </c>
      <c r="F19" s="3" t="s">
        <v>31</v>
      </c>
      <c r="G19" s="3" t="s">
        <v>54</v>
      </c>
      <c r="H19" s="3" t="s">
        <v>32</v>
      </c>
      <c r="I19" s="3" t="s">
        <v>40</v>
      </c>
      <c r="J19" s="3" t="s">
        <v>874</v>
      </c>
      <c r="K19" s="3"/>
      <c r="L19" s="19"/>
      <c r="W19">
        <f t="shared" si="0"/>
        <v>2</v>
      </c>
    </row>
    <row r="20" spans="1:23">
      <c r="A20" s="3" t="s">
        <v>582</v>
      </c>
      <c r="B20" t="str">
        <f>IF(_xlfn.XLOOKUP(A20,PARAMETROS!A:A,PARAMETROS!B:B)=0,"",_xlfn.XLOOKUP(A20,PARAMETROS!A:A,PARAMETROS!B:B))</f>
        <v>012009006245</v>
      </c>
      <c r="C20">
        <f>IF(_xlfn.XLOOKUP(A20,PARAMETROS!A:A,PARAMETROS!C:C)=0,"",_xlfn.XLOOKUP(A20,PARAMETROS!A:A,PARAMETROS!C:C))</f>
        <v>12</v>
      </c>
      <c r="D20">
        <f>IF(_xlfn.XLOOKUP(A20,PARAMETROS!A:A,PARAMETROS!D:D)=0,"",_xlfn.XLOOKUP(A20,PARAMETROS!A:A,PARAMETROS!D:D))</f>
        <v>9</v>
      </c>
      <c r="E20" t="str">
        <f>IF(_xlfn.XLOOKUP('PREENCHIMENTO|LETIVAS'!A20,PARAMETROS!A:A,PARAMETROS!I:I)=0,"",_xlfn.XLOOKUP('PREENCHIMENTO|LETIVAS'!A20,PARAMETROS!A:A,PARAMETROS!I:I))</f>
        <v>PROFESSOR REGENTE</v>
      </c>
      <c r="F20" s="3" t="s">
        <v>31</v>
      </c>
      <c r="G20" s="3">
        <v>1</v>
      </c>
      <c r="H20" s="3" t="s">
        <v>32</v>
      </c>
      <c r="I20" s="3" t="s">
        <v>33</v>
      </c>
      <c r="J20" s="3" t="s">
        <v>875</v>
      </c>
      <c r="K20" s="3"/>
      <c r="L20" s="19"/>
      <c r="W20">
        <f t="shared" si="0"/>
        <v>2</v>
      </c>
    </row>
    <row r="21" spans="1:23">
      <c r="A21" s="3" t="s">
        <v>582</v>
      </c>
      <c r="B21" t="str">
        <f>IF(_xlfn.XLOOKUP(A21,PARAMETROS!A:A,PARAMETROS!B:B)=0,"",_xlfn.XLOOKUP(A21,PARAMETROS!A:A,PARAMETROS!B:B))</f>
        <v>012009006245</v>
      </c>
      <c r="C21">
        <f>IF(_xlfn.XLOOKUP(A21,PARAMETROS!A:A,PARAMETROS!C:C)=0,"",_xlfn.XLOOKUP(A21,PARAMETROS!A:A,PARAMETROS!C:C))</f>
        <v>12</v>
      </c>
      <c r="D21">
        <f>IF(_xlfn.XLOOKUP(A21,PARAMETROS!A:A,PARAMETROS!D:D)=0,"",_xlfn.XLOOKUP(A21,PARAMETROS!A:A,PARAMETROS!D:D))</f>
        <v>9</v>
      </c>
      <c r="E21" t="str">
        <f>IF(_xlfn.XLOOKUP('PREENCHIMENTO|LETIVAS'!A21,PARAMETROS!A:A,PARAMETROS!I:I)=0,"",_xlfn.XLOOKUP('PREENCHIMENTO|LETIVAS'!A21,PARAMETROS!A:A,PARAMETROS!I:I))</f>
        <v>PROFESSOR REGENTE</v>
      </c>
      <c r="F21" s="3" t="s">
        <v>31</v>
      </c>
      <c r="G21" s="3">
        <v>2</v>
      </c>
      <c r="H21" s="3" t="s">
        <v>39</v>
      </c>
      <c r="I21" s="3" t="s">
        <v>33</v>
      </c>
      <c r="J21" s="3" t="s">
        <v>876</v>
      </c>
      <c r="K21" s="3"/>
      <c r="L21" s="19"/>
      <c r="W21">
        <f t="shared" si="0"/>
        <v>2</v>
      </c>
    </row>
    <row r="22" spans="1:23">
      <c r="A22" s="3" t="s">
        <v>632</v>
      </c>
      <c r="B22" t="str">
        <f>IF(_xlfn.XLOOKUP(A22,PARAMETROS!A:A,PARAMETROS!B:B)=0,"",_xlfn.XLOOKUP(A22,PARAMETROS!A:A,PARAMETROS!B:B))</f>
        <v>012009006265</v>
      </c>
      <c r="C22">
        <f>IF(_xlfn.XLOOKUP(A22,PARAMETROS!A:A,PARAMETROS!C:C)=0,"",_xlfn.XLOOKUP(A22,PARAMETROS!A:A,PARAMETROS!C:C))</f>
        <v>12</v>
      </c>
      <c r="D22">
        <f>IF(_xlfn.XLOOKUP(A22,PARAMETROS!A:A,PARAMETROS!D:D)=0,"",_xlfn.XLOOKUP(A22,PARAMETROS!A:A,PARAMETROS!D:D))</f>
        <v>9</v>
      </c>
      <c r="E22" t="str">
        <f>IF(_xlfn.XLOOKUP('PREENCHIMENTO|LETIVAS'!A22,PARAMETROS!A:A,PARAMETROS!I:I)=0,"",_xlfn.XLOOKUP('PREENCHIMENTO|LETIVAS'!A22,PARAMETROS!A:A,PARAMETROS!I:I))</f>
        <v>PROFESSOR REGENTE</v>
      </c>
      <c r="F22" s="3" t="s">
        <v>31</v>
      </c>
      <c r="G22" s="3" t="s">
        <v>54</v>
      </c>
      <c r="H22" s="3" t="s">
        <v>32</v>
      </c>
      <c r="I22" s="3" t="s">
        <v>40</v>
      </c>
      <c r="J22" s="3" t="s">
        <v>877</v>
      </c>
      <c r="K22" s="3"/>
      <c r="L22" s="19"/>
      <c r="W22">
        <f t="shared" si="0"/>
        <v>2</v>
      </c>
    </row>
    <row r="23" spans="1:23">
      <c r="A23" s="3" t="s">
        <v>632</v>
      </c>
      <c r="B23" t="str">
        <f>IF(_xlfn.XLOOKUP(A23,PARAMETROS!A:A,PARAMETROS!B:B)=0,"",_xlfn.XLOOKUP(A23,PARAMETROS!A:A,PARAMETROS!B:B))</f>
        <v>012009006265</v>
      </c>
      <c r="C23">
        <f>IF(_xlfn.XLOOKUP(A23,PARAMETROS!A:A,PARAMETROS!C:C)=0,"",_xlfn.XLOOKUP(A23,PARAMETROS!A:A,PARAMETROS!C:C))</f>
        <v>12</v>
      </c>
      <c r="D23">
        <f>IF(_xlfn.XLOOKUP(A23,PARAMETROS!A:A,PARAMETROS!D:D)=0,"",_xlfn.XLOOKUP(A23,PARAMETROS!A:A,PARAMETROS!D:D))</f>
        <v>9</v>
      </c>
      <c r="E23" t="str">
        <f>IF(_xlfn.XLOOKUP('PREENCHIMENTO|LETIVAS'!A23,PARAMETROS!A:A,PARAMETROS!I:I)=0,"",_xlfn.XLOOKUP('PREENCHIMENTO|LETIVAS'!A23,PARAMETROS!A:A,PARAMETROS!I:I))</f>
        <v>PROFESSOR REGENTE</v>
      </c>
      <c r="F23" s="3" t="s">
        <v>31</v>
      </c>
      <c r="G23" s="3" t="s">
        <v>54</v>
      </c>
      <c r="H23" s="3" t="s">
        <v>32</v>
      </c>
      <c r="I23" s="3" t="s">
        <v>33</v>
      </c>
      <c r="J23" s="3" t="s">
        <v>878</v>
      </c>
      <c r="K23" s="3"/>
      <c r="L23" s="19"/>
      <c r="W23">
        <f t="shared" si="0"/>
        <v>2</v>
      </c>
    </row>
    <row r="24" spans="1:23">
      <c r="A24" s="3" t="s">
        <v>650</v>
      </c>
      <c r="B24" t="str">
        <f>IF(_xlfn.XLOOKUP(A24,PARAMETROS!A:A,PARAMETROS!B:B)=0,"",_xlfn.XLOOKUP(A24,PARAMETROS!A:A,PARAMETROS!B:B))</f>
        <v>012009004339</v>
      </c>
      <c r="C24">
        <f>IF(_xlfn.XLOOKUP(A24,PARAMETROS!A:A,PARAMETROS!C:C)=0,"",_xlfn.XLOOKUP(A24,PARAMETROS!A:A,PARAMETROS!C:C))</f>
        <v>40</v>
      </c>
      <c r="D24">
        <f>IF(_xlfn.XLOOKUP(A24,PARAMETROS!A:A,PARAMETROS!D:D)=0,"",_xlfn.XLOOKUP(A24,PARAMETROS!A:A,PARAMETROS!D:D))</f>
        <v>20</v>
      </c>
      <c r="E24" t="str">
        <f>IF(_xlfn.XLOOKUP('PREENCHIMENTO|LETIVAS'!A24,PARAMETROS!A:A,PARAMETROS!I:I)=0,"",_xlfn.XLOOKUP('PREENCHIMENTO|LETIVAS'!A24,PARAMETROS!A:A,PARAMETROS!I:I))</f>
        <v>PROFESSOR REGENTE</v>
      </c>
      <c r="F24" s="3" t="s">
        <v>31</v>
      </c>
      <c r="G24" s="3" t="s">
        <v>54</v>
      </c>
      <c r="H24" s="3" t="s">
        <v>32</v>
      </c>
      <c r="I24" s="3" t="s">
        <v>33</v>
      </c>
      <c r="J24" s="3" t="s">
        <v>879</v>
      </c>
      <c r="K24" s="3"/>
      <c r="L24" s="19"/>
      <c r="W24">
        <f t="shared" si="0"/>
        <v>2</v>
      </c>
    </row>
    <row r="25" spans="1:23">
      <c r="A25" s="3" t="s">
        <v>650</v>
      </c>
      <c r="B25" t="str">
        <f>IF(_xlfn.XLOOKUP(A25,PARAMETROS!A:A,PARAMETROS!B:B)=0,"",_xlfn.XLOOKUP(A25,PARAMETROS!A:A,PARAMETROS!B:B))</f>
        <v>012009004339</v>
      </c>
      <c r="C25">
        <f>IF(_xlfn.XLOOKUP(A25,PARAMETROS!A:A,PARAMETROS!C:C)=0,"",_xlfn.XLOOKUP(A25,PARAMETROS!A:A,PARAMETROS!C:C))</f>
        <v>40</v>
      </c>
      <c r="D25">
        <f>IF(_xlfn.XLOOKUP(A25,PARAMETROS!A:A,PARAMETROS!D:D)=0,"",_xlfn.XLOOKUP(A25,PARAMETROS!A:A,PARAMETROS!D:D))</f>
        <v>20</v>
      </c>
      <c r="E25" t="str">
        <f>IF(_xlfn.XLOOKUP('PREENCHIMENTO|LETIVAS'!A25,PARAMETROS!A:A,PARAMETROS!I:I)=0,"",_xlfn.XLOOKUP('PREENCHIMENTO|LETIVAS'!A25,PARAMETROS!A:A,PARAMETROS!I:I))</f>
        <v>PROFESSOR REGENTE</v>
      </c>
      <c r="F25" s="3" t="s">
        <v>31</v>
      </c>
      <c r="G25" s="3" t="s">
        <v>54</v>
      </c>
      <c r="H25" s="3" t="s">
        <v>32</v>
      </c>
      <c r="I25" s="3" t="s">
        <v>40</v>
      </c>
      <c r="J25" s="3" t="s">
        <v>880</v>
      </c>
      <c r="K25" s="3"/>
      <c r="L25" s="19"/>
      <c r="W25">
        <f t="shared" si="0"/>
        <v>2</v>
      </c>
    </row>
    <row r="26" spans="1:23">
      <c r="A26" s="3" t="s">
        <v>526</v>
      </c>
      <c r="B26" t="str">
        <f>IF(_xlfn.XLOOKUP(A26,PARAMETROS!A:A,PARAMETROS!B:B)=0,"",_xlfn.XLOOKUP(A26,PARAMETROS!A:A,PARAMETROS!B:B))</f>
        <v>012009006226</v>
      </c>
      <c r="C26">
        <f>IF(_xlfn.XLOOKUP(A26,PARAMETROS!A:A,PARAMETROS!C:C)=0,"",_xlfn.XLOOKUP(A26,PARAMETROS!A:A,PARAMETROS!C:C))</f>
        <v>40</v>
      </c>
      <c r="D26">
        <f>IF(_xlfn.XLOOKUP(A26,PARAMETROS!A:A,PARAMETROS!D:D)=0,"",_xlfn.XLOOKUP(A26,PARAMETROS!A:A,PARAMETROS!D:D))</f>
        <v>20</v>
      </c>
      <c r="E26" t="str">
        <f>IF(_xlfn.XLOOKUP('PREENCHIMENTO|LETIVAS'!A26,PARAMETROS!A:A,PARAMETROS!I:I)=0,"",_xlfn.XLOOKUP('PREENCHIMENTO|LETIVAS'!A26,PARAMETROS!A:A,PARAMETROS!I:I))</f>
        <v>PROFESSOR REGENTE</v>
      </c>
      <c r="F26" s="3" t="s">
        <v>31</v>
      </c>
      <c r="G26" s="3" t="s">
        <v>54</v>
      </c>
      <c r="H26" s="3" t="s">
        <v>39</v>
      </c>
      <c r="I26" s="3" t="s">
        <v>33</v>
      </c>
      <c r="J26" s="3" t="s">
        <v>881</v>
      </c>
      <c r="K26" s="3"/>
      <c r="L26" s="19"/>
      <c r="W26">
        <f t="shared" si="0"/>
        <v>2</v>
      </c>
    </row>
    <row r="27" spans="1:23">
      <c r="A27" s="3" t="s">
        <v>526</v>
      </c>
      <c r="B27" t="str">
        <f>IF(_xlfn.XLOOKUP(A27,PARAMETROS!A:A,PARAMETROS!B:B)=0,"",_xlfn.XLOOKUP(A27,PARAMETROS!A:A,PARAMETROS!B:B))</f>
        <v>012009006226</v>
      </c>
      <c r="C27">
        <f>IF(_xlfn.XLOOKUP(A27,PARAMETROS!A:A,PARAMETROS!C:C)=0,"",_xlfn.XLOOKUP(A27,PARAMETROS!A:A,PARAMETROS!C:C))</f>
        <v>40</v>
      </c>
      <c r="D27">
        <f>IF(_xlfn.XLOOKUP(A27,PARAMETROS!A:A,PARAMETROS!D:D)=0,"",_xlfn.XLOOKUP(A27,PARAMETROS!A:A,PARAMETROS!D:D))</f>
        <v>20</v>
      </c>
      <c r="E27" t="str">
        <f>IF(_xlfn.XLOOKUP('PREENCHIMENTO|LETIVAS'!A27,PARAMETROS!A:A,PARAMETROS!I:I)=0,"",_xlfn.XLOOKUP('PREENCHIMENTO|LETIVAS'!A27,PARAMETROS!A:A,PARAMETROS!I:I))</f>
        <v>PROFESSOR REGENTE</v>
      </c>
      <c r="F27" s="3" t="s">
        <v>31</v>
      </c>
      <c r="G27" s="3" t="s">
        <v>54</v>
      </c>
      <c r="H27" s="3" t="s">
        <v>39</v>
      </c>
      <c r="I27" s="3" t="s">
        <v>33</v>
      </c>
      <c r="J27" s="3" t="s">
        <v>882</v>
      </c>
      <c r="K27" s="3"/>
      <c r="L27" s="19"/>
      <c r="W27">
        <f t="shared" si="0"/>
        <v>2</v>
      </c>
    </row>
    <row r="28" spans="1:23">
      <c r="A28" s="3" t="s">
        <v>526</v>
      </c>
      <c r="B28" t="str">
        <f>IF(_xlfn.XLOOKUP(A28,PARAMETROS!A:A,PARAMETROS!B:B)=0,"",_xlfn.XLOOKUP(A28,PARAMETROS!A:A,PARAMETROS!B:B))</f>
        <v>012009006226</v>
      </c>
      <c r="C28">
        <f>IF(_xlfn.XLOOKUP(A28,PARAMETROS!A:A,PARAMETROS!C:C)=0,"",_xlfn.XLOOKUP(A28,PARAMETROS!A:A,PARAMETROS!C:C))</f>
        <v>40</v>
      </c>
      <c r="D28">
        <f>IF(_xlfn.XLOOKUP(A28,PARAMETROS!A:A,PARAMETROS!D:D)=0,"",_xlfn.XLOOKUP(A28,PARAMETROS!A:A,PARAMETROS!D:D))</f>
        <v>20</v>
      </c>
      <c r="E28" t="str">
        <f>IF(_xlfn.XLOOKUP('PREENCHIMENTO|LETIVAS'!A28,PARAMETROS!A:A,PARAMETROS!I:I)=0,"",_xlfn.XLOOKUP('PREENCHIMENTO|LETIVAS'!A28,PARAMETROS!A:A,PARAMETROS!I:I))</f>
        <v>PROFESSOR REGENTE</v>
      </c>
      <c r="F28" s="3" t="s">
        <v>31</v>
      </c>
      <c r="G28" s="3" t="s">
        <v>54</v>
      </c>
      <c r="H28" s="3" t="s">
        <v>55</v>
      </c>
      <c r="I28" s="3" t="s">
        <v>33</v>
      </c>
      <c r="J28" s="3" t="s">
        <v>883</v>
      </c>
      <c r="K28" s="3"/>
      <c r="L28" s="19"/>
      <c r="W28">
        <f t="shared" si="0"/>
        <v>2</v>
      </c>
    </row>
    <row r="29" spans="1:23">
      <c r="A29" s="3" t="s">
        <v>526</v>
      </c>
      <c r="B29" t="str">
        <f>IF(_xlfn.XLOOKUP(A29,PARAMETROS!A:A,PARAMETROS!B:B)=0,"",_xlfn.XLOOKUP(A29,PARAMETROS!A:A,PARAMETROS!B:B))</f>
        <v>012009006226</v>
      </c>
      <c r="C29">
        <f>IF(_xlfn.XLOOKUP(A29,PARAMETROS!A:A,PARAMETROS!C:C)=0,"",_xlfn.XLOOKUP(A29,PARAMETROS!A:A,PARAMETROS!C:C))</f>
        <v>40</v>
      </c>
      <c r="D29">
        <f>IF(_xlfn.XLOOKUP(A29,PARAMETROS!A:A,PARAMETROS!D:D)=0,"",_xlfn.XLOOKUP(A29,PARAMETROS!A:A,PARAMETROS!D:D))</f>
        <v>20</v>
      </c>
      <c r="E29" t="str">
        <f>IF(_xlfn.XLOOKUP('PREENCHIMENTO|LETIVAS'!A29,PARAMETROS!A:A,PARAMETROS!I:I)=0,"",_xlfn.XLOOKUP('PREENCHIMENTO|LETIVAS'!A29,PARAMETROS!A:A,PARAMETROS!I:I))</f>
        <v>PROFESSOR REGENTE</v>
      </c>
      <c r="F29" s="3" t="s">
        <v>31</v>
      </c>
      <c r="G29" s="3" t="s">
        <v>54</v>
      </c>
      <c r="H29" s="3" t="s">
        <v>55</v>
      </c>
      <c r="I29" s="3" t="s">
        <v>40</v>
      </c>
      <c r="J29" s="3" t="s">
        <v>884</v>
      </c>
      <c r="K29" s="3"/>
      <c r="L29" s="19"/>
      <c r="W29">
        <f t="shared" si="0"/>
        <v>2</v>
      </c>
    </row>
    <row r="30" spans="1:23">
      <c r="A30" s="3" t="s">
        <v>526</v>
      </c>
      <c r="B30" t="str">
        <f>IF(_xlfn.XLOOKUP(A30,PARAMETROS!A:A,PARAMETROS!B:B)=0,"",_xlfn.XLOOKUP(A30,PARAMETROS!A:A,PARAMETROS!B:B))</f>
        <v>012009006226</v>
      </c>
      <c r="C30">
        <f>IF(_xlfn.XLOOKUP(A30,PARAMETROS!A:A,PARAMETROS!C:C)=0,"",_xlfn.XLOOKUP(A30,PARAMETROS!A:A,PARAMETROS!C:C))</f>
        <v>40</v>
      </c>
      <c r="D30">
        <f>IF(_xlfn.XLOOKUP(A30,PARAMETROS!A:A,PARAMETROS!D:D)=0,"",_xlfn.XLOOKUP(A30,PARAMETROS!A:A,PARAMETROS!D:D))</f>
        <v>20</v>
      </c>
      <c r="E30" t="str">
        <f>IF(_xlfn.XLOOKUP('PREENCHIMENTO|LETIVAS'!A30,PARAMETROS!A:A,PARAMETROS!I:I)=0,"",_xlfn.XLOOKUP('PREENCHIMENTO|LETIVAS'!A30,PARAMETROS!A:A,PARAMETROS!I:I))</f>
        <v>PROFESSOR REGENTE</v>
      </c>
      <c r="F30" s="3" t="s">
        <v>31</v>
      </c>
      <c r="G30" s="3" t="s">
        <v>54</v>
      </c>
      <c r="H30" s="3" t="s">
        <v>32</v>
      </c>
      <c r="I30" s="3" t="s">
        <v>33</v>
      </c>
      <c r="J30" s="3" t="s">
        <v>885</v>
      </c>
      <c r="K30" s="3"/>
      <c r="L30" s="19"/>
      <c r="W30">
        <f t="shared" si="0"/>
        <v>2</v>
      </c>
    </row>
    <row r="31" spans="1:23">
      <c r="A31" s="3" t="s">
        <v>590</v>
      </c>
      <c r="B31" t="str">
        <f>IF(_xlfn.XLOOKUP(A31,PARAMETROS!A:A,PARAMETROS!B:B)=0,"",_xlfn.XLOOKUP(A31,PARAMETROS!A:A,PARAMETROS!B:B))</f>
        <v>012009006311</v>
      </c>
      <c r="C31">
        <f>IF(_xlfn.XLOOKUP(A31,PARAMETROS!A:A,PARAMETROS!C:C)=0,"",_xlfn.XLOOKUP(A31,PARAMETROS!A:A,PARAMETROS!C:C))</f>
        <v>12</v>
      </c>
      <c r="D31">
        <f>IF(_xlfn.XLOOKUP(A31,PARAMETROS!A:A,PARAMETROS!D:D)=0,"",_xlfn.XLOOKUP(A31,PARAMETROS!A:A,PARAMETROS!D:D))</f>
        <v>9</v>
      </c>
      <c r="E31" t="str">
        <f>IF(_xlfn.XLOOKUP('PREENCHIMENTO|LETIVAS'!A31,PARAMETROS!A:A,PARAMETROS!I:I)=0,"",_xlfn.XLOOKUP('PREENCHIMENTO|LETIVAS'!A31,PARAMETROS!A:A,PARAMETROS!I:I))</f>
        <v>PROFESSOR REGENTE</v>
      </c>
      <c r="F31" s="3" t="s">
        <v>31</v>
      </c>
      <c r="G31" s="3" t="s">
        <v>54</v>
      </c>
      <c r="H31" s="3" t="s">
        <v>55</v>
      </c>
      <c r="I31" s="3" t="s">
        <v>33</v>
      </c>
      <c r="J31" s="3" t="s">
        <v>886</v>
      </c>
      <c r="K31" s="3"/>
      <c r="L31" s="19"/>
      <c r="W31">
        <f t="shared" si="0"/>
        <v>2</v>
      </c>
    </row>
    <row r="32" spans="1:23">
      <c r="A32" s="3" t="s">
        <v>590</v>
      </c>
      <c r="B32" t="str">
        <f>IF(_xlfn.XLOOKUP(A32,PARAMETROS!A:A,PARAMETROS!B:B)=0,"",_xlfn.XLOOKUP(A32,PARAMETROS!A:A,PARAMETROS!B:B))</f>
        <v>012009006311</v>
      </c>
      <c r="C32">
        <f>IF(_xlfn.XLOOKUP(A32,PARAMETROS!A:A,PARAMETROS!C:C)=0,"",_xlfn.XLOOKUP(A32,PARAMETROS!A:A,PARAMETROS!C:C))</f>
        <v>12</v>
      </c>
      <c r="D32">
        <f>IF(_xlfn.XLOOKUP(A32,PARAMETROS!A:A,PARAMETROS!D:D)=0,"",_xlfn.XLOOKUP(A32,PARAMETROS!A:A,PARAMETROS!D:D))</f>
        <v>9</v>
      </c>
      <c r="E32" t="str">
        <f>IF(_xlfn.XLOOKUP('PREENCHIMENTO|LETIVAS'!A32,PARAMETROS!A:A,PARAMETROS!I:I)=0,"",_xlfn.XLOOKUP('PREENCHIMENTO|LETIVAS'!A32,PARAMETROS!A:A,PARAMETROS!I:I))</f>
        <v>PROFESSOR REGENTE</v>
      </c>
      <c r="F32" s="3" t="s">
        <v>31</v>
      </c>
      <c r="G32" s="3" t="s">
        <v>54</v>
      </c>
      <c r="H32" s="3" t="s">
        <v>55</v>
      </c>
      <c r="I32" s="3" t="s">
        <v>40</v>
      </c>
      <c r="J32" s="3" t="s">
        <v>887</v>
      </c>
      <c r="K32" s="3"/>
      <c r="L32" s="19"/>
      <c r="W32">
        <f t="shared" si="0"/>
        <v>2</v>
      </c>
    </row>
    <row r="33" spans="1:23">
      <c r="A33" s="3" t="s">
        <v>556</v>
      </c>
      <c r="B33" t="str">
        <f>IF(_xlfn.XLOOKUP(A33,PARAMETROS!A:A,PARAMETROS!B:B)=0,"",_xlfn.XLOOKUP(A33,PARAMETROS!A:A,PARAMETROS!B:B))</f>
        <v>012009006258</v>
      </c>
      <c r="C33">
        <f>IF(_xlfn.XLOOKUP(A33,PARAMETROS!A:A,PARAMETROS!C:C)=0,"",_xlfn.XLOOKUP(A33,PARAMETROS!A:A,PARAMETROS!C:C))</f>
        <v>12</v>
      </c>
      <c r="D33">
        <f>IF(_xlfn.XLOOKUP(A33,PARAMETROS!A:A,PARAMETROS!D:D)=0,"",_xlfn.XLOOKUP(A33,PARAMETROS!A:A,PARAMETROS!D:D))</f>
        <v>9</v>
      </c>
      <c r="E33" t="str">
        <f>IF(_xlfn.XLOOKUP('PREENCHIMENTO|LETIVAS'!A33,PARAMETROS!A:A,PARAMETROS!I:I)=0,"",_xlfn.XLOOKUP('PREENCHIMENTO|LETIVAS'!A33,PARAMETROS!A:A,PARAMETROS!I:I))</f>
        <v>PROFESSOR REGENTE</v>
      </c>
      <c r="F33" s="3" t="s">
        <v>31</v>
      </c>
      <c r="G33" s="3" t="s">
        <v>54</v>
      </c>
      <c r="H33" s="3" t="s">
        <v>55</v>
      </c>
      <c r="I33" s="3" t="s">
        <v>33</v>
      </c>
      <c r="J33" s="3" t="s">
        <v>888</v>
      </c>
      <c r="K33" s="3"/>
      <c r="L33" s="19"/>
      <c r="W33">
        <f t="shared" si="0"/>
        <v>2</v>
      </c>
    </row>
    <row r="34" spans="1:23">
      <c r="A34" s="3" t="s">
        <v>556</v>
      </c>
      <c r="B34" t="str">
        <f>IF(_xlfn.XLOOKUP(A34,PARAMETROS!A:A,PARAMETROS!B:B)=0,"",_xlfn.XLOOKUP(A34,PARAMETROS!A:A,PARAMETROS!B:B))</f>
        <v>012009006258</v>
      </c>
      <c r="C34">
        <f>IF(_xlfn.XLOOKUP(A34,PARAMETROS!A:A,PARAMETROS!C:C)=0,"",_xlfn.XLOOKUP(A34,PARAMETROS!A:A,PARAMETROS!C:C))</f>
        <v>12</v>
      </c>
      <c r="D34">
        <f>IF(_xlfn.XLOOKUP(A34,PARAMETROS!A:A,PARAMETROS!D:D)=0,"",_xlfn.XLOOKUP(A34,PARAMETROS!A:A,PARAMETROS!D:D))</f>
        <v>9</v>
      </c>
      <c r="E34" t="str">
        <f>IF(_xlfn.XLOOKUP('PREENCHIMENTO|LETIVAS'!A34,PARAMETROS!A:A,PARAMETROS!I:I)=0,"",_xlfn.XLOOKUP('PREENCHIMENTO|LETIVAS'!A34,PARAMETROS!A:A,PARAMETROS!I:I))</f>
        <v>PROFESSOR REGENTE</v>
      </c>
      <c r="F34" s="3" t="s">
        <v>31</v>
      </c>
      <c r="G34" s="3">
        <v>2</v>
      </c>
      <c r="H34" s="3" t="s">
        <v>63</v>
      </c>
      <c r="I34" s="3" t="s">
        <v>33</v>
      </c>
      <c r="J34" s="3" t="s">
        <v>889</v>
      </c>
      <c r="K34" s="3"/>
      <c r="L34" s="19"/>
      <c r="W34">
        <f t="shared" si="0"/>
        <v>2</v>
      </c>
    </row>
    <row r="35" spans="1:23">
      <c r="A35" s="3" t="s">
        <v>359</v>
      </c>
      <c r="B35" t="str">
        <f>IF(_xlfn.XLOOKUP(A35,PARAMETROS!A:A,PARAMETROS!B:B)=0,"",_xlfn.XLOOKUP(A35,PARAMETROS!A:A,PARAMETROS!B:B))</f>
        <v>012009006237</v>
      </c>
      <c r="C35">
        <f>IF(_xlfn.XLOOKUP(A35,PARAMETROS!A:A,PARAMETROS!C:C)=0,"",_xlfn.XLOOKUP(A35,PARAMETROS!A:A,PARAMETROS!C:C))</f>
        <v>12</v>
      </c>
      <c r="D35">
        <f>IF(_xlfn.XLOOKUP(A35,PARAMETROS!A:A,PARAMETROS!D:D)=0,"",_xlfn.XLOOKUP(A35,PARAMETROS!A:A,PARAMETROS!D:D))</f>
        <v>9</v>
      </c>
      <c r="E35" t="str">
        <f>IF(_xlfn.XLOOKUP('PREENCHIMENTO|LETIVAS'!A35,PARAMETROS!A:A,PARAMETROS!I:I)=0,"",_xlfn.XLOOKUP('PREENCHIMENTO|LETIVAS'!A35,PARAMETROS!A:A,PARAMETROS!I:I))</f>
        <v>PROFESSOR REGENTE</v>
      </c>
      <c r="F35" s="3" t="s">
        <v>31</v>
      </c>
      <c r="G35" s="3" t="s">
        <v>54</v>
      </c>
      <c r="H35" s="3" t="s">
        <v>39</v>
      </c>
      <c r="I35" s="3" t="s">
        <v>40</v>
      </c>
      <c r="J35" s="3" t="s">
        <v>890</v>
      </c>
      <c r="K35" s="3"/>
      <c r="L35" s="19"/>
      <c r="W35">
        <f t="shared" si="0"/>
        <v>2</v>
      </c>
    </row>
    <row r="36" spans="1:23">
      <c r="A36" s="3" t="s">
        <v>359</v>
      </c>
      <c r="B36" t="str">
        <f>IF(_xlfn.XLOOKUP(A36,PARAMETROS!A:A,PARAMETROS!B:B)=0,"",_xlfn.XLOOKUP(A36,PARAMETROS!A:A,PARAMETROS!B:B))</f>
        <v>012009006237</v>
      </c>
      <c r="C36">
        <f>IF(_xlfn.XLOOKUP(A36,PARAMETROS!A:A,PARAMETROS!C:C)=0,"",_xlfn.XLOOKUP(A36,PARAMETROS!A:A,PARAMETROS!C:C))</f>
        <v>12</v>
      </c>
      <c r="D36">
        <f>IF(_xlfn.XLOOKUP(A36,PARAMETROS!A:A,PARAMETROS!D:D)=0,"",_xlfn.XLOOKUP(A36,PARAMETROS!A:A,PARAMETROS!D:D))</f>
        <v>9</v>
      </c>
      <c r="E36" t="str">
        <f>IF(_xlfn.XLOOKUP('PREENCHIMENTO|LETIVAS'!A36,PARAMETROS!A:A,PARAMETROS!I:I)=0,"",_xlfn.XLOOKUP('PREENCHIMENTO|LETIVAS'!A36,PARAMETROS!A:A,PARAMETROS!I:I))</f>
        <v>PROFESSOR REGENTE</v>
      </c>
      <c r="F36" s="3" t="s">
        <v>31</v>
      </c>
      <c r="G36" s="3" t="s">
        <v>54</v>
      </c>
      <c r="H36" s="3" t="s">
        <v>39</v>
      </c>
      <c r="I36" s="3" t="s">
        <v>33</v>
      </c>
      <c r="J36" s="3" t="s">
        <v>891</v>
      </c>
      <c r="K36" s="3"/>
      <c r="L36" s="19"/>
      <c r="W36">
        <f t="shared" si="0"/>
        <v>2</v>
      </c>
    </row>
    <row r="37" spans="1:23">
      <c r="A37" s="3" t="s">
        <v>359</v>
      </c>
      <c r="B37" t="str">
        <f>IF(_xlfn.XLOOKUP(A37,PARAMETROS!A:A,PARAMETROS!B:B)=0,"",_xlfn.XLOOKUP(A37,PARAMETROS!A:A,PARAMETROS!B:B))</f>
        <v>012009006237</v>
      </c>
      <c r="C37">
        <f>IF(_xlfn.XLOOKUP(A37,PARAMETROS!A:A,PARAMETROS!C:C)=0,"",_xlfn.XLOOKUP(A37,PARAMETROS!A:A,PARAMETROS!C:C))</f>
        <v>12</v>
      </c>
      <c r="D37">
        <f>IF(_xlfn.XLOOKUP(A37,PARAMETROS!A:A,PARAMETROS!D:D)=0,"",_xlfn.XLOOKUP(A37,PARAMETROS!A:A,PARAMETROS!D:D))</f>
        <v>9</v>
      </c>
      <c r="E37" t="str">
        <f>IF(_xlfn.XLOOKUP('PREENCHIMENTO|LETIVAS'!A37,PARAMETROS!A:A,PARAMETROS!I:I)=0,"",_xlfn.XLOOKUP('PREENCHIMENTO|LETIVAS'!A37,PARAMETROS!A:A,PARAMETROS!I:I))</f>
        <v>PROFESSOR REGENTE</v>
      </c>
      <c r="F37" s="3" t="s">
        <v>31</v>
      </c>
      <c r="G37" s="3">
        <v>2</v>
      </c>
      <c r="H37" s="3" t="s">
        <v>55</v>
      </c>
      <c r="I37" s="3" t="s">
        <v>40</v>
      </c>
      <c r="J37" s="3" t="s">
        <v>892</v>
      </c>
      <c r="K37" s="3"/>
      <c r="L37" s="19"/>
      <c r="W37">
        <f t="shared" si="0"/>
        <v>2</v>
      </c>
    </row>
    <row r="38" spans="1:23">
      <c r="A38" s="3" t="s">
        <v>459</v>
      </c>
      <c r="B38" t="str">
        <f>IF(_xlfn.XLOOKUP(A38,PARAMETROS!A:A,PARAMETROS!B:B)=0,"",_xlfn.XLOOKUP(A38,PARAMETROS!A:A,PARAMETROS!B:B))</f>
        <v>012009006222</v>
      </c>
      <c r="C38">
        <f>IF(_xlfn.XLOOKUP(A38,PARAMETROS!A:A,PARAMETROS!C:C)=0,"",_xlfn.XLOOKUP(A38,PARAMETROS!A:A,PARAMETROS!C:C))</f>
        <v>12</v>
      </c>
      <c r="D38">
        <f>IF(_xlfn.XLOOKUP(A38,PARAMETROS!A:A,PARAMETROS!D:D)=0,"",_xlfn.XLOOKUP(A38,PARAMETROS!A:A,PARAMETROS!D:D))</f>
        <v>9</v>
      </c>
      <c r="E38" t="str">
        <f>IF(_xlfn.XLOOKUP('PREENCHIMENTO|LETIVAS'!A38,PARAMETROS!A:A,PARAMETROS!I:I)=0,"",_xlfn.XLOOKUP('PREENCHIMENTO|LETIVAS'!A38,PARAMETROS!A:A,PARAMETROS!I:I))</f>
        <v>PROFESSOR REGENTE</v>
      </c>
      <c r="F38" s="3" t="s">
        <v>31</v>
      </c>
      <c r="G38" s="3">
        <v>1</v>
      </c>
      <c r="H38" s="3" t="s">
        <v>63</v>
      </c>
      <c r="I38" s="3" t="s">
        <v>33</v>
      </c>
      <c r="J38" s="3" t="s">
        <v>893</v>
      </c>
      <c r="K38" s="3"/>
      <c r="L38" s="19"/>
      <c r="W38">
        <f t="shared" si="0"/>
        <v>2</v>
      </c>
    </row>
    <row r="39" spans="1:23">
      <c r="A39" s="3" t="s">
        <v>459</v>
      </c>
      <c r="B39" t="str">
        <f>IF(_xlfn.XLOOKUP(A39,PARAMETROS!A:A,PARAMETROS!B:B)=0,"",_xlfn.XLOOKUP(A39,PARAMETROS!A:A,PARAMETROS!B:B))</f>
        <v>012009006222</v>
      </c>
      <c r="C39">
        <f>IF(_xlfn.XLOOKUP(A39,PARAMETROS!A:A,PARAMETROS!C:C)=0,"",_xlfn.XLOOKUP(A39,PARAMETROS!A:A,PARAMETROS!C:C))</f>
        <v>12</v>
      </c>
      <c r="D39">
        <f>IF(_xlfn.XLOOKUP(A39,PARAMETROS!A:A,PARAMETROS!D:D)=0,"",_xlfn.XLOOKUP(A39,PARAMETROS!A:A,PARAMETROS!D:D))</f>
        <v>9</v>
      </c>
      <c r="E39" t="str">
        <f>IF(_xlfn.XLOOKUP('PREENCHIMENTO|LETIVAS'!A39,PARAMETROS!A:A,PARAMETROS!I:I)=0,"",_xlfn.XLOOKUP('PREENCHIMENTO|LETIVAS'!A39,PARAMETROS!A:A,PARAMETROS!I:I))</f>
        <v>PROFESSOR REGENTE</v>
      </c>
      <c r="F39" s="3" t="s">
        <v>31</v>
      </c>
      <c r="G39" s="3">
        <v>2</v>
      </c>
      <c r="H39" s="3" t="s">
        <v>63</v>
      </c>
      <c r="I39" s="3" t="s">
        <v>33</v>
      </c>
      <c r="J39" s="3" t="s">
        <v>894</v>
      </c>
      <c r="K39" s="3"/>
      <c r="L39" s="19"/>
      <c r="W39">
        <f t="shared" si="0"/>
        <v>2</v>
      </c>
    </row>
    <row r="40" spans="1:23">
      <c r="A40" s="3" t="s">
        <v>505</v>
      </c>
      <c r="B40" t="str">
        <f>IF(_xlfn.XLOOKUP(A40,PARAMETROS!A:A,PARAMETROS!B:B)=0,"",_xlfn.XLOOKUP(A40,PARAMETROS!A:A,PARAMETROS!B:B))</f>
        <v>012009006225</v>
      </c>
      <c r="C40">
        <f>IF(_xlfn.XLOOKUP(A40,PARAMETROS!A:A,PARAMETROS!C:C)=0,"",_xlfn.XLOOKUP(A40,PARAMETROS!A:A,PARAMETROS!C:C))</f>
        <v>12</v>
      </c>
      <c r="D40">
        <f>IF(_xlfn.XLOOKUP(A40,PARAMETROS!A:A,PARAMETROS!D:D)=0,"",_xlfn.XLOOKUP(A40,PARAMETROS!A:A,PARAMETROS!D:D))</f>
        <v>9</v>
      </c>
      <c r="E40" t="str">
        <f>IF(_xlfn.XLOOKUP('PREENCHIMENTO|LETIVAS'!A40,PARAMETROS!A:A,PARAMETROS!I:I)=0,"",_xlfn.XLOOKUP('PREENCHIMENTO|LETIVAS'!A40,PARAMETROS!A:A,PARAMETROS!I:I))</f>
        <v>PROFESSOR REGENTE</v>
      </c>
      <c r="F40" s="3" t="s">
        <v>31</v>
      </c>
      <c r="G40" s="3">
        <v>2</v>
      </c>
      <c r="H40" s="3" t="s">
        <v>63</v>
      </c>
      <c r="I40" s="3" t="s">
        <v>40</v>
      </c>
      <c r="J40" s="3" t="s">
        <v>895</v>
      </c>
      <c r="K40" s="3"/>
      <c r="L40" s="19"/>
      <c r="W40">
        <f t="shared" si="0"/>
        <v>2</v>
      </c>
    </row>
    <row r="41" spans="1:23">
      <c r="A41" s="3" t="s">
        <v>505</v>
      </c>
      <c r="B41" t="str">
        <f>IF(_xlfn.XLOOKUP(A41,PARAMETROS!A:A,PARAMETROS!B:B)=0,"",_xlfn.XLOOKUP(A41,PARAMETROS!A:A,PARAMETROS!B:B))</f>
        <v>012009006225</v>
      </c>
      <c r="C41">
        <f>IF(_xlfn.XLOOKUP(A41,PARAMETROS!A:A,PARAMETROS!C:C)=0,"",_xlfn.XLOOKUP(A41,PARAMETROS!A:A,PARAMETROS!C:C))</f>
        <v>12</v>
      </c>
      <c r="D41">
        <f>IF(_xlfn.XLOOKUP(A41,PARAMETROS!A:A,PARAMETROS!D:D)=0,"",_xlfn.XLOOKUP(A41,PARAMETROS!A:A,PARAMETROS!D:D))</f>
        <v>9</v>
      </c>
      <c r="E41" t="str">
        <f>IF(_xlfn.XLOOKUP('PREENCHIMENTO|LETIVAS'!A41,PARAMETROS!A:A,PARAMETROS!I:I)=0,"",_xlfn.XLOOKUP('PREENCHIMENTO|LETIVAS'!A41,PARAMETROS!A:A,PARAMETROS!I:I))</f>
        <v>PROFESSOR REGENTE</v>
      </c>
      <c r="F41" s="3" t="s">
        <v>31</v>
      </c>
      <c r="G41" s="3">
        <v>2</v>
      </c>
      <c r="H41" s="3" t="s">
        <v>63</v>
      </c>
      <c r="I41" s="3" t="s">
        <v>33</v>
      </c>
      <c r="J41" s="3" t="s">
        <v>896</v>
      </c>
      <c r="K41" s="3"/>
      <c r="L41" s="19"/>
      <c r="W41">
        <f t="shared" si="0"/>
        <v>2</v>
      </c>
    </row>
    <row r="42" spans="1:23">
      <c r="A42" s="3" t="s">
        <v>508</v>
      </c>
      <c r="B42" t="str">
        <f>IF(_xlfn.XLOOKUP(A42,PARAMETROS!A:A,PARAMETROS!B:B)=0,"",_xlfn.XLOOKUP(A42,PARAMETROS!A:A,PARAMETROS!B:B))</f>
        <v>012009003575</v>
      </c>
      <c r="C42">
        <f>IF(_xlfn.XLOOKUP(A42,PARAMETROS!A:A,PARAMETROS!C:C)=0,"",_xlfn.XLOOKUP(A42,PARAMETROS!A:A,PARAMETROS!C:C))</f>
        <v>20</v>
      </c>
      <c r="D42">
        <f>IF(_xlfn.XLOOKUP(A42,PARAMETROS!A:A,PARAMETROS!D:D)=0,"",_xlfn.XLOOKUP(A42,PARAMETROS!A:A,PARAMETROS!D:D))</f>
        <v>2</v>
      </c>
      <c r="E42" t="str">
        <f>IF(_xlfn.XLOOKUP('PREENCHIMENTO|LETIVAS'!A42,PARAMETROS!A:A,PARAMETROS!I:I)=0,"",_xlfn.XLOOKUP('PREENCHIMENTO|LETIVAS'!A42,PARAMETROS!A:A,PARAMETROS!I:I))</f>
        <v>PROFESSOR DE ENSINO SUPERIOR EAD</v>
      </c>
      <c r="F42" s="3" t="s">
        <v>31</v>
      </c>
      <c r="G42" s="3">
        <v>2</v>
      </c>
      <c r="H42" s="3" t="s">
        <v>63</v>
      </c>
      <c r="I42" s="3" t="s">
        <v>40</v>
      </c>
      <c r="J42" s="3" t="s">
        <v>897</v>
      </c>
      <c r="K42" s="3"/>
      <c r="L42" s="19"/>
      <c r="W42">
        <f t="shared" si="0"/>
        <v>2</v>
      </c>
    </row>
    <row r="43" spans="1:23">
      <c r="A43" s="3" t="s">
        <v>462</v>
      </c>
      <c r="B43" t="str">
        <f>IF(_xlfn.XLOOKUP(A43,PARAMETROS!A:A,PARAMETROS!B:B)=0,"",_xlfn.XLOOKUP(A43,PARAMETROS!A:A,PARAMETROS!B:B))</f>
        <v>012009003803</v>
      </c>
      <c r="C43">
        <f>IF(_xlfn.XLOOKUP(A43,PARAMETROS!A:A,PARAMETROS!C:C)=0,"",_xlfn.XLOOKUP(A43,PARAMETROS!A:A,PARAMETROS!C:C))</f>
        <v>20</v>
      </c>
      <c r="D43">
        <f>IF(_xlfn.XLOOKUP(A43,PARAMETROS!A:A,PARAMETROS!D:D)=0,"",_xlfn.XLOOKUP(A43,PARAMETROS!A:A,PARAMETROS!D:D))</f>
        <v>2</v>
      </c>
      <c r="E43" t="str">
        <f>IF(_xlfn.XLOOKUP('PREENCHIMENTO|LETIVAS'!A43,PARAMETROS!A:A,PARAMETROS!I:I)=0,"",_xlfn.XLOOKUP('PREENCHIMENTO|LETIVAS'!A43,PARAMETROS!A:A,PARAMETROS!I:I))</f>
        <v>PROFESSOR DE ENSINO SUPERIOR EAD</v>
      </c>
      <c r="F43" s="3" t="s">
        <v>31</v>
      </c>
      <c r="G43" s="3">
        <v>2</v>
      </c>
      <c r="H43" s="3" t="s">
        <v>39</v>
      </c>
      <c r="I43" s="3" t="s">
        <v>33</v>
      </c>
      <c r="J43" s="3" t="s">
        <v>898</v>
      </c>
      <c r="K43" s="3"/>
      <c r="L43" s="19"/>
      <c r="W43">
        <f t="shared" si="0"/>
        <v>2</v>
      </c>
    </row>
    <row r="44" spans="1:23">
      <c r="A44" s="3" t="s">
        <v>401</v>
      </c>
      <c r="B44" t="str">
        <f>IF(_xlfn.XLOOKUP(A44,PARAMETROS!A:A,PARAMETROS!B:B)=0,"",_xlfn.XLOOKUP(A44,PARAMETROS!A:A,PARAMETROS!B:B))</f>
        <v>012009004121</v>
      </c>
      <c r="C44">
        <f>IF(_xlfn.XLOOKUP(A44,PARAMETROS!A:A,PARAMETROS!C:C)=0,"",_xlfn.XLOOKUP(A44,PARAMETROS!A:A,PARAMETROS!C:C))</f>
        <v>20</v>
      </c>
      <c r="D44">
        <f>IF(_xlfn.XLOOKUP(A44,PARAMETROS!A:A,PARAMETROS!D:D)=0,"",_xlfn.XLOOKUP(A44,PARAMETROS!A:A,PARAMETROS!D:D))</f>
        <v>2</v>
      </c>
      <c r="E44" t="str">
        <f>IF(_xlfn.XLOOKUP('PREENCHIMENTO|LETIVAS'!A44,PARAMETROS!A:A,PARAMETROS!I:I)=0,"",_xlfn.XLOOKUP('PREENCHIMENTO|LETIVAS'!A44,PARAMETROS!A:A,PARAMETROS!I:I))</f>
        <v>PROFESSOR DE ENSINO SUPERIOR EAD</v>
      </c>
      <c r="F44" s="3" t="s">
        <v>31</v>
      </c>
      <c r="G44" s="3">
        <v>1</v>
      </c>
      <c r="H44" s="3" t="s">
        <v>39</v>
      </c>
      <c r="I44" s="3" t="s">
        <v>33</v>
      </c>
      <c r="J44" s="3" t="s">
        <v>899</v>
      </c>
      <c r="K44" s="3"/>
      <c r="L44" s="19"/>
      <c r="W44">
        <f t="shared" si="0"/>
        <v>2</v>
      </c>
    </row>
    <row r="45" spans="1:23">
      <c r="A45" s="3" t="s">
        <v>50</v>
      </c>
      <c r="B45" t="str">
        <f>IF(_xlfn.XLOOKUP(A45,PARAMETROS!A:A,PARAMETROS!B:B)=0,"",_xlfn.XLOOKUP(A45,PARAMETROS!A:A,PARAMETROS!B:B))</f>
        <v>012009003801</v>
      </c>
      <c r="C45">
        <f>IF(_xlfn.XLOOKUP(A45,PARAMETROS!A:A,PARAMETROS!C:C)=0,"",_xlfn.XLOOKUP(A45,PARAMETROS!A:A,PARAMETROS!C:C))</f>
        <v>40</v>
      </c>
      <c r="D45">
        <f>IF(_xlfn.XLOOKUP(A45,PARAMETROS!A:A,PARAMETROS!D:D)=0,"",_xlfn.XLOOKUP(A45,PARAMETROS!A:A,PARAMETROS!D:D))</f>
        <v>4</v>
      </c>
      <c r="E45" t="str">
        <f>IF(_xlfn.XLOOKUP('PREENCHIMENTO|LETIVAS'!A45,PARAMETROS!A:A,PARAMETROS!I:I)=0,"",_xlfn.XLOOKUP('PREENCHIMENTO|LETIVAS'!A45,PARAMETROS!A:A,PARAMETROS!I:I))</f>
        <v>PROFESSOR DE ENSINO SUPERIOR EAD</v>
      </c>
      <c r="F45" s="3" t="s">
        <v>31</v>
      </c>
      <c r="G45" s="3">
        <v>2</v>
      </c>
      <c r="H45" s="3" t="s">
        <v>39</v>
      </c>
      <c r="I45" s="3" t="s">
        <v>33</v>
      </c>
      <c r="J45" s="3" t="s">
        <v>900</v>
      </c>
      <c r="K45" s="3"/>
      <c r="L45" s="19"/>
      <c r="W45">
        <f t="shared" si="0"/>
        <v>2</v>
      </c>
    </row>
    <row r="46" spans="1:23">
      <c r="A46" s="3" t="s">
        <v>50</v>
      </c>
      <c r="B46" t="str">
        <f>IF(_xlfn.XLOOKUP(A46,PARAMETROS!A:A,PARAMETROS!B:B)=0,"",_xlfn.XLOOKUP(A46,PARAMETROS!A:A,PARAMETROS!B:B))</f>
        <v>012009003801</v>
      </c>
      <c r="C46">
        <f>IF(_xlfn.XLOOKUP(A46,PARAMETROS!A:A,PARAMETROS!C:C)=0,"",_xlfn.XLOOKUP(A46,PARAMETROS!A:A,PARAMETROS!C:C))</f>
        <v>40</v>
      </c>
      <c r="D46">
        <f>IF(_xlfn.XLOOKUP(A46,PARAMETROS!A:A,PARAMETROS!D:D)=0,"",_xlfn.XLOOKUP(A46,PARAMETROS!A:A,PARAMETROS!D:D))</f>
        <v>4</v>
      </c>
      <c r="E46" t="str">
        <f>IF(_xlfn.XLOOKUP('PREENCHIMENTO|LETIVAS'!A46,PARAMETROS!A:A,PARAMETROS!I:I)=0,"",_xlfn.XLOOKUP('PREENCHIMENTO|LETIVAS'!A46,PARAMETROS!A:A,PARAMETROS!I:I))</f>
        <v>PROFESSOR DE ENSINO SUPERIOR EAD</v>
      </c>
      <c r="F46" s="3" t="s">
        <v>31</v>
      </c>
      <c r="G46" s="3">
        <v>2</v>
      </c>
      <c r="H46" s="3" t="s">
        <v>39</v>
      </c>
      <c r="I46" s="3" t="s">
        <v>40</v>
      </c>
      <c r="J46" s="3" t="s">
        <v>901</v>
      </c>
      <c r="K46" s="3"/>
      <c r="L46" s="19"/>
      <c r="W46">
        <f t="shared" si="0"/>
        <v>2</v>
      </c>
    </row>
    <row r="47" spans="1:23">
      <c r="A47" s="3" t="s">
        <v>234</v>
      </c>
      <c r="B47" t="str">
        <f>IF(_xlfn.XLOOKUP(A47,PARAMETROS!A:A,PARAMETROS!B:B)=0,"",_xlfn.XLOOKUP(A47,PARAMETROS!A:A,PARAMETROS!B:B))</f>
        <v>012009006141</v>
      </c>
      <c r="C47">
        <f>IF(_xlfn.XLOOKUP(A47,PARAMETROS!A:A,PARAMETROS!C:C)=0,"",_xlfn.XLOOKUP(A47,PARAMETROS!A:A,PARAMETROS!C:C))</f>
        <v>20</v>
      </c>
      <c r="D47">
        <f>IF(_xlfn.XLOOKUP(A47,PARAMETROS!A:A,PARAMETROS!D:D)=0,"",_xlfn.XLOOKUP(A47,PARAMETROS!A:A,PARAMETROS!D:D))</f>
        <v>2</v>
      </c>
      <c r="E47" t="str">
        <f>IF(_xlfn.XLOOKUP('PREENCHIMENTO|LETIVAS'!A47,PARAMETROS!A:A,PARAMETROS!I:I)=0,"",_xlfn.XLOOKUP('PREENCHIMENTO|LETIVAS'!A47,PARAMETROS!A:A,PARAMETROS!I:I))</f>
        <v>PROFESSOR DE ENSINO SUPERIOR EAD</v>
      </c>
      <c r="F47" s="3" t="s">
        <v>31</v>
      </c>
      <c r="G47" s="3">
        <v>2</v>
      </c>
      <c r="H47" s="3" t="s">
        <v>39</v>
      </c>
      <c r="I47" s="3" t="s">
        <v>40</v>
      </c>
      <c r="J47" s="3" t="s">
        <v>902</v>
      </c>
      <c r="K47" s="3"/>
      <c r="L47" s="19"/>
      <c r="W47">
        <f t="shared" si="0"/>
        <v>2</v>
      </c>
    </row>
    <row r="48" spans="1:23">
      <c r="A48" s="3" t="s">
        <v>343</v>
      </c>
      <c r="B48" t="str">
        <f>IF(_xlfn.XLOOKUP(A48,PARAMETROS!A:A,PARAMETROS!B:B)=0,"",_xlfn.XLOOKUP(A48,PARAMETROS!A:A,PARAMETROS!B:B))</f>
        <v>012009003454</v>
      </c>
      <c r="C48">
        <f>IF(_xlfn.XLOOKUP(A48,PARAMETROS!A:A,PARAMETROS!C:C)=0,"",_xlfn.XLOOKUP(A48,PARAMETROS!A:A,PARAMETROS!C:C))</f>
        <v>40</v>
      </c>
      <c r="D48">
        <f>IF(_xlfn.XLOOKUP(A48,PARAMETROS!A:A,PARAMETROS!D:D)=0,"",_xlfn.XLOOKUP(A48,PARAMETROS!A:A,PARAMETROS!D:D))</f>
        <v>4</v>
      </c>
      <c r="E48" t="str">
        <f>IF(_xlfn.XLOOKUP('PREENCHIMENTO|LETIVAS'!A48,PARAMETROS!A:A,PARAMETROS!I:I)=0,"",_xlfn.XLOOKUP('PREENCHIMENTO|LETIVAS'!A48,PARAMETROS!A:A,PARAMETROS!I:I))</f>
        <v>PROFESSOR DE ENSINO SUPERIOR EAD</v>
      </c>
      <c r="F48" s="3" t="s">
        <v>31</v>
      </c>
      <c r="G48" s="3">
        <v>2</v>
      </c>
      <c r="H48" s="3" t="s">
        <v>39</v>
      </c>
      <c r="I48" s="3" t="s">
        <v>33</v>
      </c>
      <c r="J48" s="3" t="s">
        <v>903</v>
      </c>
      <c r="K48" s="3"/>
      <c r="L48" s="19"/>
      <c r="W48">
        <f t="shared" si="0"/>
        <v>2</v>
      </c>
    </row>
    <row r="49" spans="1:23">
      <c r="A49" s="3" t="s">
        <v>343</v>
      </c>
      <c r="B49" t="str">
        <f>IF(_xlfn.XLOOKUP(A49,PARAMETROS!A:A,PARAMETROS!B:B)=0,"",_xlfn.XLOOKUP(A49,PARAMETROS!A:A,PARAMETROS!B:B))</f>
        <v>012009003454</v>
      </c>
      <c r="C49">
        <f>IF(_xlfn.XLOOKUP(A49,PARAMETROS!A:A,PARAMETROS!C:C)=0,"",_xlfn.XLOOKUP(A49,PARAMETROS!A:A,PARAMETROS!C:C))</f>
        <v>40</v>
      </c>
      <c r="D49">
        <f>IF(_xlfn.XLOOKUP(A49,PARAMETROS!A:A,PARAMETROS!D:D)=0,"",_xlfn.XLOOKUP(A49,PARAMETROS!A:A,PARAMETROS!D:D))</f>
        <v>4</v>
      </c>
      <c r="E49" t="str">
        <f>IF(_xlfn.XLOOKUP('PREENCHIMENTO|LETIVAS'!A49,PARAMETROS!A:A,PARAMETROS!I:I)=0,"",_xlfn.XLOOKUP('PREENCHIMENTO|LETIVAS'!A49,PARAMETROS!A:A,PARAMETROS!I:I))</f>
        <v>PROFESSOR DE ENSINO SUPERIOR EAD</v>
      </c>
      <c r="F49" s="3" t="s">
        <v>31</v>
      </c>
      <c r="G49" s="3">
        <v>2</v>
      </c>
      <c r="H49" s="3" t="s">
        <v>39</v>
      </c>
      <c r="I49" s="3" t="s">
        <v>40</v>
      </c>
      <c r="J49" s="3" t="s">
        <v>903</v>
      </c>
      <c r="K49" s="3"/>
      <c r="L49" s="19"/>
      <c r="W49">
        <f t="shared" si="0"/>
        <v>2</v>
      </c>
    </row>
    <row r="50" spans="1:23">
      <c r="A50" s="3" t="s">
        <v>389</v>
      </c>
      <c r="B50" t="str">
        <f>IF(_xlfn.XLOOKUP(A50,PARAMETROS!A:A,PARAMETROS!B:B)=0,"",_xlfn.XLOOKUP(A50,PARAMETROS!A:A,PARAMETROS!B:B))</f>
        <v>012009005713</v>
      </c>
      <c r="C50">
        <f>IF(_xlfn.XLOOKUP(A50,PARAMETROS!A:A,PARAMETROS!C:C)=0,"",_xlfn.XLOOKUP(A50,PARAMETROS!A:A,PARAMETROS!C:C))</f>
        <v>20</v>
      </c>
      <c r="D50">
        <f>IF(_xlfn.XLOOKUP(A50,PARAMETROS!A:A,PARAMETROS!D:D)=0,"",_xlfn.XLOOKUP(A50,PARAMETROS!A:A,PARAMETROS!D:D))</f>
        <v>2</v>
      </c>
      <c r="E50" t="str">
        <f>IF(_xlfn.XLOOKUP('PREENCHIMENTO|LETIVAS'!A50,PARAMETROS!A:A,PARAMETROS!I:I)=0,"",_xlfn.XLOOKUP('PREENCHIMENTO|LETIVAS'!A50,PARAMETROS!A:A,PARAMETROS!I:I))</f>
        <v>PROFESSOR DE ENSINO SUPERIOR EAD</v>
      </c>
      <c r="F50" s="3" t="s">
        <v>31</v>
      </c>
      <c r="G50" s="3">
        <v>2</v>
      </c>
      <c r="H50" s="3" t="s">
        <v>39</v>
      </c>
      <c r="I50" s="3" t="s">
        <v>33</v>
      </c>
      <c r="J50" s="3" t="s">
        <v>904</v>
      </c>
      <c r="K50" s="3"/>
      <c r="L50" s="19"/>
      <c r="W50">
        <f t="shared" si="0"/>
        <v>2</v>
      </c>
    </row>
    <row r="51" spans="1:23">
      <c r="A51" s="3" t="s">
        <v>246</v>
      </c>
      <c r="B51" t="str">
        <f>IF(_xlfn.XLOOKUP(A51,PARAMETROS!A:A,PARAMETROS!B:B)=0,"",_xlfn.XLOOKUP(A51,PARAMETROS!A:A,PARAMETROS!B:B))</f>
        <v>012009003455</v>
      </c>
      <c r="C51">
        <f>IF(_xlfn.XLOOKUP(A51,PARAMETROS!A:A,PARAMETROS!C:C)=0,"",_xlfn.XLOOKUP(A51,PARAMETROS!A:A,PARAMETROS!C:C))</f>
        <v>40</v>
      </c>
      <c r="D51">
        <f>IF(_xlfn.XLOOKUP(A51,PARAMETROS!A:A,PARAMETROS!D:D)=0,"",_xlfn.XLOOKUP(A51,PARAMETROS!A:A,PARAMETROS!D:D))</f>
        <v>4</v>
      </c>
      <c r="E51" t="str">
        <f>IF(_xlfn.XLOOKUP('PREENCHIMENTO|LETIVAS'!A51,PARAMETROS!A:A,PARAMETROS!I:I)=0,"",_xlfn.XLOOKUP('PREENCHIMENTO|LETIVAS'!A51,PARAMETROS!A:A,PARAMETROS!I:I))</f>
        <v>PROFESSOR DE ENSINO SUPERIOR EAD</v>
      </c>
      <c r="F51" s="3" t="s">
        <v>31</v>
      </c>
      <c r="G51" s="3">
        <v>2</v>
      </c>
      <c r="H51" s="3" t="s">
        <v>32</v>
      </c>
      <c r="I51" s="3" t="s">
        <v>33</v>
      </c>
      <c r="J51" s="3" t="s">
        <v>903</v>
      </c>
      <c r="K51" s="3"/>
      <c r="L51" s="19"/>
      <c r="W51">
        <f t="shared" si="0"/>
        <v>2</v>
      </c>
    </row>
    <row r="52" spans="1:23">
      <c r="A52" s="3" t="s">
        <v>246</v>
      </c>
      <c r="B52" t="str">
        <f>IF(_xlfn.XLOOKUP(A52,PARAMETROS!A:A,PARAMETROS!B:B)=0,"",_xlfn.XLOOKUP(A52,PARAMETROS!A:A,PARAMETROS!B:B))</f>
        <v>012009003455</v>
      </c>
      <c r="C52">
        <f>IF(_xlfn.XLOOKUP(A52,PARAMETROS!A:A,PARAMETROS!C:C)=0,"",_xlfn.XLOOKUP(A52,PARAMETROS!A:A,PARAMETROS!C:C))</f>
        <v>40</v>
      </c>
      <c r="D52">
        <f>IF(_xlfn.XLOOKUP(A52,PARAMETROS!A:A,PARAMETROS!D:D)=0,"",_xlfn.XLOOKUP(A52,PARAMETROS!A:A,PARAMETROS!D:D))</f>
        <v>4</v>
      </c>
      <c r="E52" t="str">
        <f>IF(_xlfn.XLOOKUP('PREENCHIMENTO|LETIVAS'!A52,PARAMETROS!A:A,PARAMETROS!I:I)=0,"",_xlfn.XLOOKUP('PREENCHIMENTO|LETIVAS'!A52,PARAMETROS!A:A,PARAMETROS!I:I))</f>
        <v>PROFESSOR DE ENSINO SUPERIOR EAD</v>
      </c>
      <c r="F52" s="3" t="s">
        <v>31</v>
      </c>
      <c r="G52" s="3">
        <v>2</v>
      </c>
      <c r="H52" s="3" t="s">
        <v>55</v>
      </c>
      <c r="I52" s="3" t="s">
        <v>33</v>
      </c>
      <c r="J52" s="3" t="s">
        <v>903</v>
      </c>
      <c r="K52" s="3"/>
      <c r="L52" s="19"/>
      <c r="W52">
        <f t="shared" si="0"/>
        <v>2</v>
      </c>
    </row>
    <row r="53" spans="1:23">
      <c r="A53" s="3" t="s">
        <v>386</v>
      </c>
      <c r="B53" t="str">
        <f>IF(_xlfn.XLOOKUP(A53,PARAMETROS!A:A,PARAMETROS!B:B)=0,"",_xlfn.XLOOKUP(A53,PARAMETROS!A:A,PARAMETROS!B:B))</f>
        <v>012009002197</v>
      </c>
      <c r="C53">
        <f>IF(_xlfn.XLOOKUP(A53,PARAMETROS!A:A,PARAMETROS!C:C)=0,"",_xlfn.XLOOKUP(A53,PARAMETROS!A:A,PARAMETROS!C:C))</f>
        <v>40</v>
      </c>
      <c r="D53">
        <f>IF(_xlfn.XLOOKUP(A53,PARAMETROS!A:A,PARAMETROS!D:D)=0,"",_xlfn.XLOOKUP(A53,PARAMETROS!A:A,PARAMETROS!D:D))</f>
        <v>4</v>
      </c>
      <c r="E53" t="str">
        <f>IF(_xlfn.XLOOKUP('PREENCHIMENTO|LETIVAS'!A53,PARAMETROS!A:A,PARAMETROS!I:I)=0,"",_xlfn.XLOOKUP('PREENCHIMENTO|LETIVAS'!A53,PARAMETROS!A:A,PARAMETROS!I:I))</f>
        <v>PROFESSOR DE ENSINO SUPERIOR EAD</v>
      </c>
      <c r="F53" s="3" t="s">
        <v>31</v>
      </c>
      <c r="G53" s="3">
        <v>1</v>
      </c>
      <c r="H53" s="3" t="s">
        <v>55</v>
      </c>
      <c r="I53" s="3" t="s">
        <v>40</v>
      </c>
      <c r="J53" s="3" t="s">
        <v>905</v>
      </c>
      <c r="K53" s="3"/>
      <c r="L53" s="19"/>
      <c r="W53">
        <f t="shared" si="0"/>
        <v>2</v>
      </c>
    </row>
    <row r="54" spans="1:23">
      <c r="A54" s="3" t="s">
        <v>386</v>
      </c>
      <c r="B54" t="str">
        <f>IF(_xlfn.XLOOKUP(A54,PARAMETROS!A:A,PARAMETROS!B:B)=0,"",_xlfn.XLOOKUP(A54,PARAMETROS!A:A,PARAMETROS!B:B))</f>
        <v>012009002197</v>
      </c>
      <c r="C54">
        <f>IF(_xlfn.XLOOKUP(A54,PARAMETROS!A:A,PARAMETROS!C:C)=0,"",_xlfn.XLOOKUP(A54,PARAMETROS!A:A,PARAMETROS!C:C))</f>
        <v>40</v>
      </c>
      <c r="D54">
        <f>IF(_xlfn.XLOOKUP(A54,PARAMETROS!A:A,PARAMETROS!D:D)=0,"",_xlfn.XLOOKUP(A54,PARAMETROS!A:A,PARAMETROS!D:D))</f>
        <v>4</v>
      </c>
      <c r="E54" t="str">
        <f>IF(_xlfn.XLOOKUP('PREENCHIMENTO|LETIVAS'!A54,PARAMETROS!A:A,PARAMETROS!I:I)=0,"",_xlfn.XLOOKUP('PREENCHIMENTO|LETIVAS'!A54,PARAMETROS!A:A,PARAMETROS!I:I))</f>
        <v>PROFESSOR DE ENSINO SUPERIOR EAD</v>
      </c>
      <c r="F54" s="3" t="s">
        <v>31</v>
      </c>
      <c r="G54" s="3">
        <v>2</v>
      </c>
      <c r="H54" s="3" t="s">
        <v>55</v>
      </c>
      <c r="I54" s="3" t="s">
        <v>40</v>
      </c>
      <c r="J54" s="3" t="s">
        <v>906</v>
      </c>
      <c r="K54" s="3"/>
      <c r="L54" s="19"/>
      <c r="W54">
        <f t="shared" si="0"/>
        <v>2</v>
      </c>
    </row>
    <row r="55" spans="1:23">
      <c r="A55" s="3" t="s">
        <v>386</v>
      </c>
      <c r="B55" t="str">
        <f>IF(_xlfn.XLOOKUP(A55,PARAMETROS!A:A,PARAMETROS!B:B)=0,"",_xlfn.XLOOKUP(A55,PARAMETROS!A:A,PARAMETROS!B:B))</f>
        <v>012009002197</v>
      </c>
      <c r="C55">
        <f>IF(_xlfn.XLOOKUP(A55,PARAMETROS!A:A,PARAMETROS!C:C)=0,"",_xlfn.XLOOKUP(A55,PARAMETROS!A:A,PARAMETROS!C:C))</f>
        <v>40</v>
      </c>
      <c r="D55">
        <f>IF(_xlfn.XLOOKUP(A55,PARAMETROS!A:A,PARAMETROS!D:D)=0,"",_xlfn.XLOOKUP(A55,PARAMETROS!A:A,PARAMETROS!D:D))</f>
        <v>4</v>
      </c>
      <c r="E55" t="str">
        <f>IF(_xlfn.XLOOKUP('PREENCHIMENTO|LETIVAS'!A55,PARAMETROS!A:A,PARAMETROS!I:I)=0,"",_xlfn.XLOOKUP('PREENCHIMENTO|LETIVAS'!A55,PARAMETROS!A:A,PARAMETROS!I:I))</f>
        <v>PROFESSOR DE ENSINO SUPERIOR EAD</v>
      </c>
      <c r="F55" s="3" t="s">
        <v>31</v>
      </c>
      <c r="G55" s="3">
        <v>1</v>
      </c>
      <c r="H55" s="3" t="s">
        <v>55</v>
      </c>
      <c r="I55" s="3" t="s">
        <v>33</v>
      </c>
      <c r="J55" s="3" t="s">
        <v>907</v>
      </c>
      <c r="K55" s="3"/>
      <c r="L55" s="19"/>
      <c r="W55">
        <f t="shared" si="0"/>
        <v>2</v>
      </c>
    </row>
    <row r="56" spans="1:23">
      <c r="A56" s="3" t="s">
        <v>481</v>
      </c>
      <c r="B56" t="str">
        <f>IF(_xlfn.XLOOKUP(A56,PARAMETROS!A:A,PARAMETROS!B:B)=0,"",_xlfn.XLOOKUP(A56,PARAMETROS!A:A,PARAMETROS!B:B))</f>
        <v>012009003816</v>
      </c>
      <c r="C56">
        <f>IF(_xlfn.XLOOKUP(A56,PARAMETROS!A:A,PARAMETROS!C:C)=0,"",_xlfn.XLOOKUP(A56,PARAMETROS!A:A,PARAMETROS!C:C))</f>
        <v>40</v>
      </c>
      <c r="D56">
        <f>IF(_xlfn.XLOOKUP(A56,PARAMETROS!A:A,PARAMETROS!D:D)=0,"",_xlfn.XLOOKUP(A56,PARAMETROS!A:A,PARAMETROS!D:D))</f>
        <v>4</v>
      </c>
      <c r="E56" t="str">
        <f>IF(_xlfn.XLOOKUP('PREENCHIMENTO|LETIVAS'!A56,PARAMETROS!A:A,PARAMETROS!I:I)=0,"",_xlfn.XLOOKUP('PREENCHIMENTO|LETIVAS'!A56,PARAMETROS!A:A,PARAMETROS!I:I))</f>
        <v>PROFESSOR DE ENSINO SUPERIOR EAD</v>
      </c>
      <c r="F56" s="3" t="s">
        <v>31</v>
      </c>
      <c r="G56" s="3">
        <v>1</v>
      </c>
      <c r="H56" s="3" t="s">
        <v>55</v>
      </c>
      <c r="I56" s="3" t="s">
        <v>33</v>
      </c>
      <c r="J56" s="3" t="s">
        <v>908</v>
      </c>
      <c r="K56" s="3"/>
      <c r="L56" s="19"/>
      <c r="W56">
        <f t="shared" si="0"/>
        <v>2</v>
      </c>
    </row>
    <row r="57" spans="1:23">
      <c r="A57" s="3" t="s">
        <v>481</v>
      </c>
      <c r="B57" t="str">
        <f>IF(_xlfn.XLOOKUP(A57,PARAMETROS!A:A,PARAMETROS!B:B)=0,"",_xlfn.XLOOKUP(A57,PARAMETROS!A:A,PARAMETROS!B:B))</f>
        <v>012009003816</v>
      </c>
      <c r="C57">
        <f>IF(_xlfn.XLOOKUP(A57,PARAMETROS!A:A,PARAMETROS!C:C)=0,"",_xlfn.XLOOKUP(A57,PARAMETROS!A:A,PARAMETROS!C:C))</f>
        <v>40</v>
      </c>
      <c r="D57">
        <f>IF(_xlfn.XLOOKUP(A57,PARAMETROS!A:A,PARAMETROS!D:D)=0,"",_xlfn.XLOOKUP(A57,PARAMETROS!A:A,PARAMETROS!D:D))</f>
        <v>4</v>
      </c>
      <c r="E57" t="str">
        <f>IF(_xlfn.XLOOKUP('PREENCHIMENTO|LETIVAS'!A57,PARAMETROS!A:A,PARAMETROS!I:I)=0,"",_xlfn.XLOOKUP('PREENCHIMENTO|LETIVAS'!A57,PARAMETROS!A:A,PARAMETROS!I:I))</f>
        <v>PROFESSOR DE ENSINO SUPERIOR EAD</v>
      </c>
      <c r="F57" s="3" t="s">
        <v>31</v>
      </c>
      <c r="G57" s="3">
        <v>2</v>
      </c>
      <c r="H57" s="3" t="s">
        <v>55</v>
      </c>
      <c r="I57" s="3" t="s">
        <v>40</v>
      </c>
      <c r="J57" s="3" t="s">
        <v>909</v>
      </c>
      <c r="K57" s="3"/>
      <c r="L57" s="19"/>
      <c r="W57">
        <f t="shared" si="0"/>
        <v>2</v>
      </c>
    </row>
    <row r="58" spans="1:23">
      <c r="A58" s="3" t="s">
        <v>306</v>
      </c>
      <c r="B58" t="str">
        <f>IF(_xlfn.XLOOKUP(A58,PARAMETROS!A:A,PARAMETROS!B:B)=0,"",_xlfn.XLOOKUP(A58,PARAMETROS!A:A,PARAMETROS!B:B))</f>
        <v>012009006214</v>
      </c>
      <c r="C58">
        <f>IF(_xlfn.XLOOKUP(A58,PARAMETROS!A:A,PARAMETROS!C:C)=0,"",_xlfn.XLOOKUP(A58,PARAMETROS!A:A,PARAMETROS!C:C))</f>
        <v>12</v>
      </c>
      <c r="D58">
        <f>IF(_xlfn.XLOOKUP(A58,PARAMETROS!A:A,PARAMETROS!D:D)=0,"",_xlfn.XLOOKUP(A58,PARAMETROS!A:A,PARAMETROS!D:D))</f>
        <v>9</v>
      </c>
      <c r="E58" t="str">
        <f>IF(_xlfn.XLOOKUP('PREENCHIMENTO|LETIVAS'!A58,PARAMETROS!A:A,PARAMETROS!I:I)=0,"",_xlfn.XLOOKUP('PREENCHIMENTO|LETIVAS'!A58,PARAMETROS!A:A,PARAMETROS!I:I))</f>
        <v>PROFESSOR REGENTE</v>
      </c>
      <c r="F58" s="3" t="s">
        <v>31</v>
      </c>
      <c r="G58" s="3">
        <v>2</v>
      </c>
      <c r="H58" s="3" t="s">
        <v>55</v>
      </c>
      <c r="I58" s="3" t="s">
        <v>33</v>
      </c>
      <c r="J58" s="3" t="s">
        <v>910</v>
      </c>
      <c r="K58" s="3"/>
      <c r="L58" s="19"/>
      <c r="W58">
        <f t="shared" si="0"/>
        <v>2</v>
      </c>
    </row>
    <row r="59" spans="1:23">
      <c r="A59" s="3" t="s">
        <v>132</v>
      </c>
      <c r="B59" t="str">
        <f>IF(_xlfn.XLOOKUP(A59,PARAMETROS!A:A,PARAMETROS!B:B)=0,"",_xlfn.XLOOKUP(A59,PARAMETROS!A:A,PARAMETROS!B:B))</f>
        <v>012009003470</v>
      </c>
      <c r="C59">
        <f>IF(_xlfn.XLOOKUP(A59,PARAMETROS!A:A,PARAMETROS!C:C)=0,"",_xlfn.XLOOKUP(A59,PARAMETROS!A:A,PARAMETROS!C:C))</f>
        <v>40</v>
      </c>
      <c r="D59">
        <f>IF(_xlfn.XLOOKUP(A59,PARAMETROS!A:A,PARAMETROS!D:D)=0,"",_xlfn.XLOOKUP(A59,PARAMETROS!A:A,PARAMETROS!D:D))</f>
        <v>4</v>
      </c>
      <c r="E59" t="str">
        <f>IF(_xlfn.XLOOKUP('PREENCHIMENTO|LETIVAS'!A59,PARAMETROS!A:A,PARAMETROS!I:I)=0,"",_xlfn.XLOOKUP('PREENCHIMENTO|LETIVAS'!A59,PARAMETROS!A:A,PARAMETROS!I:I))</f>
        <v>PROFESSOR DE ENSINO SUPERIOR EAD</v>
      </c>
      <c r="F59" s="3" t="s">
        <v>31</v>
      </c>
      <c r="G59" s="3">
        <v>2</v>
      </c>
      <c r="H59" s="3" t="s">
        <v>55</v>
      </c>
      <c r="I59" s="3" t="s">
        <v>40</v>
      </c>
      <c r="J59" s="3" t="s">
        <v>911</v>
      </c>
      <c r="K59" s="3"/>
      <c r="L59" s="19"/>
      <c r="W59">
        <f t="shared" si="0"/>
        <v>2</v>
      </c>
    </row>
    <row r="60" spans="1:23">
      <c r="A60" s="3" t="s">
        <v>132</v>
      </c>
      <c r="B60" t="str">
        <f>IF(_xlfn.XLOOKUP(A60,PARAMETROS!A:A,PARAMETROS!B:B)=0,"",_xlfn.XLOOKUP(A60,PARAMETROS!A:A,PARAMETROS!B:B))</f>
        <v>012009003470</v>
      </c>
      <c r="C60">
        <f>IF(_xlfn.XLOOKUP(A60,PARAMETROS!A:A,PARAMETROS!C:C)=0,"",_xlfn.XLOOKUP(A60,PARAMETROS!A:A,PARAMETROS!C:C))</f>
        <v>40</v>
      </c>
      <c r="D60">
        <f>IF(_xlfn.XLOOKUP(A60,PARAMETROS!A:A,PARAMETROS!D:D)=0,"",_xlfn.XLOOKUP(A60,PARAMETROS!A:A,PARAMETROS!D:D))</f>
        <v>4</v>
      </c>
      <c r="E60" t="str">
        <f>IF(_xlfn.XLOOKUP('PREENCHIMENTO|LETIVAS'!A60,PARAMETROS!A:A,PARAMETROS!I:I)=0,"",_xlfn.XLOOKUP('PREENCHIMENTO|LETIVAS'!A60,PARAMETROS!A:A,PARAMETROS!I:I))</f>
        <v>PROFESSOR DE ENSINO SUPERIOR EAD</v>
      </c>
      <c r="F60" s="3" t="s">
        <v>31</v>
      </c>
      <c r="G60" s="3">
        <v>2</v>
      </c>
      <c r="H60" s="3" t="s">
        <v>55</v>
      </c>
      <c r="I60" s="3" t="s">
        <v>33</v>
      </c>
      <c r="J60" s="3" t="s">
        <v>911</v>
      </c>
      <c r="K60" s="3"/>
      <c r="L60" s="19"/>
      <c r="W60">
        <f t="shared" si="0"/>
        <v>2</v>
      </c>
    </row>
    <row r="61" spans="1:23">
      <c r="A61" s="3" t="s">
        <v>132</v>
      </c>
      <c r="B61" t="str">
        <f>IF(_xlfn.XLOOKUP(A61,PARAMETROS!A:A,PARAMETROS!B:B)=0,"",_xlfn.XLOOKUP(A61,PARAMETROS!A:A,PARAMETROS!B:B))</f>
        <v>012009003470</v>
      </c>
      <c r="C61">
        <f>IF(_xlfn.XLOOKUP(A61,PARAMETROS!A:A,PARAMETROS!C:C)=0,"",_xlfn.XLOOKUP(A61,PARAMETROS!A:A,PARAMETROS!C:C))</f>
        <v>40</v>
      </c>
      <c r="D61">
        <f>IF(_xlfn.XLOOKUP(A61,PARAMETROS!A:A,PARAMETROS!D:D)=0,"",_xlfn.XLOOKUP(A61,PARAMETROS!A:A,PARAMETROS!D:D))</f>
        <v>4</v>
      </c>
      <c r="E61" t="str">
        <f>IF(_xlfn.XLOOKUP('PREENCHIMENTO|LETIVAS'!A61,PARAMETROS!A:A,PARAMETROS!I:I)=0,"",_xlfn.XLOOKUP('PREENCHIMENTO|LETIVAS'!A61,PARAMETROS!A:A,PARAMETROS!I:I))</f>
        <v>PROFESSOR DE ENSINO SUPERIOR EAD</v>
      </c>
      <c r="F61" s="3" t="s">
        <v>31</v>
      </c>
      <c r="G61" s="3">
        <v>1</v>
      </c>
      <c r="H61" s="3" t="s">
        <v>55</v>
      </c>
      <c r="I61" s="3" t="s">
        <v>40</v>
      </c>
      <c r="J61" s="3" t="s">
        <v>873</v>
      </c>
      <c r="K61" s="3"/>
      <c r="L61" s="19"/>
      <c r="W61">
        <f t="shared" si="0"/>
        <v>2</v>
      </c>
    </row>
    <row r="62" spans="1:23">
      <c r="A62" s="3" t="s">
        <v>471</v>
      </c>
      <c r="B62" t="str">
        <f>IF(_xlfn.XLOOKUP(A62,PARAMETROS!A:A,PARAMETROS!B:B)=0,"",_xlfn.XLOOKUP(A62,PARAMETROS!A:A,PARAMETROS!B:B))</f>
        <v>012009002898</v>
      </c>
      <c r="C62">
        <f>IF(_xlfn.XLOOKUP(A62,PARAMETROS!A:A,PARAMETROS!C:C)=0,"",_xlfn.XLOOKUP(A62,PARAMETROS!A:A,PARAMETROS!C:C))</f>
        <v>20</v>
      </c>
      <c r="D62">
        <f>IF(_xlfn.XLOOKUP(A62,PARAMETROS!A:A,PARAMETROS!D:D)=0,"",_xlfn.XLOOKUP(A62,PARAMETROS!A:A,PARAMETROS!D:D))</f>
        <v>2</v>
      </c>
      <c r="E62" t="str">
        <f>IF(_xlfn.XLOOKUP('PREENCHIMENTO|LETIVAS'!A62,PARAMETROS!A:A,PARAMETROS!I:I)=0,"",_xlfn.XLOOKUP('PREENCHIMENTO|LETIVAS'!A62,PARAMETROS!A:A,PARAMETROS!I:I))</f>
        <v>PROFESSOR DE ENSINO SUPERIOR EAD</v>
      </c>
      <c r="F62" s="3" t="s">
        <v>31</v>
      </c>
      <c r="G62" s="3">
        <v>1</v>
      </c>
      <c r="H62" s="3" t="s">
        <v>55</v>
      </c>
      <c r="I62" s="3" t="s">
        <v>40</v>
      </c>
      <c r="J62" s="3" t="s">
        <v>912</v>
      </c>
      <c r="K62" s="3"/>
      <c r="L62" s="19"/>
      <c r="W62">
        <f t="shared" si="0"/>
        <v>2</v>
      </c>
    </row>
    <row r="63" spans="1:23">
      <c r="A63" s="3" t="s">
        <v>471</v>
      </c>
      <c r="B63" t="str">
        <f>IF(_xlfn.XLOOKUP(A63,PARAMETROS!A:A,PARAMETROS!B:B)=0,"",_xlfn.XLOOKUP(A63,PARAMETROS!A:A,PARAMETROS!B:B))</f>
        <v>012009002898</v>
      </c>
      <c r="C63">
        <f>IF(_xlfn.XLOOKUP(A63,PARAMETROS!A:A,PARAMETROS!C:C)=0,"",_xlfn.XLOOKUP(A63,PARAMETROS!A:A,PARAMETROS!C:C))</f>
        <v>20</v>
      </c>
      <c r="D63">
        <f>IF(_xlfn.XLOOKUP(A63,PARAMETROS!A:A,PARAMETROS!D:D)=0,"",_xlfn.XLOOKUP(A63,PARAMETROS!A:A,PARAMETROS!D:D))</f>
        <v>2</v>
      </c>
      <c r="E63" t="str">
        <f>IF(_xlfn.XLOOKUP('PREENCHIMENTO|LETIVAS'!A63,PARAMETROS!A:A,PARAMETROS!I:I)=0,"",_xlfn.XLOOKUP('PREENCHIMENTO|LETIVAS'!A63,PARAMETROS!A:A,PARAMETROS!I:I))</f>
        <v>PROFESSOR DE ENSINO SUPERIOR EAD</v>
      </c>
      <c r="F63" s="3" t="s">
        <v>31</v>
      </c>
      <c r="G63" s="3">
        <v>2</v>
      </c>
      <c r="H63" s="3" t="s">
        <v>55</v>
      </c>
      <c r="I63" s="3" t="s">
        <v>40</v>
      </c>
      <c r="J63" s="3" t="s">
        <v>913</v>
      </c>
      <c r="K63" s="3"/>
      <c r="L63" s="19"/>
      <c r="W63">
        <f t="shared" si="0"/>
        <v>2</v>
      </c>
    </row>
    <row r="64" spans="1:23">
      <c r="A64" s="3" t="s">
        <v>362</v>
      </c>
      <c r="B64" t="str">
        <f>IF(_xlfn.XLOOKUP(A64,PARAMETROS!A:A,PARAMETROS!B:B)=0,"",_xlfn.XLOOKUP(A64,PARAMETROS!A:A,PARAMETROS!B:B))</f>
        <v>012009003936</v>
      </c>
      <c r="C64">
        <f>IF(_xlfn.XLOOKUP(A64,PARAMETROS!A:A,PARAMETROS!C:C)=0,"",_xlfn.XLOOKUP(A64,PARAMETROS!A:A,PARAMETROS!C:C))</f>
        <v>20</v>
      </c>
      <c r="D64">
        <f>IF(_xlfn.XLOOKUP(A64,PARAMETROS!A:A,PARAMETROS!D:D)=0,"",_xlfn.XLOOKUP(A64,PARAMETROS!A:A,PARAMETROS!D:D))</f>
        <v>2</v>
      </c>
      <c r="E64" t="str">
        <f>IF(_xlfn.XLOOKUP('PREENCHIMENTO|LETIVAS'!A64,PARAMETROS!A:A,PARAMETROS!I:I)=0,"",_xlfn.XLOOKUP('PREENCHIMENTO|LETIVAS'!A64,PARAMETROS!A:A,PARAMETROS!I:I))</f>
        <v>PROFESSOR DE ENSINO SUPERIOR EAD</v>
      </c>
      <c r="F64" s="3" t="s">
        <v>31</v>
      </c>
      <c r="G64" s="3">
        <v>1</v>
      </c>
      <c r="H64" s="3" t="s">
        <v>55</v>
      </c>
      <c r="I64" s="3" t="s">
        <v>33</v>
      </c>
      <c r="J64" s="3" t="s">
        <v>875</v>
      </c>
      <c r="K64" s="3"/>
      <c r="L64" s="19"/>
      <c r="W64">
        <f t="shared" si="0"/>
        <v>2</v>
      </c>
    </row>
    <row r="65" spans="1:23">
      <c r="A65" s="3" t="s">
        <v>362</v>
      </c>
      <c r="B65" t="str">
        <f>IF(_xlfn.XLOOKUP(A65,PARAMETROS!A:A,PARAMETROS!B:B)=0,"",_xlfn.XLOOKUP(A65,PARAMETROS!A:A,PARAMETROS!B:B))</f>
        <v>012009003936</v>
      </c>
      <c r="C65">
        <f>IF(_xlfn.XLOOKUP(A65,PARAMETROS!A:A,PARAMETROS!C:C)=0,"",_xlfn.XLOOKUP(A65,PARAMETROS!A:A,PARAMETROS!C:C))</f>
        <v>20</v>
      </c>
      <c r="D65">
        <f>IF(_xlfn.XLOOKUP(A65,PARAMETROS!A:A,PARAMETROS!D:D)=0,"",_xlfn.XLOOKUP(A65,PARAMETROS!A:A,PARAMETROS!D:D))</f>
        <v>2</v>
      </c>
      <c r="E65" t="str">
        <f>IF(_xlfn.XLOOKUP('PREENCHIMENTO|LETIVAS'!A65,PARAMETROS!A:A,PARAMETROS!I:I)=0,"",_xlfn.XLOOKUP('PREENCHIMENTO|LETIVAS'!A65,PARAMETROS!A:A,PARAMETROS!I:I))</f>
        <v>PROFESSOR DE ENSINO SUPERIOR EAD</v>
      </c>
      <c r="F65" s="3" t="s">
        <v>31</v>
      </c>
      <c r="G65" s="3">
        <v>2</v>
      </c>
      <c r="H65" s="3" t="s">
        <v>55</v>
      </c>
      <c r="I65" s="3" t="s">
        <v>33</v>
      </c>
      <c r="J65" s="3" t="s">
        <v>914</v>
      </c>
      <c r="K65" s="3"/>
      <c r="L65" s="19"/>
      <c r="W65">
        <f t="shared" si="0"/>
        <v>2</v>
      </c>
    </row>
    <row r="66" spans="1:23">
      <c r="A66" s="3" t="s">
        <v>465</v>
      </c>
      <c r="B66" t="str">
        <f>IF(_xlfn.XLOOKUP(A66,PARAMETROS!A:A,PARAMETROS!B:B)=0,"",_xlfn.XLOOKUP(A66,PARAMETROS!A:A,PARAMETROS!B:B))</f>
        <v>012009005662</v>
      </c>
      <c r="C66">
        <f>IF(_xlfn.XLOOKUP(A66,PARAMETROS!A:A,PARAMETROS!C:C)=0,"",_xlfn.XLOOKUP(A66,PARAMETROS!A:A,PARAMETROS!C:C))</f>
        <v>40</v>
      </c>
      <c r="D66">
        <f>IF(_xlfn.XLOOKUP(A66,PARAMETROS!A:A,PARAMETROS!D:D)=0,"",_xlfn.XLOOKUP(A66,PARAMETROS!A:A,PARAMETROS!D:D))</f>
        <v>4</v>
      </c>
      <c r="E66" t="str">
        <f>IF(_xlfn.XLOOKUP('PREENCHIMENTO|LETIVAS'!A66,PARAMETROS!A:A,PARAMETROS!I:I)=0,"",_xlfn.XLOOKUP('PREENCHIMENTO|LETIVAS'!A66,PARAMETROS!A:A,PARAMETROS!I:I))</f>
        <v>PROFESSOR DE ENSINO SUPERIOR EAD</v>
      </c>
      <c r="F66" s="3" t="s">
        <v>31</v>
      </c>
      <c r="G66" s="3">
        <v>1</v>
      </c>
      <c r="H66" s="3" t="s">
        <v>39</v>
      </c>
      <c r="I66" s="3" t="s">
        <v>33</v>
      </c>
      <c r="J66" s="3" t="s">
        <v>915</v>
      </c>
      <c r="K66" s="3"/>
      <c r="L66" s="19"/>
      <c r="W66">
        <f t="shared" si="0"/>
        <v>2</v>
      </c>
    </row>
    <row r="67" spans="1:23">
      <c r="A67" s="3" t="s">
        <v>465</v>
      </c>
      <c r="B67" t="str">
        <f>IF(_xlfn.XLOOKUP(A67,PARAMETROS!A:A,PARAMETROS!B:B)=0,"",_xlfn.XLOOKUP(A67,PARAMETROS!A:A,PARAMETROS!B:B))</f>
        <v>012009005662</v>
      </c>
      <c r="C67">
        <f>IF(_xlfn.XLOOKUP(A67,PARAMETROS!A:A,PARAMETROS!C:C)=0,"",_xlfn.XLOOKUP(A67,PARAMETROS!A:A,PARAMETROS!C:C))</f>
        <v>40</v>
      </c>
      <c r="D67">
        <f>IF(_xlfn.XLOOKUP(A67,PARAMETROS!A:A,PARAMETROS!D:D)=0,"",_xlfn.XLOOKUP(A67,PARAMETROS!A:A,PARAMETROS!D:D))</f>
        <v>4</v>
      </c>
      <c r="E67" t="str">
        <f>IF(_xlfn.XLOOKUP('PREENCHIMENTO|LETIVAS'!A67,PARAMETROS!A:A,PARAMETROS!I:I)=0,"",_xlfn.XLOOKUP('PREENCHIMENTO|LETIVAS'!A67,PARAMETROS!A:A,PARAMETROS!I:I))</f>
        <v>PROFESSOR DE ENSINO SUPERIOR EAD</v>
      </c>
      <c r="F67" s="3" t="s">
        <v>31</v>
      </c>
      <c r="G67" s="3">
        <v>2</v>
      </c>
      <c r="H67" s="3" t="s">
        <v>39</v>
      </c>
      <c r="I67" s="3" t="s">
        <v>33</v>
      </c>
      <c r="J67" s="3" t="s">
        <v>916</v>
      </c>
      <c r="K67" s="3"/>
      <c r="L67" s="19"/>
      <c r="W67">
        <f t="shared" si="0"/>
        <v>2</v>
      </c>
    </row>
    <row r="68" spans="1:23">
      <c r="A68" s="3" t="s">
        <v>544</v>
      </c>
      <c r="B68" t="str">
        <f>IF(_xlfn.XLOOKUP(A68,PARAMETROS!A:A,PARAMETROS!B:B)=0,"",_xlfn.XLOOKUP(A68,PARAMETROS!A:A,PARAMETROS!B:B))</f>
        <v>012009003435</v>
      </c>
      <c r="C68">
        <f>IF(_xlfn.XLOOKUP(A68,PARAMETROS!A:A,PARAMETROS!C:C)=0,"",_xlfn.XLOOKUP(A68,PARAMETROS!A:A,PARAMETROS!C:C))</f>
        <v>40</v>
      </c>
      <c r="D68">
        <f>IF(_xlfn.XLOOKUP(A68,PARAMETROS!A:A,PARAMETROS!D:D)=0,"",_xlfn.XLOOKUP(A68,PARAMETROS!A:A,PARAMETROS!D:D))</f>
        <v>4</v>
      </c>
      <c r="E68" t="str">
        <f>IF(_xlfn.XLOOKUP('PREENCHIMENTO|LETIVAS'!A68,PARAMETROS!A:A,PARAMETROS!I:I)=0,"",_xlfn.XLOOKUP('PREENCHIMENTO|LETIVAS'!A68,PARAMETROS!A:A,PARAMETROS!I:I))</f>
        <v>PROFESSOR DE ENSINO SUPERIOR EAD</v>
      </c>
      <c r="F68" s="3" t="s">
        <v>31</v>
      </c>
      <c r="G68" s="3" t="s">
        <v>54</v>
      </c>
      <c r="H68" s="3" t="s">
        <v>39</v>
      </c>
      <c r="I68" s="3" t="s">
        <v>33</v>
      </c>
      <c r="J68" s="3" t="s">
        <v>917</v>
      </c>
      <c r="K68" s="3"/>
      <c r="L68" s="19"/>
      <c r="W68">
        <f t="shared" si="0"/>
        <v>2</v>
      </c>
    </row>
    <row r="69" spans="1:23">
      <c r="A69" s="3" t="s">
        <v>544</v>
      </c>
      <c r="B69" t="str">
        <f>IF(_xlfn.XLOOKUP(A69,PARAMETROS!A:A,PARAMETROS!B:B)=0,"",_xlfn.XLOOKUP(A69,PARAMETROS!A:A,PARAMETROS!B:B))</f>
        <v>012009003435</v>
      </c>
      <c r="C69">
        <f>IF(_xlfn.XLOOKUP(A69,PARAMETROS!A:A,PARAMETROS!C:C)=0,"",_xlfn.XLOOKUP(A69,PARAMETROS!A:A,PARAMETROS!C:C))</f>
        <v>40</v>
      </c>
      <c r="D69">
        <f>IF(_xlfn.XLOOKUP(A69,PARAMETROS!A:A,PARAMETROS!D:D)=0,"",_xlfn.XLOOKUP(A69,PARAMETROS!A:A,PARAMETROS!D:D))</f>
        <v>4</v>
      </c>
      <c r="E69" t="str">
        <f>IF(_xlfn.XLOOKUP('PREENCHIMENTO|LETIVAS'!A69,PARAMETROS!A:A,PARAMETROS!I:I)=0,"",_xlfn.XLOOKUP('PREENCHIMENTO|LETIVAS'!A69,PARAMETROS!A:A,PARAMETROS!I:I))</f>
        <v>PROFESSOR DE ENSINO SUPERIOR EAD</v>
      </c>
      <c r="F69" s="3" t="s">
        <v>31</v>
      </c>
      <c r="G69" s="3">
        <v>2</v>
      </c>
      <c r="H69" s="3" t="s">
        <v>39</v>
      </c>
      <c r="I69" s="3" t="s">
        <v>33</v>
      </c>
      <c r="J69" s="3" t="s">
        <v>918</v>
      </c>
      <c r="K69" s="3"/>
      <c r="L69" s="19"/>
      <c r="W69">
        <f t="shared" si="0"/>
        <v>2</v>
      </c>
    </row>
    <row r="70" spans="1:23">
      <c r="A70" s="3" t="s">
        <v>297</v>
      </c>
      <c r="B70" t="str">
        <f>IF(_xlfn.XLOOKUP(A70,PARAMETROS!A:A,PARAMETROS!B:B)=0,"",_xlfn.XLOOKUP(A70,PARAMETROS!A:A,PARAMETROS!B:B))</f>
        <v>012009005858</v>
      </c>
      <c r="C70">
        <f>IF(_xlfn.XLOOKUP(A70,PARAMETROS!A:A,PARAMETROS!C:C)=0,"",_xlfn.XLOOKUP(A70,PARAMETROS!A:A,PARAMETROS!C:C))</f>
        <v>40</v>
      </c>
      <c r="D70">
        <f>IF(_xlfn.XLOOKUP(A70,PARAMETROS!A:A,PARAMETROS!D:D)=0,"",_xlfn.XLOOKUP(A70,PARAMETROS!A:A,PARAMETROS!D:D))</f>
        <v>4</v>
      </c>
      <c r="E70" t="str">
        <f>IF(_xlfn.XLOOKUP('PREENCHIMENTO|LETIVAS'!A70,PARAMETROS!A:A,PARAMETROS!I:I)=0,"",_xlfn.XLOOKUP('PREENCHIMENTO|LETIVAS'!A70,PARAMETROS!A:A,PARAMETROS!I:I))</f>
        <v>PROFESSOR DE ENSINO SUPERIOR EAD</v>
      </c>
      <c r="F70" s="3" t="s">
        <v>31</v>
      </c>
      <c r="G70" s="3">
        <v>1</v>
      </c>
      <c r="H70" s="3" t="s">
        <v>39</v>
      </c>
      <c r="I70" s="3" t="s">
        <v>33</v>
      </c>
      <c r="J70" s="3" t="s">
        <v>919</v>
      </c>
      <c r="K70" s="3"/>
      <c r="L70" s="19"/>
      <c r="W70">
        <f t="shared" si="0"/>
        <v>2</v>
      </c>
    </row>
    <row r="71" spans="1:23">
      <c r="A71" s="3" t="s">
        <v>346</v>
      </c>
      <c r="B71" t="str">
        <f>IF(_xlfn.XLOOKUP(A71,PARAMETROS!A:A,PARAMETROS!B:B)=0,"",_xlfn.XLOOKUP(A71,PARAMETROS!A:A,PARAMETROS!B:B))</f>
        <v>012009005223</v>
      </c>
      <c r="C71">
        <f>IF(_xlfn.XLOOKUP(A71,PARAMETROS!A:A,PARAMETROS!C:C)=0,"",_xlfn.XLOOKUP(A71,PARAMETROS!A:A,PARAMETROS!C:C))</f>
        <v>20</v>
      </c>
      <c r="D71">
        <f>IF(_xlfn.XLOOKUP(A71,PARAMETROS!A:A,PARAMETROS!D:D)=0,"",_xlfn.XLOOKUP(A71,PARAMETROS!A:A,PARAMETROS!D:D))</f>
        <v>2</v>
      </c>
      <c r="E71" t="str">
        <f>IF(_xlfn.XLOOKUP('PREENCHIMENTO|LETIVAS'!A71,PARAMETROS!A:A,PARAMETROS!I:I)=0,"",_xlfn.XLOOKUP('PREENCHIMENTO|LETIVAS'!A71,PARAMETROS!A:A,PARAMETROS!I:I))</f>
        <v>PROFESSOR DE ENSINO SUPERIOR EAD</v>
      </c>
      <c r="F71" s="3" t="s">
        <v>31</v>
      </c>
      <c r="G71" s="3" t="s">
        <v>54</v>
      </c>
      <c r="H71" s="3" t="s">
        <v>63</v>
      </c>
      <c r="I71" s="3" t="s">
        <v>33</v>
      </c>
      <c r="J71" s="3" t="s">
        <v>920</v>
      </c>
      <c r="K71" s="3"/>
      <c r="L71" s="19"/>
      <c r="W71">
        <f t="shared" si="0"/>
        <v>2</v>
      </c>
    </row>
    <row r="72" spans="1:23">
      <c r="A72" s="3" t="s">
        <v>170</v>
      </c>
      <c r="B72" t="str">
        <f>IF(_xlfn.XLOOKUP(A72,PARAMETROS!A:A,PARAMETROS!B:B)=0,"",_xlfn.XLOOKUP(A72,PARAMETROS!A:A,PARAMETROS!B:B))</f>
        <v>012009005453</v>
      </c>
      <c r="C72">
        <f>IF(_xlfn.XLOOKUP(A72,PARAMETROS!A:A,PARAMETROS!C:C)=0,"",_xlfn.XLOOKUP(A72,PARAMETROS!A:A,PARAMETROS!C:C))</f>
        <v>20</v>
      </c>
      <c r="D72">
        <f>IF(_xlfn.XLOOKUP(A72,PARAMETROS!A:A,PARAMETROS!D:D)=0,"",_xlfn.XLOOKUP(A72,PARAMETROS!A:A,PARAMETROS!D:D))</f>
        <v>2</v>
      </c>
      <c r="E72" t="str">
        <f>IF(_xlfn.XLOOKUP('PREENCHIMENTO|LETIVAS'!A72,PARAMETROS!A:A,PARAMETROS!I:I)=0,"",_xlfn.XLOOKUP('PREENCHIMENTO|LETIVAS'!A72,PARAMETROS!A:A,PARAMETROS!I:I))</f>
        <v>PROFESSOR DE ENSINO SUPERIOR EAD</v>
      </c>
      <c r="F72" s="3" t="s">
        <v>31</v>
      </c>
      <c r="G72" s="3" t="s">
        <v>54</v>
      </c>
      <c r="H72" s="3" t="s">
        <v>55</v>
      </c>
      <c r="I72" s="3" t="s">
        <v>33</v>
      </c>
      <c r="J72" s="3" t="s">
        <v>921</v>
      </c>
      <c r="K72" s="3"/>
      <c r="L72" s="19"/>
      <c r="W72">
        <f t="shared" si="0"/>
        <v>2</v>
      </c>
    </row>
    <row r="73" spans="1:23">
      <c r="A73" s="3" t="s">
        <v>243</v>
      </c>
      <c r="B73" t="str">
        <f>IF(_xlfn.XLOOKUP(A73,PARAMETROS!A:A,PARAMETROS!B:B)=0,"",_xlfn.XLOOKUP(A73,PARAMETROS!A:A,PARAMETROS!B:B))</f>
        <v>012009006090</v>
      </c>
      <c r="C73">
        <f>IF(_xlfn.XLOOKUP(A73,PARAMETROS!A:A,PARAMETROS!C:C)=0,"",_xlfn.XLOOKUP(A73,PARAMETROS!A:A,PARAMETROS!C:C))</f>
        <v>20</v>
      </c>
      <c r="D73">
        <f>IF(_xlfn.XLOOKUP(A73,PARAMETROS!A:A,PARAMETROS!D:D)=0,"",_xlfn.XLOOKUP(A73,PARAMETROS!A:A,PARAMETROS!D:D))</f>
        <v>2</v>
      </c>
      <c r="E73" t="str">
        <f>IF(_xlfn.XLOOKUP('PREENCHIMENTO|LETIVAS'!A73,PARAMETROS!A:A,PARAMETROS!I:I)=0,"",_xlfn.XLOOKUP('PREENCHIMENTO|LETIVAS'!A73,PARAMETROS!A:A,PARAMETROS!I:I))</f>
        <v>PROFESSOR DE ENSINO SUPERIOR EAD</v>
      </c>
      <c r="F73" s="3" t="s">
        <v>31</v>
      </c>
      <c r="G73" s="3">
        <v>1</v>
      </c>
      <c r="H73" s="3" t="s">
        <v>63</v>
      </c>
      <c r="I73" s="3" t="s">
        <v>33</v>
      </c>
      <c r="J73" s="3" t="s">
        <v>922</v>
      </c>
      <c r="K73" s="3"/>
      <c r="L73" s="19"/>
      <c r="W73">
        <f t="shared" si="0"/>
        <v>2</v>
      </c>
    </row>
    <row r="74" spans="1:23">
      <c r="A74" s="3" t="s">
        <v>487</v>
      </c>
      <c r="B74" t="str">
        <f>IF(_xlfn.XLOOKUP(A74,PARAMETROS!A:A,PARAMETROS!B:B)=0,"",_xlfn.XLOOKUP(A74,PARAMETROS!A:A,PARAMETROS!B:B))</f>
        <v>012009005492</v>
      </c>
      <c r="C74">
        <f>IF(_xlfn.XLOOKUP(A74,PARAMETROS!A:A,PARAMETROS!C:C)=0,"",_xlfn.XLOOKUP(A74,PARAMETROS!A:A,PARAMETROS!C:C))</f>
        <v>20</v>
      </c>
      <c r="D74">
        <f>IF(_xlfn.XLOOKUP(A74,PARAMETROS!A:A,PARAMETROS!D:D)=0,"",_xlfn.XLOOKUP(A74,PARAMETROS!A:A,PARAMETROS!D:D))</f>
        <v>2</v>
      </c>
      <c r="E74" t="str">
        <f>IF(_xlfn.XLOOKUP('PREENCHIMENTO|LETIVAS'!A74,PARAMETROS!A:A,PARAMETROS!I:I)=0,"",_xlfn.XLOOKUP('PREENCHIMENTO|LETIVAS'!A74,PARAMETROS!A:A,PARAMETROS!I:I))</f>
        <v>PROFESSOR DE ENSINO SUPERIOR EAD</v>
      </c>
      <c r="F74" s="3" t="s">
        <v>31</v>
      </c>
      <c r="G74" s="3">
        <v>1</v>
      </c>
      <c r="H74" s="3" t="s">
        <v>32</v>
      </c>
      <c r="I74" s="3" t="s">
        <v>40</v>
      </c>
      <c r="J74" s="3" t="s">
        <v>923</v>
      </c>
      <c r="K74" s="3"/>
      <c r="L74" s="19"/>
      <c r="W74">
        <f t="shared" si="0"/>
        <v>2</v>
      </c>
    </row>
    <row r="75" spans="1:23">
      <c r="A75" s="3" t="s">
        <v>484</v>
      </c>
      <c r="B75" t="str">
        <f>IF(_xlfn.XLOOKUP(A75,PARAMETROS!A:A,PARAMETROS!B:B)=0,"",_xlfn.XLOOKUP(A75,PARAMETROS!A:A,PARAMETROS!B:B))</f>
        <v>012009003748</v>
      </c>
      <c r="C75">
        <f>IF(_xlfn.XLOOKUP(A75,PARAMETROS!A:A,PARAMETROS!C:C)=0,"",_xlfn.XLOOKUP(A75,PARAMETROS!A:A,PARAMETROS!C:C))</f>
        <v>20</v>
      </c>
      <c r="D75">
        <f>IF(_xlfn.XLOOKUP(A75,PARAMETROS!A:A,PARAMETROS!D:D)=0,"",_xlfn.XLOOKUP(A75,PARAMETROS!A:A,PARAMETROS!D:D))</f>
        <v>2</v>
      </c>
      <c r="E75" t="str">
        <f>IF(_xlfn.XLOOKUP('PREENCHIMENTO|LETIVAS'!A75,PARAMETROS!A:A,PARAMETROS!I:I)=0,"",_xlfn.XLOOKUP('PREENCHIMENTO|LETIVAS'!A75,PARAMETROS!A:A,PARAMETROS!I:I))</f>
        <v>PROFESSOR DE ENSINO SUPERIOR EAD</v>
      </c>
      <c r="F75" s="3" t="s">
        <v>31</v>
      </c>
      <c r="G75" s="3">
        <v>2</v>
      </c>
      <c r="H75" s="3" t="s">
        <v>32</v>
      </c>
      <c r="I75" s="3" t="s">
        <v>40</v>
      </c>
      <c r="J75" s="3" t="s">
        <v>924</v>
      </c>
      <c r="K75" s="3"/>
      <c r="L75" s="19"/>
      <c r="W75">
        <f t="shared" ref="W75:W138" si="1">IF(I75&lt;&gt;"",2,0)</f>
        <v>2</v>
      </c>
    </row>
    <row r="76" spans="1:23">
      <c r="A76" s="3" t="s">
        <v>240</v>
      </c>
      <c r="B76" t="str">
        <f>IF(_xlfn.XLOOKUP(A76,PARAMETROS!A:A,PARAMETROS!B:B)=0,"",_xlfn.XLOOKUP(A76,PARAMETROS!A:A,PARAMETROS!B:B))</f>
        <v>012009006183</v>
      </c>
      <c r="C76">
        <f>IF(_xlfn.XLOOKUP(A76,PARAMETROS!A:A,PARAMETROS!C:C)=0,"",_xlfn.XLOOKUP(A76,PARAMETROS!A:A,PARAMETROS!C:C))</f>
        <v>12</v>
      </c>
      <c r="D76">
        <f>IF(_xlfn.XLOOKUP(A76,PARAMETROS!A:A,PARAMETROS!D:D)=0,"",_xlfn.XLOOKUP(A76,PARAMETROS!A:A,PARAMETROS!D:D))</f>
        <v>9</v>
      </c>
      <c r="E76" t="str">
        <f>IF(_xlfn.XLOOKUP('PREENCHIMENTO|LETIVAS'!A76,PARAMETROS!A:A,PARAMETROS!I:I)=0,"",_xlfn.XLOOKUP('PREENCHIMENTO|LETIVAS'!A76,PARAMETROS!A:A,PARAMETROS!I:I))</f>
        <v>PROFESSOR REGENTE</v>
      </c>
      <c r="F76" s="3" t="s">
        <v>31</v>
      </c>
      <c r="G76" s="3">
        <v>2</v>
      </c>
      <c r="H76" s="3" t="s">
        <v>32</v>
      </c>
      <c r="I76" s="3" t="s">
        <v>33</v>
      </c>
      <c r="J76" s="3" t="s">
        <v>869</v>
      </c>
      <c r="K76" s="3"/>
      <c r="L76" s="19"/>
      <c r="W76">
        <f t="shared" si="1"/>
        <v>2</v>
      </c>
    </row>
    <row r="77" spans="1:23">
      <c r="A77" s="3" t="s">
        <v>240</v>
      </c>
      <c r="B77" t="str">
        <f>IF(_xlfn.XLOOKUP(A77,PARAMETROS!A:A,PARAMETROS!B:B)=0,"",_xlfn.XLOOKUP(A77,PARAMETROS!A:A,PARAMETROS!B:B))</f>
        <v>012009006183</v>
      </c>
      <c r="C77">
        <f>IF(_xlfn.XLOOKUP(A77,PARAMETROS!A:A,PARAMETROS!C:C)=0,"",_xlfn.XLOOKUP(A77,PARAMETROS!A:A,PARAMETROS!C:C))</f>
        <v>12</v>
      </c>
      <c r="D77">
        <f>IF(_xlfn.XLOOKUP(A77,PARAMETROS!A:A,PARAMETROS!D:D)=0,"",_xlfn.XLOOKUP(A77,PARAMETROS!A:A,PARAMETROS!D:D))</f>
        <v>9</v>
      </c>
      <c r="E77" t="str">
        <f>IF(_xlfn.XLOOKUP('PREENCHIMENTO|LETIVAS'!A77,PARAMETROS!A:A,PARAMETROS!I:I)=0,"",_xlfn.XLOOKUP('PREENCHIMENTO|LETIVAS'!A77,PARAMETROS!A:A,PARAMETROS!I:I))</f>
        <v>PROFESSOR REGENTE</v>
      </c>
      <c r="F77" s="3" t="s">
        <v>31</v>
      </c>
      <c r="G77" s="3">
        <v>2</v>
      </c>
      <c r="H77" s="3" t="s">
        <v>63</v>
      </c>
      <c r="I77" s="3" t="s">
        <v>40</v>
      </c>
      <c r="J77" s="3" t="s">
        <v>925</v>
      </c>
      <c r="K77" s="3"/>
      <c r="L77" s="19"/>
      <c r="W77">
        <f t="shared" si="1"/>
        <v>2</v>
      </c>
    </row>
    <row r="78" spans="1:23">
      <c r="A78" s="3" t="s">
        <v>240</v>
      </c>
      <c r="B78" t="str">
        <f>IF(_xlfn.XLOOKUP(A78,PARAMETROS!A:A,PARAMETROS!B:B)=0,"",_xlfn.XLOOKUP(A78,PARAMETROS!A:A,PARAMETROS!B:B))</f>
        <v>012009006183</v>
      </c>
      <c r="C78">
        <f>IF(_xlfn.XLOOKUP(A78,PARAMETROS!A:A,PARAMETROS!C:C)=0,"",_xlfn.XLOOKUP(A78,PARAMETROS!A:A,PARAMETROS!C:C))</f>
        <v>12</v>
      </c>
      <c r="D78">
        <f>IF(_xlfn.XLOOKUP(A78,PARAMETROS!A:A,PARAMETROS!D:D)=0,"",_xlfn.XLOOKUP(A78,PARAMETROS!A:A,PARAMETROS!D:D))</f>
        <v>9</v>
      </c>
      <c r="E78" t="str">
        <f>IF(_xlfn.XLOOKUP('PREENCHIMENTO|LETIVAS'!A78,PARAMETROS!A:A,PARAMETROS!I:I)=0,"",_xlfn.XLOOKUP('PREENCHIMENTO|LETIVAS'!A78,PARAMETROS!A:A,PARAMETROS!I:I))</f>
        <v>PROFESSOR REGENTE</v>
      </c>
      <c r="F78" s="3" t="s">
        <v>31</v>
      </c>
      <c r="G78" s="3" t="s">
        <v>54</v>
      </c>
      <c r="H78" s="3" t="s">
        <v>63</v>
      </c>
      <c r="I78" s="3" t="s">
        <v>40</v>
      </c>
      <c r="J78" s="3" t="s">
        <v>926</v>
      </c>
      <c r="K78" s="3"/>
      <c r="L78" s="19"/>
      <c r="W78">
        <f t="shared" si="1"/>
        <v>2</v>
      </c>
    </row>
    <row r="79" spans="1:23">
      <c r="A79" s="3" t="s">
        <v>496</v>
      </c>
      <c r="B79" t="str">
        <f>IF(_xlfn.XLOOKUP(A79,PARAMETROS!A:A,PARAMETROS!B:B)=0,"",_xlfn.XLOOKUP(A79,PARAMETROS!A:A,PARAMETROS!B:B))</f>
        <v>012009003709</v>
      </c>
      <c r="C79">
        <f>IF(_xlfn.XLOOKUP(A79,PARAMETROS!A:A,PARAMETROS!C:C)=0,"",_xlfn.XLOOKUP(A79,PARAMETROS!A:A,PARAMETROS!C:C))</f>
        <v>20</v>
      </c>
      <c r="D79">
        <f>IF(_xlfn.XLOOKUP(A79,PARAMETROS!A:A,PARAMETROS!D:D)=0,"",_xlfn.XLOOKUP(A79,PARAMETROS!A:A,PARAMETROS!D:D))</f>
        <v>2</v>
      </c>
      <c r="E79" t="str">
        <f>IF(_xlfn.XLOOKUP('PREENCHIMENTO|LETIVAS'!A79,PARAMETROS!A:A,PARAMETROS!I:I)=0,"",_xlfn.XLOOKUP('PREENCHIMENTO|LETIVAS'!A79,PARAMETROS!A:A,PARAMETROS!I:I))</f>
        <v>PROFESSOR DE ENSINO SUPERIOR EAD</v>
      </c>
      <c r="F79" s="3" t="s">
        <v>31</v>
      </c>
      <c r="G79" s="3">
        <v>2</v>
      </c>
      <c r="H79" s="3" t="s">
        <v>32</v>
      </c>
      <c r="I79" s="3" t="s">
        <v>40</v>
      </c>
      <c r="J79" s="3" t="s">
        <v>927</v>
      </c>
      <c r="K79" s="3"/>
      <c r="L79" s="19"/>
      <c r="W79">
        <f t="shared" si="1"/>
        <v>2</v>
      </c>
    </row>
    <row r="80" spans="1:23">
      <c r="A80" s="3" t="s">
        <v>249</v>
      </c>
      <c r="B80" t="str">
        <f>IF(_xlfn.XLOOKUP(A80,PARAMETROS!A:A,PARAMETROS!B:B)=0,"",_xlfn.XLOOKUP(A80,PARAMETROS!A:A,PARAMETROS!B:B))</f>
        <v>012009006206</v>
      </c>
      <c r="C80">
        <f>IF(_xlfn.XLOOKUP(A80,PARAMETROS!A:A,PARAMETROS!C:C)=0,"",_xlfn.XLOOKUP(A80,PARAMETROS!A:A,PARAMETROS!C:C))</f>
        <v>12</v>
      </c>
      <c r="D80">
        <f>IF(_xlfn.XLOOKUP(A80,PARAMETROS!A:A,PARAMETROS!D:D)=0,"",_xlfn.XLOOKUP(A80,PARAMETROS!A:A,PARAMETROS!D:D))</f>
        <v>9</v>
      </c>
      <c r="E80" t="str">
        <f>IF(_xlfn.XLOOKUP('PREENCHIMENTO|LETIVAS'!A80,PARAMETROS!A:A,PARAMETROS!I:I)=0,"",_xlfn.XLOOKUP('PREENCHIMENTO|LETIVAS'!A80,PARAMETROS!A:A,PARAMETROS!I:I))</f>
        <v>PROFESSOR REGENTE</v>
      </c>
      <c r="F80" s="3" t="s">
        <v>31</v>
      </c>
      <c r="G80" s="3">
        <v>1</v>
      </c>
      <c r="H80" s="3" t="s">
        <v>32</v>
      </c>
      <c r="I80" s="3" t="s">
        <v>33</v>
      </c>
      <c r="J80" s="3" t="s">
        <v>928</v>
      </c>
      <c r="K80" s="3"/>
      <c r="L80" s="19"/>
      <c r="W80">
        <f t="shared" si="1"/>
        <v>2</v>
      </c>
    </row>
    <row r="81" spans="1:23">
      <c r="A81" s="3" t="s">
        <v>228</v>
      </c>
      <c r="B81" t="str">
        <f>IF(_xlfn.XLOOKUP(A81,PARAMETROS!A:A,PARAMETROS!B:B)=0,"",_xlfn.XLOOKUP(A81,PARAMETROS!A:A,PARAMETROS!B:B))</f>
        <v>012009003473</v>
      </c>
      <c r="C81">
        <f>IF(_xlfn.XLOOKUP(A81,PARAMETROS!A:A,PARAMETROS!C:C)=0,"",_xlfn.XLOOKUP(A81,PARAMETROS!A:A,PARAMETROS!C:C))</f>
        <v>40</v>
      </c>
      <c r="D81">
        <f>IF(_xlfn.XLOOKUP(A81,PARAMETROS!A:A,PARAMETROS!D:D)=0,"",_xlfn.XLOOKUP(A81,PARAMETROS!A:A,PARAMETROS!D:D))</f>
        <v>4</v>
      </c>
      <c r="E81" t="str">
        <f>IF(_xlfn.XLOOKUP('PREENCHIMENTO|LETIVAS'!A81,PARAMETROS!A:A,PARAMETROS!I:I)=0,"",_xlfn.XLOOKUP('PREENCHIMENTO|LETIVAS'!A81,PARAMETROS!A:A,PARAMETROS!I:I))</f>
        <v>PROFESSOR DE ENSINO SUPERIOR EAD</v>
      </c>
      <c r="F81" s="3" t="s">
        <v>31</v>
      </c>
      <c r="G81" s="3">
        <v>1</v>
      </c>
      <c r="H81" s="3" t="s">
        <v>55</v>
      </c>
      <c r="I81" s="3" t="s">
        <v>33</v>
      </c>
      <c r="J81" s="12" t="s">
        <v>929</v>
      </c>
      <c r="K81" s="3"/>
      <c r="L81" s="19"/>
      <c r="W81">
        <f t="shared" si="1"/>
        <v>2</v>
      </c>
    </row>
    <row r="82" spans="1:23">
      <c r="A82" s="3" t="s">
        <v>228</v>
      </c>
      <c r="B82" t="str">
        <f>IF(_xlfn.XLOOKUP(A82,PARAMETROS!A:A,PARAMETROS!B:B)=0,"",_xlfn.XLOOKUP(A82,PARAMETROS!A:A,PARAMETROS!B:B))</f>
        <v>012009003473</v>
      </c>
      <c r="C82">
        <f>IF(_xlfn.XLOOKUP(A82,PARAMETROS!A:A,PARAMETROS!C:C)=0,"",_xlfn.XLOOKUP(A82,PARAMETROS!A:A,PARAMETROS!C:C))</f>
        <v>40</v>
      </c>
      <c r="D82">
        <f>IF(_xlfn.XLOOKUP(A82,PARAMETROS!A:A,PARAMETROS!D:D)=0,"",_xlfn.XLOOKUP(A82,PARAMETROS!A:A,PARAMETROS!D:D))</f>
        <v>4</v>
      </c>
      <c r="E82" t="str">
        <f>IF(_xlfn.XLOOKUP('PREENCHIMENTO|LETIVAS'!A82,PARAMETROS!A:A,PARAMETROS!I:I)=0,"",_xlfn.XLOOKUP('PREENCHIMENTO|LETIVAS'!A82,PARAMETROS!A:A,PARAMETROS!I:I))</f>
        <v>PROFESSOR DE ENSINO SUPERIOR EAD</v>
      </c>
      <c r="F82" s="3" t="s">
        <v>31</v>
      </c>
      <c r="G82" s="3">
        <v>1</v>
      </c>
      <c r="H82" s="3" t="s">
        <v>39</v>
      </c>
      <c r="I82" s="3" t="s">
        <v>33</v>
      </c>
      <c r="J82" s="12" t="s">
        <v>929</v>
      </c>
      <c r="K82" s="3"/>
      <c r="L82" s="19"/>
      <c r="W82">
        <f t="shared" si="1"/>
        <v>2</v>
      </c>
    </row>
    <row r="83" spans="1:23">
      <c r="A83" s="3" t="s">
        <v>228</v>
      </c>
      <c r="B83" t="str">
        <f>IF(_xlfn.XLOOKUP(A83,PARAMETROS!A:A,PARAMETROS!B:B)=0,"",_xlfn.XLOOKUP(A83,PARAMETROS!A:A,PARAMETROS!B:B))</f>
        <v>012009003473</v>
      </c>
      <c r="C83">
        <f>IF(_xlfn.XLOOKUP(A83,PARAMETROS!A:A,PARAMETROS!C:C)=0,"",_xlfn.XLOOKUP(A83,PARAMETROS!A:A,PARAMETROS!C:C))</f>
        <v>40</v>
      </c>
      <c r="D83">
        <f>IF(_xlfn.XLOOKUP(A83,PARAMETROS!A:A,PARAMETROS!D:D)=0,"",_xlfn.XLOOKUP(A83,PARAMETROS!A:A,PARAMETROS!D:D))</f>
        <v>4</v>
      </c>
      <c r="E83" t="str">
        <f>IF(_xlfn.XLOOKUP('PREENCHIMENTO|LETIVAS'!A83,PARAMETROS!A:A,PARAMETROS!I:I)=0,"",_xlfn.XLOOKUP('PREENCHIMENTO|LETIVAS'!A83,PARAMETROS!A:A,PARAMETROS!I:I))</f>
        <v>PROFESSOR DE ENSINO SUPERIOR EAD</v>
      </c>
      <c r="F83" s="3" t="s">
        <v>31</v>
      </c>
      <c r="G83" s="3">
        <v>1</v>
      </c>
      <c r="H83" s="3" t="s">
        <v>55</v>
      </c>
      <c r="I83" s="3" t="s">
        <v>33</v>
      </c>
      <c r="J83" s="12" t="s">
        <v>929</v>
      </c>
      <c r="K83" s="3"/>
      <c r="L83" s="19"/>
      <c r="W83">
        <f t="shared" si="1"/>
        <v>2</v>
      </c>
    </row>
    <row r="84" spans="1:23">
      <c r="A84" s="3" t="s">
        <v>228</v>
      </c>
      <c r="B84" t="str">
        <f>IF(_xlfn.XLOOKUP(A84,PARAMETROS!A:A,PARAMETROS!B:B)=0,"",_xlfn.XLOOKUP(A84,PARAMETROS!A:A,PARAMETROS!B:B))</f>
        <v>012009003473</v>
      </c>
      <c r="C84">
        <f>IF(_xlfn.XLOOKUP(A84,PARAMETROS!A:A,PARAMETROS!C:C)=0,"",_xlfn.XLOOKUP(A84,PARAMETROS!A:A,PARAMETROS!C:C))</f>
        <v>40</v>
      </c>
      <c r="D84">
        <f>IF(_xlfn.XLOOKUP(A84,PARAMETROS!A:A,PARAMETROS!D:D)=0,"",_xlfn.XLOOKUP(A84,PARAMETROS!A:A,PARAMETROS!D:D))</f>
        <v>4</v>
      </c>
      <c r="E84" t="str">
        <f>IF(_xlfn.XLOOKUP('PREENCHIMENTO|LETIVAS'!A84,PARAMETROS!A:A,PARAMETROS!I:I)=0,"",_xlfn.XLOOKUP('PREENCHIMENTO|LETIVAS'!A84,PARAMETROS!A:A,PARAMETROS!I:I))</f>
        <v>PROFESSOR DE ENSINO SUPERIOR EAD</v>
      </c>
      <c r="F84" s="3" t="s">
        <v>31</v>
      </c>
      <c r="G84" s="3">
        <v>2</v>
      </c>
      <c r="H84" s="3" t="s">
        <v>55</v>
      </c>
      <c r="I84" s="3" t="s">
        <v>40</v>
      </c>
      <c r="J84" s="3" t="s">
        <v>930</v>
      </c>
      <c r="K84" s="3"/>
      <c r="L84" s="19"/>
      <c r="W84">
        <f t="shared" si="1"/>
        <v>2</v>
      </c>
    </row>
    <row r="85" spans="1:23">
      <c r="A85" s="3" t="s">
        <v>410</v>
      </c>
      <c r="B85" t="str">
        <f>IF(_xlfn.XLOOKUP(A85,PARAMETROS!A:A,PARAMETROS!B:B)=0,"",_xlfn.XLOOKUP(A85,PARAMETROS!A:A,PARAMETROS!B:B))</f>
        <v>012009003848</v>
      </c>
      <c r="C85">
        <f>IF(_xlfn.XLOOKUP(A85,PARAMETROS!A:A,PARAMETROS!C:C)=0,"",_xlfn.XLOOKUP(A85,PARAMETROS!A:A,PARAMETROS!C:C))</f>
        <v>40</v>
      </c>
      <c r="D85">
        <f>IF(_xlfn.XLOOKUP(A85,PARAMETROS!A:A,PARAMETROS!D:D)=0,"",_xlfn.XLOOKUP(A85,PARAMETROS!A:A,PARAMETROS!D:D))</f>
        <v>4</v>
      </c>
      <c r="E85" t="str">
        <f>IF(_xlfn.XLOOKUP('PREENCHIMENTO|LETIVAS'!A85,PARAMETROS!A:A,PARAMETROS!I:I)=0,"",_xlfn.XLOOKUP('PREENCHIMENTO|LETIVAS'!A85,PARAMETROS!A:A,PARAMETROS!I:I))</f>
        <v>PROFESSOR DE ENSINO SUPERIOR EAD</v>
      </c>
      <c r="F85" s="3" t="s">
        <v>31</v>
      </c>
      <c r="G85" s="3" t="s">
        <v>54</v>
      </c>
      <c r="H85" s="3" t="s">
        <v>55</v>
      </c>
      <c r="I85" s="3"/>
      <c r="J85" s="3" t="s">
        <v>931</v>
      </c>
      <c r="K85" s="3" t="s">
        <v>932</v>
      </c>
      <c r="L85" s="19"/>
      <c r="W85">
        <f t="shared" si="1"/>
        <v>0</v>
      </c>
    </row>
    <row r="86" spans="1:23">
      <c r="A86" s="3" t="s">
        <v>638</v>
      </c>
      <c r="B86" t="str">
        <f>IF(_xlfn.XLOOKUP(A86,PARAMETROS!A:A,PARAMETROS!B:B)=0,"",_xlfn.XLOOKUP(A86,PARAMETROS!A:A,PARAMETROS!B:B))</f>
        <v>012009006279</v>
      </c>
      <c r="C86">
        <f>IF(_xlfn.XLOOKUP(A86,PARAMETROS!A:A,PARAMETROS!C:C)=0,"",_xlfn.XLOOKUP(A86,PARAMETROS!A:A,PARAMETROS!C:C))</f>
        <v>40</v>
      </c>
      <c r="D86">
        <f>IF(_xlfn.XLOOKUP(A86,PARAMETROS!A:A,PARAMETROS!D:D)=0,"",_xlfn.XLOOKUP(A86,PARAMETROS!A:A,PARAMETROS!D:D))</f>
        <v>20</v>
      </c>
      <c r="E86" t="str">
        <f>IF(_xlfn.XLOOKUP('PREENCHIMENTO|LETIVAS'!A86,PARAMETROS!A:A,PARAMETROS!I:I)=0,"",_xlfn.XLOOKUP('PREENCHIMENTO|LETIVAS'!A86,PARAMETROS!A:A,PARAMETROS!I:I))</f>
        <v>PROFESSOR REGENTE</v>
      </c>
      <c r="F86" s="3" t="s">
        <v>31</v>
      </c>
      <c r="G86" s="3">
        <v>2</v>
      </c>
      <c r="H86" s="3" t="s">
        <v>39</v>
      </c>
      <c r="I86" s="3" t="s">
        <v>40</v>
      </c>
      <c r="J86" s="3" t="s">
        <v>933</v>
      </c>
      <c r="K86" s="3"/>
      <c r="L86" s="19"/>
      <c r="W86">
        <f t="shared" si="1"/>
        <v>2</v>
      </c>
    </row>
    <row r="87" spans="1:23">
      <c r="A87" s="3" t="s">
        <v>638</v>
      </c>
      <c r="B87" t="str">
        <f>IF(_xlfn.XLOOKUP(A87,PARAMETROS!A:A,PARAMETROS!B:B)=0,"",_xlfn.XLOOKUP(A87,PARAMETROS!A:A,PARAMETROS!B:B))</f>
        <v>012009006279</v>
      </c>
      <c r="C87">
        <f>IF(_xlfn.XLOOKUP(A87,PARAMETROS!A:A,PARAMETROS!C:C)=0,"",_xlfn.XLOOKUP(A87,PARAMETROS!A:A,PARAMETROS!C:C))</f>
        <v>40</v>
      </c>
      <c r="D87">
        <f>IF(_xlfn.XLOOKUP(A87,PARAMETROS!A:A,PARAMETROS!D:D)=0,"",_xlfn.XLOOKUP(A87,PARAMETROS!A:A,PARAMETROS!D:D))</f>
        <v>20</v>
      </c>
      <c r="E87" t="str">
        <f>IF(_xlfn.XLOOKUP('PREENCHIMENTO|LETIVAS'!A87,PARAMETROS!A:A,PARAMETROS!I:I)=0,"",_xlfn.XLOOKUP('PREENCHIMENTO|LETIVAS'!A87,PARAMETROS!A:A,PARAMETROS!I:I))</f>
        <v>PROFESSOR REGENTE</v>
      </c>
      <c r="F87" s="3" t="s">
        <v>31</v>
      </c>
      <c r="G87" s="3">
        <v>2</v>
      </c>
      <c r="H87" s="3" t="s">
        <v>39</v>
      </c>
      <c r="I87" s="3" t="s">
        <v>33</v>
      </c>
      <c r="J87" s="3" t="s">
        <v>934</v>
      </c>
      <c r="K87" s="3"/>
      <c r="L87" s="19"/>
      <c r="W87">
        <f t="shared" si="1"/>
        <v>2</v>
      </c>
    </row>
    <row r="88" spans="1:23">
      <c r="A88" s="3" t="s">
        <v>638</v>
      </c>
      <c r="B88" t="str">
        <f>IF(_xlfn.XLOOKUP(A88,PARAMETROS!A:A,PARAMETROS!B:B)=0,"",_xlfn.XLOOKUP(A88,PARAMETROS!A:A,PARAMETROS!B:B))</f>
        <v>012009006279</v>
      </c>
      <c r="C88">
        <f>IF(_xlfn.XLOOKUP(A88,PARAMETROS!A:A,PARAMETROS!C:C)=0,"",_xlfn.XLOOKUP(A88,PARAMETROS!A:A,PARAMETROS!C:C))</f>
        <v>40</v>
      </c>
      <c r="D88">
        <f>IF(_xlfn.XLOOKUP(A88,PARAMETROS!A:A,PARAMETROS!D:D)=0,"",_xlfn.XLOOKUP(A88,PARAMETROS!A:A,PARAMETROS!D:D))</f>
        <v>20</v>
      </c>
      <c r="E88" t="str">
        <f>IF(_xlfn.XLOOKUP('PREENCHIMENTO|LETIVAS'!A88,PARAMETROS!A:A,PARAMETROS!I:I)=0,"",_xlfn.XLOOKUP('PREENCHIMENTO|LETIVAS'!A88,PARAMETROS!A:A,PARAMETROS!I:I))</f>
        <v>PROFESSOR REGENTE</v>
      </c>
      <c r="F88" s="3" t="s">
        <v>31</v>
      </c>
      <c r="G88" s="3" t="s">
        <v>54</v>
      </c>
      <c r="H88" s="3" t="s">
        <v>55</v>
      </c>
      <c r="I88" s="3" t="s">
        <v>40</v>
      </c>
      <c r="J88" s="3" t="s">
        <v>935</v>
      </c>
      <c r="K88" s="3"/>
      <c r="L88" s="19"/>
      <c r="W88">
        <f t="shared" si="1"/>
        <v>2</v>
      </c>
    </row>
    <row r="89" spans="1:23">
      <c r="A89" s="3" t="s">
        <v>638</v>
      </c>
      <c r="B89" t="str">
        <f>IF(_xlfn.XLOOKUP(A89,PARAMETROS!A:A,PARAMETROS!B:B)=0,"",_xlfn.XLOOKUP(A89,PARAMETROS!A:A,PARAMETROS!B:B))</f>
        <v>012009006279</v>
      </c>
      <c r="C89">
        <f>IF(_xlfn.XLOOKUP(A89,PARAMETROS!A:A,PARAMETROS!C:C)=0,"",_xlfn.XLOOKUP(A89,PARAMETROS!A:A,PARAMETROS!C:C))</f>
        <v>40</v>
      </c>
      <c r="D89">
        <f>IF(_xlfn.XLOOKUP(A89,PARAMETROS!A:A,PARAMETROS!D:D)=0,"",_xlfn.XLOOKUP(A89,PARAMETROS!A:A,PARAMETROS!D:D))</f>
        <v>20</v>
      </c>
      <c r="E89" t="str">
        <f>IF(_xlfn.XLOOKUP('PREENCHIMENTO|LETIVAS'!A89,PARAMETROS!A:A,PARAMETROS!I:I)=0,"",_xlfn.XLOOKUP('PREENCHIMENTO|LETIVAS'!A89,PARAMETROS!A:A,PARAMETROS!I:I))</f>
        <v>PROFESSOR REGENTE</v>
      </c>
      <c r="F89" s="3" t="s">
        <v>31</v>
      </c>
      <c r="G89" s="3" t="s">
        <v>54</v>
      </c>
      <c r="H89" s="3" t="s">
        <v>55</v>
      </c>
      <c r="I89" s="3" t="s">
        <v>33</v>
      </c>
      <c r="J89" s="3" t="s">
        <v>936</v>
      </c>
      <c r="K89" s="3"/>
      <c r="L89" s="19"/>
      <c r="W89">
        <f t="shared" si="1"/>
        <v>2</v>
      </c>
    </row>
    <row r="90" spans="1:23">
      <c r="A90" s="3" t="s">
        <v>420</v>
      </c>
      <c r="B90" t="str">
        <f>IF(_xlfn.XLOOKUP(A90,PARAMETROS!A:A,PARAMETROS!B:B)=0,"",_xlfn.XLOOKUP(A90,PARAMETROS!A:A,PARAMETROS!B:B))</f>
        <v>012009006217</v>
      </c>
      <c r="C90">
        <f>IF(_xlfn.XLOOKUP(A90,PARAMETROS!A:A,PARAMETROS!C:C)=0,"",_xlfn.XLOOKUP(A90,PARAMETROS!A:A,PARAMETROS!C:C))</f>
        <v>12</v>
      </c>
      <c r="D90">
        <f>IF(_xlfn.XLOOKUP(A90,PARAMETROS!A:A,PARAMETROS!D:D)=0,"",_xlfn.XLOOKUP(A90,PARAMETROS!A:A,PARAMETROS!D:D))</f>
        <v>9</v>
      </c>
      <c r="E90" t="str">
        <f>IF(_xlfn.XLOOKUP('PREENCHIMENTO|LETIVAS'!A90,PARAMETROS!A:A,PARAMETROS!I:I)=0,"",_xlfn.XLOOKUP('PREENCHIMENTO|LETIVAS'!A90,PARAMETROS!A:A,PARAMETROS!I:I))</f>
        <v>PROFESSOR REGENTE</v>
      </c>
      <c r="F90" s="3" t="s">
        <v>31</v>
      </c>
      <c r="G90" s="3">
        <v>1</v>
      </c>
      <c r="H90" s="3" t="s">
        <v>63</v>
      </c>
      <c r="I90" s="3" t="s">
        <v>33</v>
      </c>
      <c r="J90" s="3" t="s">
        <v>937</v>
      </c>
      <c r="K90" s="3"/>
      <c r="L90" s="19"/>
      <c r="W90">
        <f t="shared" si="1"/>
        <v>2</v>
      </c>
    </row>
    <row r="91" spans="1:23">
      <c r="A91" s="3" t="s">
        <v>273</v>
      </c>
      <c r="B91" t="str">
        <f>IF(_xlfn.XLOOKUP(A91,PARAMETROS!A:A,PARAMETROS!B:B)=0,"",_xlfn.XLOOKUP(A91,PARAMETROS!A:A,PARAMETROS!B:B))</f>
        <v>012009006187</v>
      </c>
      <c r="C91">
        <f>IF(_xlfn.XLOOKUP(A91,PARAMETROS!A:A,PARAMETROS!C:C)=0,"",_xlfn.XLOOKUP(A91,PARAMETROS!A:A,PARAMETROS!C:C))</f>
        <v>12</v>
      </c>
      <c r="D91">
        <f>IF(_xlfn.XLOOKUP(A91,PARAMETROS!A:A,PARAMETROS!D:D)=0,"",_xlfn.XLOOKUP(A91,PARAMETROS!A:A,PARAMETROS!D:D))</f>
        <v>9</v>
      </c>
      <c r="E91" t="str">
        <f>IF(_xlfn.XLOOKUP('PREENCHIMENTO|LETIVAS'!A91,PARAMETROS!A:A,PARAMETROS!I:I)=0,"",_xlfn.XLOOKUP('PREENCHIMENTO|LETIVAS'!A91,PARAMETROS!A:A,PARAMETROS!I:I))</f>
        <v>PROFESSOR REGENTE</v>
      </c>
      <c r="F91" s="3" t="s">
        <v>31</v>
      </c>
      <c r="G91" s="3">
        <v>2</v>
      </c>
      <c r="H91" s="3" t="s">
        <v>55</v>
      </c>
      <c r="I91" s="3" t="s">
        <v>40</v>
      </c>
      <c r="J91" s="3" t="s">
        <v>938</v>
      </c>
      <c r="K91" s="3"/>
      <c r="L91" s="19"/>
      <c r="W91">
        <f t="shared" si="1"/>
        <v>2</v>
      </c>
    </row>
    <row r="92" spans="1:23">
      <c r="A92" s="3" t="s">
        <v>407</v>
      </c>
      <c r="B92" t="str">
        <f>IF(_xlfn.XLOOKUP(A92,PARAMETROS!A:A,PARAMETROS!B:B)=0,"",_xlfn.XLOOKUP(A92,PARAMETROS!A:A,PARAMETROS!B:B))</f>
        <v>012009005581</v>
      </c>
      <c r="C92">
        <f>IF(_xlfn.XLOOKUP(A92,PARAMETROS!A:A,PARAMETROS!C:C)=0,"",_xlfn.XLOOKUP(A92,PARAMETROS!A:A,PARAMETROS!C:C))</f>
        <v>40</v>
      </c>
      <c r="D92">
        <f>IF(_xlfn.XLOOKUP(A92,PARAMETROS!A:A,PARAMETROS!D:D)=0,"",_xlfn.XLOOKUP(A92,PARAMETROS!A:A,PARAMETROS!D:D))</f>
        <v>4</v>
      </c>
      <c r="E92" t="str">
        <f>IF(_xlfn.XLOOKUP('PREENCHIMENTO|LETIVAS'!A92,PARAMETROS!A:A,PARAMETROS!I:I)=0,"",_xlfn.XLOOKUP('PREENCHIMENTO|LETIVAS'!A92,PARAMETROS!A:A,PARAMETROS!I:I))</f>
        <v>PROFESSOR DE ENSINO SUPERIOR EAD</v>
      </c>
      <c r="F92" s="3" t="s">
        <v>31</v>
      </c>
      <c r="G92" s="3">
        <v>1</v>
      </c>
      <c r="H92" s="3" t="s">
        <v>39</v>
      </c>
      <c r="I92" s="3" t="s">
        <v>33</v>
      </c>
      <c r="J92" s="3" t="s">
        <v>939</v>
      </c>
      <c r="K92" s="3"/>
      <c r="L92" s="19"/>
      <c r="W92">
        <f t="shared" si="1"/>
        <v>2</v>
      </c>
    </row>
    <row r="93" spans="1:23">
      <c r="A93" s="3" t="s">
        <v>407</v>
      </c>
      <c r="B93" t="str">
        <f>IF(_xlfn.XLOOKUP(A93,PARAMETROS!A:A,PARAMETROS!B:B)=0,"",_xlfn.XLOOKUP(A93,PARAMETROS!A:A,PARAMETROS!B:B))</f>
        <v>012009005581</v>
      </c>
      <c r="C93">
        <f>IF(_xlfn.XLOOKUP(A93,PARAMETROS!A:A,PARAMETROS!C:C)=0,"",_xlfn.XLOOKUP(A93,PARAMETROS!A:A,PARAMETROS!C:C))</f>
        <v>40</v>
      </c>
      <c r="D93">
        <f>IF(_xlfn.XLOOKUP(A93,PARAMETROS!A:A,PARAMETROS!D:D)=0,"",_xlfn.XLOOKUP(A93,PARAMETROS!A:A,PARAMETROS!D:D))</f>
        <v>4</v>
      </c>
      <c r="E93" t="str">
        <f>IF(_xlfn.XLOOKUP('PREENCHIMENTO|LETIVAS'!A93,PARAMETROS!A:A,PARAMETROS!I:I)=0,"",_xlfn.XLOOKUP('PREENCHIMENTO|LETIVAS'!A93,PARAMETROS!A:A,PARAMETROS!I:I))</f>
        <v>PROFESSOR DE ENSINO SUPERIOR EAD</v>
      </c>
      <c r="F93" s="3" t="s">
        <v>31</v>
      </c>
      <c r="G93" s="3">
        <v>2</v>
      </c>
      <c r="H93" s="3" t="s">
        <v>39</v>
      </c>
      <c r="I93" s="3" t="s">
        <v>40</v>
      </c>
      <c r="J93" s="3" t="s">
        <v>940</v>
      </c>
      <c r="K93" s="3"/>
      <c r="L93" s="19"/>
      <c r="W93">
        <f t="shared" si="1"/>
        <v>2</v>
      </c>
    </row>
    <row r="94" spans="1:23">
      <c r="A94" s="3" t="s">
        <v>207</v>
      </c>
      <c r="B94" t="str">
        <f>IF(_xlfn.XLOOKUP(A94,PARAMETROS!A:A,PARAMETROS!B:B)=0,"",_xlfn.XLOOKUP(A94,PARAMETROS!A:A,PARAMETROS!B:B))</f>
        <v>012009004488</v>
      </c>
      <c r="C94">
        <f>IF(_xlfn.XLOOKUP(A94,PARAMETROS!A:A,PARAMETROS!C:C)=0,"",_xlfn.XLOOKUP(A94,PARAMETROS!A:A,PARAMETROS!C:C))</f>
        <v>40</v>
      </c>
      <c r="D94">
        <f>IF(_xlfn.XLOOKUP(A94,PARAMETROS!A:A,PARAMETROS!D:D)=0,"",_xlfn.XLOOKUP(A94,PARAMETROS!A:A,PARAMETROS!D:D))</f>
        <v>4</v>
      </c>
      <c r="E94" t="str">
        <f>IF(_xlfn.XLOOKUP('PREENCHIMENTO|LETIVAS'!A94,PARAMETROS!A:A,PARAMETROS!I:I)=0,"",_xlfn.XLOOKUP('PREENCHIMENTO|LETIVAS'!A94,PARAMETROS!A:A,PARAMETROS!I:I))</f>
        <v>PROFESSOR DE ENSINO SUPERIOR EAD</v>
      </c>
      <c r="F94" s="3" t="s">
        <v>31</v>
      </c>
      <c r="G94" s="3">
        <v>2</v>
      </c>
      <c r="H94" s="3" t="s">
        <v>39</v>
      </c>
      <c r="I94" s="3" t="s">
        <v>33</v>
      </c>
      <c r="J94" s="3" t="s">
        <v>941</v>
      </c>
      <c r="K94" s="3"/>
      <c r="L94" s="19"/>
      <c r="W94">
        <f t="shared" si="1"/>
        <v>2</v>
      </c>
    </row>
    <row r="95" spans="1:23">
      <c r="A95" s="3" t="s">
        <v>671</v>
      </c>
      <c r="B95" t="str">
        <f>IF(_xlfn.XLOOKUP(A95,PARAMETROS!A:A,PARAMETROS!B:B)=0,"",_xlfn.XLOOKUP(A95,PARAMETROS!A:A,PARAMETROS!B:B))</f>
        <v>012009003546</v>
      </c>
      <c r="C95" t="str">
        <f>IF(_xlfn.XLOOKUP(A95,PARAMETROS!A:A,PARAMETROS!C:C)=0,"",_xlfn.XLOOKUP(A95,PARAMETROS!A:A,PARAMETROS!C:C))</f>
        <v/>
      </c>
      <c r="D95" t="str">
        <f>IF(_xlfn.XLOOKUP(A95,PARAMETROS!A:A,PARAMETROS!D:D)=0,"",_xlfn.XLOOKUP(A95,PARAMETROS!A:A,PARAMETROS!D:D))</f>
        <v/>
      </c>
      <c r="E95" t="str">
        <f>IF(_xlfn.XLOOKUP('PREENCHIMENTO|LETIVAS'!A95,PARAMETROS!A:A,PARAMETROS!I:I)=0,"",_xlfn.XLOOKUP('PREENCHIMENTO|LETIVAS'!A95,PARAMETROS!A:A,PARAMETROS!I:I))</f>
        <v>PROFESSOR DE ENSINO SUPERIOR PRESENCIAL</v>
      </c>
      <c r="F95" s="3" t="s">
        <v>31</v>
      </c>
      <c r="G95" s="3">
        <v>2</v>
      </c>
      <c r="H95" s="3" t="s">
        <v>55</v>
      </c>
      <c r="I95" s="3" t="s">
        <v>33</v>
      </c>
      <c r="J95" s="3" t="s">
        <v>913</v>
      </c>
      <c r="K95" s="3"/>
      <c r="L95" s="19"/>
      <c r="W95">
        <f t="shared" si="1"/>
        <v>2</v>
      </c>
    </row>
    <row r="96" spans="1:23">
      <c r="A96" s="3" t="s">
        <v>282</v>
      </c>
      <c r="B96" t="str">
        <f>IF(_xlfn.XLOOKUP(A96,PARAMETROS!A:A,PARAMETROS!B:B)=0,"",_xlfn.XLOOKUP(A96,PARAMETROS!A:A,PARAMETROS!B:B))</f>
        <v>012009005578</v>
      </c>
      <c r="C96">
        <f>IF(_xlfn.XLOOKUP(A96,PARAMETROS!A:A,PARAMETROS!C:C)=0,"",_xlfn.XLOOKUP(A96,PARAMETROS!A:A,PARAMETROS!C:C))</f>
        <v>20</v>
      </c>
      <c r="D96">
        <f>IF(_xlfn.XLOOKUP(A96,PARAMETROS!A:A,PARAMETROS!D:D)=0,"",_xlfn.XLOOKUP(A96,PARAMETROS!A:A,PARAMETROS!D:D))</f>
        <v>2</v>
      </c>
      <c r="E96" t="str">
        <f>IF(_xlfn.XLOOKUP('PREENCHIMENTO|LETIVAS'!A96,PARAMETROS!A:A,PARAMETROS!I:I)=0,"",_xlfn.XLOOKUP('PREENCHIMENTO|LETIVAS'!A96,PARAMETROS!A:A,PARAMETROS!I:I))</f>
        <v>PROFESSOR DE ENSINO SUPERIOR EAD</v>
      </c>
      <c r="F96" s="3" t="s">
        <v>31</v>
      </c>
      <c r="G96" s="3">
        <v>2</v>
      </c>
      <c r="H96" s="3" t="s">
        <v>63</v>
      </c>
      <c r="I96" s="3" t="s">
        <v>33</v>
      </c>
      <c r="J96" s="3" t="s">
        <v>942</v>
      </c>
      <c r="K96" s="3"/>
      <c r="L96" s="19"/>
      <c r="W96">
        <f t="shared" si="1"/>
        <v>2</v>
      </c>
    </row>
    <row r="97" spans="1:23">
      <c r="A97" s="3" t="s">
        <v>404</v>
      </c>
      <c r="B97" t="str">
        <f>IF(_xlfn.XLOOKUP(A97,PARAMETROS!A:A,PARAMETROS!B:B)=0,"",_xlfn.XLOOKUP(A97,PARAMETROS!A:A,PARAMETROS!B:B))</f>
        <v>012009006212</v>
      </c>
      <c r="C97">
        <f>IF(_xlfn.XLOOKUP(A97,PARAMETROS!A:A,PARAMETROS!C:C)=0,"",_xlfn.XLOOKUP(A97,PARAMETROS!A:A,PARAMETROS!C:C))</f>
        <v>12</v>
      </c>
      <c r="D97">
        <f>IF(_xlfn.XLOOKUP(A97,PARAMETROS!A:A,PARAMETROS!D:D)=0,"",_xlfn.XLOOKUP(A97,PARAMETROS!A:A,PARAMETROS!D:D))</f>
        <v>9</v>
      </c>
      <c r="E97" t="str">
        <f>IF(_xlfn.XLOOKUP('PREENCHIMENTO|LETIVAS'!A97,PARAMETROS!A:A,PARAMETROS!I:I)=0,"",_xlfn.XLOOKUP('PREENCHIMENTO|LETIVAS'!A97,PARAMETROS!A:A,PARAMETROS!I:I))</f>
        <v>PROFESSOR REGENTE</v>
      </c>
      <c r="F97" s="3" t="s">
        <v>31</v>
      </c>
      <c r="G97" s="3">
        <v>1</v>
      </c>
      <c r="H97" s="3" t="s">
        <v>63</v>
      </c>
      <c r="I97" s="3" t="s">
        <v>40</v>
      </c>
      <c r="J97" s="3" t="s">
        <v>943</v>
      </c>
      <c r="K97" s="3"/>
      <c r="L97" s="19"/>
      <c r="W97">
        <f t="shared" si="1"/>
        <v>2</v>
      </c>
    </row>
    <row r="98" spans="1:23">
      <c r="A98" s="3" t="s">
        <v>404</v>
      </c>
      <c r="B98" t="str">
        <f>IF(_xlfn.XLOOKUP(A98,PARAMETROS!A:A,PARAMETROS!B:B)=0,"",_xlfn.XLOOKUP(A98,PARAMETROS!A:A,PARAMETROS!B:B))</f>
        <v>012009006212</v>
      </c>
      <c r="C98">
        <f>IF(_xlfn.XLOOKUP(A98,PARAMETROS!A:A,PARAMETROS!C:C)=0,"",_xlfn.XLOOKUP(A98,PARAMETROS!A:A,PARAMETROS!C:C))</f>
        <v>12</v>
      </c>
      <c r="D98">
        <f>IF(_xlfn.XLOOKUP(A98,PARAMETROS!A:A,PARAMETROS!D:D)=0,"",_xlfn.XLOOKUP(A98,PARAMETROS!A:A,PARAMETROS!D:D))</f>
        <v>9</v>
      </c>
      <c r="E98" t="str">
        <f>IF(_xlfn.XLOOKUP('PREENCHIMENTO|LETIVAS'!A98,PARAMETROS!A:A,PARAMETROS!I:I)=0,"",_xlfn.XLOOKUP('PREENCHIMENTO|LETIVAS'!A98,PARAMETROS!A:A,PARAMETROS!I:I))</f>
        <v>PROFESSOR REGENTE</v>
      </c>
      <c r="F98" s="3" t="s">
        <v>31</v>
      </c>
      <c r="G98" s="3">
        <v>2</v>
      </c>
      <c r="H98" s="3" t="s">
        <v>63</v>
      </c>
      <c r="I98" s="3" t="s">
        <v>33</v>
      </c>
      <c r="J98" s="3" t="s">
        <v>944</v>
      </c>
      <c r="K98" s="3"/>
      <c r="L98" s="19"/>
      <c r="W98">
        <f t="shared" si="1"/>
        <v>2</v>
      </c>
    </row>
    <row r="99" spans="1:23">
      <c r="A99" s="3" t="s">
        <v>641</v>
      </c>
      <c r="B99" t="str">
        <f>IF(_xlfn.XLOOKUP(A99,PARAMETROS!A:A,PARAMETROS!B:B)=0,"",_xlfn.XLOOKUP(A99,PARAMETROS!A:A,PARAMETROS!B:B))</f>
        <v>012009006282</v>
      </c>
      <c r="C99">
        <f>IF(_xlfn.XLOOKUP(A99,PARAMETROS!A:A,PARAMETROS!C:C)=0,"",_xlfn.XLOOKUP(A99,PARAMETROS!A:A,PARAMETROS!C:C))</f>
        <v>12</v>
      </c>
      <c r="D99">
        <f>IF(_xlfn.XLOOKUP(A99,PARAMETROS!A:A,PARAMETROS!D:D)=0,"",_xlfn.XLOOKUP(A99,PARAMETROS!A:A,PARAMETROS!D:D))</f>
        <v>9</v>
      </c>
      <c r="E99" t="str">
        <f>IF(_xlfn.XLOOKUP('PREENCHIMENTO|LETIVAS'!A99,PARAMETROS!A:A,PARAMETROS!I:I)=0,"",_xlfn.XLOOKUP('PREENCHIMENTO|LETIVAS'!A99,PARAMETROS!A:A,PARAMETROS!I:I))</f>
        <v>PROFESSOR REGENTE</v>
      </c>
      <c r="F99" s="3" t="s">
        <v>31</v>
      </c>
      <c r="G99" s="3" t="s">
        <v>54</v>
      </c>
      <c r="H99" s="3" t="s">
        <v>32</v>
      </c>
      <c r="I99" s="3" t="s">
        <v>33</v>
      </c>
      <c r="J99" s="3" t="s">
        <v>945</v>
      </c>
      <c r="K99" s="3"/>
      <c r="L99" s="19"/>
      <c r="W99">
        <f t="shared" si="1"/>
        <v>2</v>
      </c>
    </row>
    <row r="100" spans="1:23">
      <c r="A100" s="3" t="s">
        <v>641</v>
      </c>
      <c r="B100" t="str">
        <f>IF(_xlfn.XLOOKUP(A100,PARAMETROS!A:A,PARAMETROS!B:B)=0,"",_xlfn.XLOOKUP(A100,PARAMETROS!A:A,PARAMETROS!B:B))</f>
        <v>012009006282</v>
      </c>
      <c r="C100">
        <f>IF(_xlfn.XLOOKUP(A100,PARAMETROS!A:A,PARAMETROS!C:C)=0,"",_xlfn.XLOOKUP(A100,PARAMETROS!A:A,PARAMETROS!C:C))</f>
        <v>12</v>
      </c>
      <c r="D100">
        <f>IF(_xlfn.XLOOKUP(A100,PARAMETROS!A:A,PARAMETROS!D:D)=0,"",_xlfn.XLOOKUP(A100,PARAMETROS!A:A,PARAMETROS!D:D))</f>
        <v>9</v>
      </c>
      <c r="E100" t="str">
        <f>IF(_xlfn.XLOOKUP('PREENCHIMENTO|LETIVAS'!A100,PARAMETROS!A:A,PARAMETROS!I:I)=0,"",_xlfn.XLOOKUP('PREENCHIMENTO|LETIVAS'!A100,PARAMETROS!A:A,PARAMETROS!I:I))</f>
        <v>PROFESSOR REGENTE</v>
      </c>
      <c r="F100" s="3" t="s">
        <v>31</v>
      </c>
      <c r="G100" s="3" t="s">
        <v>54</v>
      </c>
      <c r="H100" s="3" t="s">
        <v>32</v>
      </c>
      <c r="I100" s="3" t="s">
        <v>40</v>
      </c>
      <c r="J100" s="3" t="s">
        <v>946</v>
      </c>
      <c r="K100" s="3"/>
      <c r="L100" s="19"/>
      <c r="W100">
        <f t="shared" si="1"/>
        <v>2</v>
      </c>
    </row>
    <row r="101" spans="1:23">
      <c r="A101" s="3" t="s">
        <v>312</v>
      </c>
      <c r="B101" t="str">
        <f>IF(_xlfn.XLOOKUP(A101,PARAMETROS!A:A,PARAMETROS!B:B)=0,"",_xlfn.XLOOKUP(A101,PARAMETROS!A:A,PARAMETROS!B:B))</f>
        <v>012009006215</v>
      </c>
      <c r="C101">
        <f>IF(_xlfn.XLOOKUP(A101,PARAMETROS!A:A,PARAMETROS!C:C)=0,"",_xlfn.XLOOKUP(A101,PARAMETROS!A:A,PARAMETROS!C:C))</f>
        <v>12</v>
      </c>
      <c r="D101">
        <f>IF(_xlfn.XLOOKUP(A101,PARAMETROS!A:A,PARAMETROS!D:D)=0,"",_xlfn.XLOOKUP(A101,PARAMETROS!A:A,PARAMETROS!D:D))</f>
        <v>9</v>
      </c>
      <c r="E101" t="str">
        <f>IF(_xlfn.XLOOKUP('PREENCHIMENTO|LETIVAS'!A101,PARAMETROS!A:A,PARAMETROS!I:I)=0,"",_xlfn.XLOOKUP('PREENCHIMENTO|LETIVAS'!A101,PARAMETROS!A:A,PARAMETROS!I:I))</f>
        <v>PROFESSOR REGENTE</v>
      </c>
      <c r="F101" s="3" t="s">
        <v>31</v>
      </c>
      <c r="G101" s="3" t="s">
        <v>54</v>
      </c>
      <c r="H101" s="3" t="s">
        <v>32</v>
      </c>
      <c r="I101" s="3" t="s">
        <v>33</v>
      </c>
      <c r="J101" s="3" t="s">
        <v>947</v>
      </c>
      <c r="K101" s="3"/>
      <c r="L101" s="19"/>
      <c r="W101">
        <f t="shared" si="1"/>
        <v>2</v>
      </c>
    </row>
    <row r="102" spans="1:23">
      <c r="A102" s="3" t="s">
        <v>312</v>
      </c>
      <c r="B102" t="str">
        <f>IF(_xlfn.XLOOKUP(A102,PARAMETROS!A:A,PARAMETROS!B:B)=0,"",_xlfn.XLOOKUP(A102,PARAMETROS!A:A,PARAMETROS!B:B))</f>
        <v>012009006215</v>
      </c>
      <c r="C102">
        <f>IF(_xlfn.XLOOKUP(A102,PARAMETROS!A:A,PARAMETROS!C:C)=0,"",_xlfn.XLOOKUP(A102,PARAMETROS!A:A,PARAMETROS!C:C))</f>
        <v>12</v>
      </c>
      <c r="D102">
        <f>IF(_xlfn.XLOOKUP(A102,PARAMETROS!A:A,PARAMETROS!D:D)=0,"",_xlfn.XLOOKUP(A102,PARAMETROS!A:A,PARAMETROS!D:D))</f>
        <v>9</v>
      </c>
      <c r="E102" t="str">
        <f>IF(_xlfn.XLOOKUP('PREENCHIMENTO|LETIVAS'!A102,PARAMETROS!A:A,PARAMETROS!I:I)=0,"",_xlfn.XLOOKUP('PREENCHIMENTO|LETIVAS'!A102,PARAMETROS!A:A,PARAMETROS!I:I))</f>
        <v>PROFESSOR REGENTE</v>
      </c>
      <c r="F102" s="3" t="s">
        <v>31</v>
      </c>
      <c r="G102" s="3" t="s">
        <v>54</v>
      </c>
      <c r="H102" s="3" t="s">
        <v>32</v>
      </c>
      <c r="I102" s="3" t="s">
        <v>40</v>
      </c>
      <c r="J102" s="3" t="s">
        <v>948</v>
      </c>
      <c r="K102" s="3"/>
      <c r="L102" s="19"/>
      <c r="W102">
        <f t="shared" si="1"/>
        <v>2</v>
      </c>
    </row>
    <row r="103" spans="1:23">
      <c r="A103" s="3" t="s">
        <v>294</v>
      </c>
      <c r="B103" t="str">
        <f>IF(_xlfn.XLOOKUP(A103,PARAMETROS!A:A,PARAMETROS!B:B)=0,"",_xlfn.XLOOKUP(A103,PARAMETROS!A:A,PARAMETROS!B:B))</f>
        <v>012009006191</v>
      </c>
      <c r="C103">
        <f>IF(_xlfn.XLOOKUP(A103,PARAMETROS!A:A,PARAMETROS!C:C)=0,"",_xlfn.XLOOKUP(A103,PARAMETROS!A:A,PARAMETROS!C:C))</f>
        <v>40</v>
      </c>
      <c r="D103">
        <f>IF(_xlfn.XLOOKUP(A103,PARAMETROS!A:A,PARAMETROS!D:D)=0,"",_xlfn.XLOOKUP(A103,PARAMETROS!A:A,PARAMETROS!D:D))</f>
        <v>20</v>
      </c>
      <c r="E103" t="str">
        <f>IF(_xlfn.XLOOKUP('PREENCHIMENTO|LETIVAS'!A103,PARAMETROS!A:A,PARAMETROS!I:I)=0,"",_xlfn.XLOOKUP('PREENCHIMENTO|LETIVAS'!A103,PARAMETROS!A:A,PARAMETROS!I:I))</f>
        <v>PROFESSOR REGENTE</v>
      </c>
      <c r="F103" s="3" t="s">
        <v>31</v>
      </c>
      <c r="G103" s="3" t="s">
        <v>54</v>
      </c>
      <c r="H103" s="3" t="s">
        <v>32</v>
      </c>
      <c r="I103" s="3" t="s">
        <v>33</v>
      </c>
      <c r="J103" s="3" t="s">
        <v>949</v>
      </c>
      <c r="K103" s="3"/>
      <c r="L103" s="19"/>
      <c r="W103">
        <f t="shared" si="1"/>
        <v>2</v>
      </c>
    </row>
    <row r="104" spans="1:23">
      <c r="A104" s="3" t="s">
        <v>294</v>
      </c>
      <c r="B104" t="str">
        <f>IF(_xlfn.XLOOKUP(A104,PARAMETROS!A:A,PARAMETROS!B:B)=0,"",_xlfn.XLOOKUP(A104,PARAMETROS!A:A,PARAMETROS!B:B))</f>
        <v>012009006191</v>
      </c>
      <c r="C104">
        <f>IF(_xlfn.XLOOKUP(A104,PARAMETROS!A:A,PARAMETROS!C:C)=0,"",_xlfn.XLOOKUP(A104,PARAMETROS!A:A,PARAMETROS!C:C))</f>
        <v>40</v>
      </c>
      <c r="D104">
        <f>IF(_xlfn.XLOOKUP(A104,PARAMETROS!A:A,PARAMETROS!D:D)=0,"",_xlfn.XLOOKUP(A104,PARAMETROS!A:A,PARAMETROS!D:D))</f>
        <v>20</v>
      </c>
      <c r="E104" t="str">
        <f>IF(_xlfn.XLOOKUP('PREENCHIMENTO|LETIVAS'!A104,PARAMETROS!A:A,PARAMETROS!I:I)=0,"",_xlfn.XLOOKUP('PREENCHIMENTO|LETIVAS'!A104,PARAMETROS!A:A,PARAMETROS!I:I))</f>
        <v>PROFESSOR REGENTE</v>
      </c>
      <c r="F104" s="3" t="s">
        <v>31</v>
      </c>
      <c r="G104" s="3" t="s">
        <v>54</v>
      </c>
      <c r="H104" s="3" t="s">
        <v>32</v>
      </c>
      <c r="I104" s="3" t="s">
        <v>40</v>
      </c>
      <c r="J104" s="3" t="s">
        <v>950</v>
      </c>
      <c r="K104" s="3"/>
      <c r="L104" s="19"/>
      <c r="W104">
        <f t="shared" si="1"/>
        <v>2</v>
      </c>
    </row>
    <row r="105" spans="1:23">
      <c r="A105" s="3" t="s">
        <v>623</v>
      </c>
      <c r="B105" t="str">
        <f>IF(_xlfn.XLOOKUP(A105,PARAMETROS!A:A,PARAMETROS!B:B)=0,"",_xlfn.XLOOKUP(A105,PARAMETROS!A:A,PARAMETROS!B:B))</f>
        <v>012009006280</v>
      </c>
      <c r="C105">
        <f>IF(_xlfn.XLOOKUP(A105,PARAMETROS!A:A,PARAMETROS!C:C)=0,"",_xlfn.XLOOKUP(A105,PARAMETROS!A:A,PARAMETROS!C:C))</f>
        <v>12</v>
      </c>
      <c r="D105">
        <f>IF(_xlfn.XLOOKUP(A105,PARAMETROS!A:A,PARAMETROS!D:D)=0,"",_xlfn.XLOOKUP(A105,PARAMETROS!A:A,PARAMETROS!D:D))</f>
        <v>9</v>
      </c>
      <c r="E105" t="str">
        <f>IF(_xlfn.XLOOKUP('PREENCHIMENTO|LETIVAS'!A105,PARAMETROS!A:A,PARAMETROS!I:I)=0,"",_xlfn.XLOOKUP('PREENCHIMENTO|LETIVAS'!A105,PARAMETROS!A:A,PARAMETROS!I:I))</f>
        <v>PROFESSOR REGENTE</v>
      </c>
      <c r="F105" s="3" t="s">
        <v>31</v>
      </c>
      <c r="G105" s="3" t="s">
        <v>54</v>
      </c>
      <c r="H105" s="3" t="s">
        <v>32</v>
      </c>
      <c r="I105" s="3" t="s">
        <v>40</v>
      </c>
      <c r="J105" s="3" t="s">
        <v>951</v>
      </c>
      <c r="K105" s="3"/>
      <c r="L105" s="19"/>
      <c r="W105">
        <f t="shared" si="1"/>
        <v>2</v>
      </c>
    </row>
    <row r="106" spans="1:23">
      <c r="A106" s="3" t="s">
        <v>623</v>
      </c>
      <c r="B106" t="str">
        <f>IF(_xlfn.XLOOKUP(A106,PARAMETROS!A:A,PARAMETROS!B:B)=0,"",_xlfn.XLOOKUP(A106,PARAMETROS!A:A,PARAMETROS!B:B))</f>
        <v>012009006280</v>
      </c>
      <c r="C106">
        <f>IF(_xlfn.XLOOKUP(A106,PARAMETROS!A:A,PARAMETROS!C:C)=0,"",_xlfn.XLOOKUP(A106,PARAMETROS!A:A,PARAMETROS!C:C))</f>
        <v>12</v>
      </c>
      <c r="D106">
        <f>IF(_xlfn.XLOOKUP(A106,PARAMETROS!A:A,PARAMETROS!D:D)=0,"",_xlfn.XLOOKUP(A106,PARAMETROS!A:A,PARAMETROS!D:D))</f>
        <v>9</v>
      </c>
      <c r="E106" t="str">
        <f>IF(_xlfn.XLOOKUP('PREENCHIMENTO|LETIVAS'!A106,PARAMETROS!A:A,PARAMETROS!I:I)=0,"",_xlfn.XLOOKUP('PREENCHIMENTO|LETIVAS'!A106,PARAMETROS!A:A,PARAMETROS!I:I))</f>
        <v>PROFESSOR REGENTE</v>
      </c>
      <c r="F106" s="3" t="s">
        <v>31</v>
      </c>
      <c r="G106" s="3" t="s">
        <v>54</v>
      </c>
      <c r="H106" s="3" t="s">
        <v>32</v>
      </c>
      <c r="I106" s="3" t="s">
        <v>33</v>
      </c>
      <c r="J106" s="3" t="s">
        <v>952</v>
      </c>
      <c r="K106" s="3"/>
      <c r="L106" s="19"/>
      <c r="W106">
        <f t="shared" si="1"/>
        <v>2</v>
      </c>
    </row>
    <row r="107" spans="1:23">
      <c r="A107" s="3" t="s">
        <v>392</v>
      </c>
      <c r="B107" t="str">
        <f>IF(_xlfn.XLOOKUP(A107,PARAMETROS!A:A,PARAMETROS!B:B)=0,"",_xlfn.XLOOKUP(A107,PARAMETROS!A:A,PARAMETROS!B:B))</f>
        <v>012009006203</v>
      </c>
      <c r="C107">
        <f>IF(_xlfn.XLOOKUP(A107,PARAMETROS!A:A,PARAMETROS!C:C)=0,"",_xlfn.XLOOKUP(A107,PARAMETROS!A:A,PARAMETROS!C:C))</f>
        <v>12</v>
      </c>
      <c r="D107">
        <f>IF(_xlfn.XLOOKUP(A107,PARAMETROS!A:A,PARAMETROS!D:D)=0,"",_xlfn.XLOOKUP(A107,PARAMETROS!A:A,PARAMETROS!D:D))</f>
        <v>9</v>
      </c>
      <c r="E107" t="str">
        <f>IF(_xlfn.XLOOKUP('PREENCHIMENTO|LETIVAS'!A107,PARAMETROS!A:A,PARAMETROS!I:I)=0,"",_xlfn.XLOOKUP('PREENCHIMENTO|LETIVAS'!A107,PARAMETROS!A:A,PARAMETROS!I:I))</f>
        <v>PROFESSOR REGENTE</v>
      </c>
      <c r="F107" s="3" t="s">
        <v>31</v>
      </c>
      <c r="G107" s="3">
        <v>1</v>
      </c>
      <c r="H107" s="3" t="s">
        <v>55</v>
      </c>
      <c r="I107" s="3" t="s">
        <v>40</v>
      </c>
      <c r="J107" s="3" t="s">
        <v>953</v>
      </c>
      <c r="K107" s="3"/>
      <c r="L107" s="19"/>
      <c r="W107">
        <f t="shared" si="1"/>
        <v>2</v>
      </c>
    </row>
    <row r="108" spans="1:23">
      <c r="A108" s="3" t="s">
        <v>392</v>
      </c>
      <c r="B108" t="str">
        <f>IF(_xlfn.XLOOKUP(A108,PARAMETROS!A:A,PARAMETROS!B:B)=0,"",_xlfn.XLOOKUP(A108,PARAMETROS!A:A,PARAMETROS!B:B))</f>
        <v>012009006203</v>
      </c>
      <c r="C108">
        <f>IF(_xlfn.XLOOKUP(A108,PARAMETROS!A:A,PARAMETROS!C:C)=0,"",_xlfn.XLOOKUP(A108,PARAMETROS!A:A,PARAMETROS!C:C))</f>
        <v>12</v>
      </c>
      <c r="D108">
        <f>IF(_xlfn.XLOOKUP(A108,PARAMETROS!A:A,PARAMETROS!D:D)=0,"",_xlfn.XLOOKUP(A108,PARAMETROS!A:A,PARAMETROS!D:D))</f>
        <v>9</v>
      </c>
      <c r="E108" t="str">
        <f>IF(_xlfn.XLOOKUP('PREENCHIMENTO|LETIVAS'!A108,PARAMETROS!A:A,PARAMETROS!I:I)=0,"",_xlfn.XLOOKUP('PREENCHIMENTO|LETIVAS'!A108,PARAMETROS!A:A,PARAMETROS!I:I))</f>
        <v>PROFESSOR REGENTE</v>
      </c>
      <c r="F108" s="3" t="s">
        <v>31</v>
      </c>
      <c r="G108" s="3">
        <v>2</v>
      </c>
      <c r="H108" s="3" t="s">
        <v>55</v>
      </c>
      <c r="I108" s="3" t="s">
        <v>40</v>
      </c>
      <c r="J108" s="3" t="s">
        <v>954</v>
      </c>
      <c r="K108" s="3"/>
      <c r="L108" s="19"/>
      <c r="W108">
        <f t="shared" si="1"/>
        <v>2</v>
      </c>
    </row>
    <row r="109" spans="1:23">
      <c r="A109" s="3" t="s">
        <v>199</v>
      </c>
      <c r="B109" t="str">
        <f>IF(_xlfn.XLOOKUP(A109,PARAMETROS!A:A,PARAMETROS!B:B)=0,"",_xlfn.XLOOKUP(A109,PARAMETROS!A:A,PARAMETROS!B:B))</f>
        <v>012009003517</v>
      </c>
      <c r="C109">
        <f>IF(_xlfn.XLOOKUP(A109,PARAMETROS!A:A,PARAMETROS!C:C)=0,"",_xlfn.XLOOKUP(A109,PARAMETROS!A:A,PARAMETROS!C:C))</f>
        <v>40</v>
      </c>
      <c r="D109">
        <f>IF(_xlfn.XLOOKUP(A109,PARAMETROS!A:A,PARAMETROS!D:D)=0,"",_xlfn.XLOOKUP(A109,PARAMETROS!A:A,PARAMETROS!D:D))</f>
        <v>4</v>
      </c>
      <c r="E109" t="str">
        <f>IF(_xlfn.XLOOKUP('PREENCHIMENTO|LETIVAS'!A109,PARAMETROS!A:A,PARAMETROS!I:I)=0,"",_xlfn.XLOOKUP('PREENCHIMENTO|LETIVAS'!A109,PARAMETROS!A:A,PARAMETROS!I:I))</f>
        <v>PROFESSOR DE ENSINO SUPERIOR EAD</v>
      </c>
      <c r="F109" s="3" t="s">
        <v>31</v>
      </c>
      <c r="G109" s="3">
        <v>2</v>
      </c>
      <c r="H109" s="3" t="s">
        <v>55</v>
      </c>
      <c r="I109" s="3" t="s">
        <v>33</v>
      </c>
      <c r="J109" s="3" t="s">
        <v>955</v>
      </c>
      <c r="K109" s="3"/>
      <c r="L109" s="19"/>
      <c r="W109">
        <f t="shared" si="1"/>
        <v>2</v>
      </c>
    </row>
    <row r="110" spans="1:23">
      <c r="A110" s="3" t="s">
        <v>199</v>
      </c>
      <c r="B110" t="str">
        <f>IF(_xlfn.XLOOKUP(A110,PARAMETROS!A:A,PARAMETROS!B:B)=0,"",_xlfn.XLOOKUP(A110,PARAMETROS!A:A,PARAMETROS!B:B))</f>
        <v>012009003517</v>
      </c>
      <c r="C110">
        <f>IF(_xlfn.XLOOKUP(A110,PARAMETROS!A:A,PARAMETROS!C:C)=0,"",_xlfn.XLOOKUP(A110,PARAMETROS!A:A,PARAMETROS!C:C))</f>
        <v>40</v>
      </c>
      <c r="D110">
        <f>IF(_xlfn.XLOOKUP(A110,PARAMETROS!A:A,PARAMETROS!D:D)=0,"",_xlfn.XLOOKUP(A110,PARAMETROS!A:A,PARAMETROS!D:D))</f>
        <v>4</v>
      </c>
      <c r="E110" t="str">
        <f>IF(_xlfn.XLOOKUP('PREENCHIMENTO|LETIVAS'!A110,PARAMETROS!A:A,PARAMETROS!I:I)=0,"",_xlfn.XLOOKUP('PREENCHIMENTO|LETIVAS'!A110,PARAMETROS!A:A,PARAMETROS!I:I))</f>
        <v>PROFESSOR DE ENSINO SUPERIOR EAD</v>
      </c>
      <c r="F110" s="3" t="s">
        <v>31</v>
      </c>
      <c r="G110" s="3">
        <v>2</v>
      </c>
      <c r="H110" s="3" t="s">
        <v>55</v>
      </c>
      <c r="I110" s="3" t="s">
        <v>40</v>
      </c>
      <c r="J110" s="3" t="s">
        <v>956</v>
      </c>
      <c r="K110" s="3"/>
      <c r="L110" s="19"/>
      <c r="W110">
        <f t="shared" si="1"/>
        <v>2</v>
      </c>
    </row>
    <row r="111" spans="1:23">
      <c r="A111" s="3" t="s">
        <v>569</v>
      </c>
      <c r="B111" t="str">
        <f>IF(_xlfn.XLOOKUP(A111,PARAMETROS!A:A,PARAMETROS!B:B)=0,"",_xlfn.XLOOKUP(A111,PARAMETROS!A:A,PARAMETROS!B:B))</f>
        <v>012009006257</v>
      </c>
      <c r="C111">
        <f>IF(_xlfn.XLOOKUP(A111,PARAMETROS!A:A,PARAMETROS!C:C)=0,"",_xlfn.XLOOKUP(A111,PARAMETROS!A:A,PARAMETROS!C:C))</f>
        <v>12</v>
      </c>
      <c r="D111">
        <f>IF(_xlfn.XLOOKUP(A111,PARAMETROS!A:A,PARAMETROS!D:D)=0,"",_xlfn.XLOOKUP(A111,PARAMETROS!A:A,PARAMETROS!D:D))</f>
        <v>9</v>
      </c>
      <c r="E111" t="str">
        <f>IF(_xlfn.XLOOKUP('PREENCHIMENTO|LETIVAS'!A111,PARAMETROS!A:A,PARAMETROS!I:I)=0,"",_xlfn.XLOOKUP('PREENCHIMENTO|LETIVAS'!A111,PARAMETROS!A:A,PARAMETROS!I:I))</f>
        <v>PROFESSOR REGENTE</v>
      </c>
      <c r="F111" s="3" t="s">
        <v>31</v>
      </c>
      <c r="G111" s="3">
        <v>1</v>
      </c>
      <c r="H111" s="3" t="s">
        <v>32</v>
      </c>
      <c r="I111" s="3" t="s">
        <v>40</v>
      </c>
      <c r="J111" s="3" t="s">
        <v>957</v>
      </c>
      <c r="K111" s="3"/>
      <c r="L111" s="19"/>
      <c r="W111">
        <f t="shared" si="1"/>
        <v>2</v>
      </c>
    </row>
    <row r="112" spans="1:23">
      <c r="A112" s="3" t="s">
        <v>569</v>
      </c>
      <c r="B112" t="str">
        <f>IF(_xlfn.XLOOKUP(A112,PARAMETROS!A:A,PARAMETROS!B:B)=0,"",_xlfn.XLOOKUP(A112,PARAMETROS!A:A,PARAMETROS!B:B))</f>
        <v>012009006257</v>
      </c>
      <c r="C112">
        <f>IF(_xlfn.XLOOKUP(A112,PARAMETROS!A:A,PARAMETROS!C:C)=0,"",_xlfn.XLOOKUP(A112,PARAMETROS!A:A,PARAMETROS!C:C))</f>
        <v>12</v>
      </c>
      <c r="D112">
        <f>IF(_xlfn.XLOOKUP(A112,PARAMETROS!A:A,PARAMETROS!D:D)=0,"",_xlfn.XLOOKUP(A112,PARAMETROS!A:A,PARAMETROS!D:D))</f>
        <v>9</v>
      </c>
      <c r="E112" t="str">
        <f>IF(_xlfn.XLOOKUP('PREENCHIMENTO|LETIVAS'!A112,PARAMETROS!A:A,PARAMETROS!I:I)=0,"",_xlfn.XLOOKUP('PREENCHIMENTO|LETIVAS'!A112,PARAMETROS!A:A,PARAMETROS!I:I))</f>
        <v>PROFESSOR REGENTE</v>
      </c>
      <c r="F112" s="3" t="s">
        <v>31</v>
      </c>
      <c r="G112" s="3">
        <v>2</v>
      </c>
      <c r="H112" s="3" t="s">
        <v>32</v>
      </c>
      <c r="I112" s="3" t="s">
        <v>33</v>
      </c>
      <c r="J112" s="3" t="s">
        <v>958</v>
      </c>
      <c r="K112" s="3"/>
      <c r="L112" s="19"/>
      <c r="W112">
        <f t="shared" si="1"/>
        <v>2</v>
      </c>
    </row>
    <row r="113" spans="1:23">
      <c r="A113" s="3" t="s">
        <v>303</v>
      </c>
      <c r="B113" t="str">
        <f>IF(_xlfn.XLOOKUP(A113,PARAMETROS!A:A,PARAMETROS!B:B)=0,"",_xlfn.XLOOKUP(A113,PARAMETROS!A:A,PARAMETROS!B:B))</f>
        <v>012009006234</v>
      </c>
      <c r="C113">
        <f>IF(_xlfn.XLOOKUP(A113,PARAMETROS!A:A,PARAMETROS!C:C)=0,"",_xlfn.XLOOKUP(A113,PARAMETROS!A:A,PARAMETROS!C:C))</f>
        <v>12</v>
      </c>
      <c r="D113">
        <f>IF(_xlfn.XLOOKUP(A113,PARAMETROS!A:A,PARAMETROS!D:D)=0,"",_xlfn.XLOOKUP(A113,PARAMETROS!A:A,PARAMETROS!D:D))</f>
        <v>9</v>
      </c>
      <c r="E113" t="str">
        <f>IF(_xlfn.XLOOKUP('PREENCHIMENTO|LETIVAS'!A113,PARAMETROS!A:A,PARAMETROS!I:I)=0,"",_xlfn.XLOOKUP('PREENCHIMENTO|LETIVAS'!A113,PARAMETROS!A:A,PARAMETROS!I:I))</f>
        <v>PROFESSOR REGENTE</v>
      </c>
      <c r="F113" s="3" t="s">
        <v>31</v>
      </c>
      <c r="G113" s="3">
        <v>2</v>
      </c>
      <c r="H113" s="3" t="s">
        <v>32</v>
      </c>
      <c r="I113" s="3" t="s">
        <v>33</v>
      </c>
      <c r="J113" s="3" t="s">
        <v>959</v>
      </c>
      <c r="K113" s="3"/>
      <c r="L113" s="19"/>
      <c r="W113">
        <f t="shared" si="1"/>
        <v>2</v>
      </c>
    </row>
    <row r="114" spans="1:23">
      <c r="A114" s="3" t="s">
        <v>303</v>
      </c>
      <c r="B114" t="str">
        <f>IF(_xlfn.XLOOKUP(A114,PARAMETROS!A:A,PARAMETROS!B:B)=0,"",_xlfn.XLOOKUP(A114,PARAMETROS!A:A,PARAMETROS!B:B))</f>
        <v>012009006234</v>
      </c>
      <c r="C114">
        <f>IF(_xlfn.XLOOKUP(A114,PARAMETROS!A:A,PARAMETROS!C:C)=0,"",_xlfn.XLOOKUP(A114,PARAMETROS!A:A,PARAMETROS!C:C))</f>
        <v>12</v>
      </c>
      <c r="D114">
        <f>IF(_xlfn.XLOOKUP(A114,PARAMETROS!A:A,PARAMETROS!D:D)=0,"",_xlfn.XLOOKUP(A114,PARAMETROS!A:A,PARAMETROS!D:D))</f>
        <v>9</v>
      </c>
      <c r="E114" t="str">
        <f>IF(_xlfn.XLOOKUP('PREENCHIMENTO|LETIVAS'!A114,PARAMETROS!A:A,PARAMETROS!I:I)=0,"",_xlfn.XLOOKUP('PREENCHIMENTO|LETIVAS'!A114,PARAMETROS!A:A,PARAMETROS!I:I))</f>
        <v>PROFESSOR REGENTE</v>
      </c>
      <c r="F114" s="3" t="s">
        <v>31</v>
      </c>
      <c r="G114" s="3">
        <v>2</v>
      </c>
      <c r="H114" s="3" t="s">
        <v>32</v>
      </c>
      <c r="I114" s="3" t="s">
        <v>40</v>
      </c>
      <c r="J114" s="3" t="s">
        <v>960</v>
      </c>
      <c r="K114" s="3"/>
      <c r="L114" s="19"/>
      <c r="W114">
        <f t="shared" si="1"/>
        <v>2</v>
      </c>
    </row>
    <row r="115" spans="1:23">
      <c r="A115" s="3" t="s">
        <v>303</v>
      </c>
      <c r="B115" t="str">
        <f>IF(_xlfn.XLOOKUP(A115,PARAMETROS!A:A,PARAMETROS!B:B)=0,"",_xlfn.XLOOKUP(A115,PARAMETROS!A:A,PARAMETROS!B:B))</f>
        <v>012009006234</v>
      </c>
      <c r="C115">
        <f>IF(_xlfn.XLOOKUP(A115,PARAMETROS!A:A,PARAMETROS!C:C)=0,"",_xlfn.XLOOKUP(A115,PARAMETROS!A:A,PARAMETROS!C:C))</f>
        <v>12</v>
      </c>
      <c r="D115">
        <f>IF(_xlfn.XLOOKUP(A115,PARAMETROS!A:A,PARAMETROS!D:D)=0,"",_xlfn.XLOOKUP(A115,PARAMETROS!A:A,PARAMETROS!D:D))</f>
        <v>9</v>
      </c>
      <c r="E115" t="str">
        <f>IF(_xlfn.XLOOKUP('PREENCHIMENTO|LETIVAS'!A115,PARAMETROS!A:A,PARAMETROS!I:I)=0,"",_xlfn.XLOOKUP('PREENCHIMENTO|LETIVAS'!A115,PARAMETROS!A:A,PARAMETROS!I:I))</f>
        <v>PROFESSOR REGENTE</v>
      </c>
      <c r="F115" s="3" t="s">
        <v>31</v>
      </c>
      <c r="G115" s="3" t="s">
        <v>54</v>
      </c>
      <c r="H115" s="3" t="s">
        <v>55</v>
      </c>
      <c r="I115" s="3" t="s">
        <v>40</v>
      </c>
      <c r="J115" s="3" t="s">
        <v>961</v>
      </c>
      <c r="K115" s="3"/>
      <c r="L115" s="19"/>
      <c r="W115">
        <f t="shared" si="1"/>
        <v>2</v>
      </c>
    </row>
    <row r="116" spans="1:23">
      <c r="A116" s="3" t="s">
        <v>303</v>
      </c>
      <c r="B116" t="str">
        <f>IF(_xlfn.XLOOKUP(A116,PARAMETROS!A:A,PARAMETROS!B:B)=0,"",_xlfn.XLOOKUP(A116,PARAMETROS!A:A,PARAMETROS!B:B))</f>
        <v>012009006234</v>
      </c>
      <c r="C116">
        <f>IF(_xlfn.XLOOKUP(A116,PARAMETROS!A:A,PARAMETROS!C:C)=0,"",_xlfn.XLOOKUP(A116,PARAMETROS!A:A,PARAMETROS!C:C))</f>
        <v>12</v>
      </c>
      <c r="D116">
        <f>IF(_xlfn.XLOOKUP(A116,PARAMETROS!A:A,PARAMETROS!D:D)=0,"",_xlfn.XLOOKUP(A116,PARAMETROS!A:A,PARAMETROS!D:D))</f>
        <v>9</v>
      </c>
      <c r="E116" t="str">
        <f>IF(_xlfn.XLOOKUP('PREENCHIMENTO|LETIVAS'!A116,PARAMETROS!A:A,PARAMETROS!I:I)=0,"",_xlfn.XLOOKUP('PREENCHIMENTO|LETIVAS'!A116,PARAMETROS!A:A,PARAMETROS!I:I))</f>
        <v>PROFESSOR REGENTE</v>
      </c>
      <c r="F116" s="3" t="s">
        <v>31</v>
      </c>
      <c r="G116" s="3" t="s">
        <v>54</v>
      </c>
      <c r="H116" s="3" t="s">
        <v>55</v>
      </c>
      <c r="I116" s="3" t="s">
        <v>33</v>
      </c>
      <c r="J116" s="3" t="s">
        <v>962</v>
      </c>
      <c r="K116" s="3"/>
      <c r="L116" s="19"/>
      <c r="W116">
        <f t="shared" si="1"/>
        <v>2</v>
      </c>
    </row>
    <row r="117" spans="1:23">
      <c r="A117" s="3" t="s">
        <v>426</v>
      </c>
      <c r="B117" t="str">
        <f>IF(_xlfn.XLOOKUP(A117,PARAMETROS!A:A,PARAMETROS!B:B)=0,"",_xlfn.XLOOKUP(A117,PARAMETROS!A:A,PARAMETROS!B:B))</f>
        <v>012009004311</v>
      </c>
      <c r="C117">
        <f>IF(_xlfn.XLOOKUP(A117,PARAMETROS!A:A,PARAMETROS!C:C)=0,"",_xlfn.XLOOKUP(A117,PARAMETROS!A:A,PARAMETROS!C:C))</f>
        <v>20</v>
      </c>
      <c r="D117">
        <f>IF(_xlfn.XLOOKUP(A117,PARAMETROS!A:A,PARAMETROS!D:D)=0,"",_xlfn.XLOOKUP(A117,PARAMETROS!A:A,PARAMETROS!D:D))</f>
        <v>2</v>
      </c>
      <c r="E117" t="str">
        <f>IF(_xlfn.XLOOKUP('PREENCHIMENTO|LETIVAS'!A117,PARAMETROS!A:A,PARAMETROS!I:I)=0,"",_xlfn.XLOOKUP('PREENCHIMENTO|LETIVAS'!A117,PARAMETROS!A:A,PARAMETROS!I:I))</f>
        <v>PROFESSOR DE ENSINO SUPERIOR EAD</v>
      </c>
      <c r="F117" s="3" t="s">
        <v>31</v>
      </c>
      <c r="G117" s="3">
        <v>2</v>
      </c>
      <c r="H117" s="3" t="s">
        <v>39</v>
      </c>
      <c r="I117" s="3" t="s">
        <v>33</v>
      </c>
      <c r="J117" s="3" t="s">
        <v>922</v>
      </c>
      <c r="K117" s="3"/>
      <c r="L117" s="19"/>
      <c r="W117">
        <f t="shared" si="1"/>
        <v>2</v>
      </c>
    </row>
    <row r="118" spans="1:23">
      <c r="A118" s="3" t="s">
        <v>478</v>
      </c>
      <c r="B118" t="str">
        <f>IF(_xlfn.XLOOKUP(A118,PARAMETROS!A:A,PARAMETROS!B:B)=0,"",_xlfn.XLOOKUP(A118,PARAMETROS!A:A,PARAMETROS!B:B))</f>
        <v>012009005535</v>
      </c>
      <c r="C118">
        <f>IF(_xlfn.XLOOKUP(A118,PARAMETROS!A:A,PARAMETROS!C:C)=0,"",_xlfn.XLOOKUP(A118,PARAMETROS!A:A,PARAMETROS!C:C))</f>
        <v>40</v>
      </c>
      <c r="D118">
        <f>IF(_xlfn.XLOOKUP(A118,PARAMETROS!A:A,PARAMETROS!D:D)=0,"",_xlfn.XLOOKUP(A118,PARAMETROS!A:A,PARAMETROS!D:D))</f>
        <v>4</v>
      </c>
      <c r="E118" t="str">
        <f>IF(_xlfn.XLOOKUP('PREENCHIMENTO|LETIVAS'!A118,PARAMETROS!A:A,PARAMETROS!I:I)=0,"",_xlfn.XLOOKUP('PREENCHIMENTO|LETIVAS'!A118,PARAMETROS!A:A,PARAMETROS!I:I))</f>
        <v>PROFESSOR DE ENSINO SUPERIOR EAD</v>
      </c>
      <c r="F118" s="3" t="s">
        <v>31</v>
      </c>
      <c r="G118" s="3">
        <v>2</v>
      </c>
      <c r="H118" s="3" t="s">
        <v>63</v>
      </c>
      <c r="I118" s="3" t="s">
        <v>40</v>
      </c>
      <c r="J118" s="3" t="s">
        <v>963</v>
      </c>
      <c r="K118" s="3"/>
      <c r="L118" s="19"/>
      <c r="W118">
        <f t="shared" si="1"/>
        <v>2</v>
      </c>
    </row>
    <row r="119" spans="1:23">
      <c r="A119" s="3" t="s">
        <v>478</v>
      </c>
      <c r="B119" t="str">
        <f>IF(_xlfn.XLOOKUP(A119,PARAMETROS!A:A,PARAMETROS!B:B)=0,"",_xlfn.XLOOKUP(A119,PARAMETROS!A:A,PARAMETROS!B:B))</f>
        <v>012009005535</v>
      </c>
      <c r="C119">
        <f>IF(_xlfn.XLOOKUP(A119,PARAMETROS!A:A,PARAMETROS!C:C)=0,"",_xlfn.XLOOKUP(A119,PARAMETROS!A:A,PARAMETROS!C:C))</f>
        <v>40</v>
      </c>
      <c r="D119">
        <f>IF(_xlfn.XLOOKUP(A119,PARAMETROS!A:A,PARAMETROS!D:D)=0,"",_xlfn.XLOOKUP(A119,PARAMETROS!A:A,PARAMETROS!D:D))</f>
        <v>4</v>
      </c>
      <c r="E119" t="str">
        <f>IF(_xlfn.XLOOKUP('PREENCHIMENTO|LETIVAS'!A119,PARAMETROS!A:A,PARAMETROS!I:I)=0,"",_xlfn.XLOOKUP('PREENCHIMENTO|LETIVAS'!A119,PARAMETROS!A:A,PARAMETROS!I:I))</f>
        <v>PROFESSOR DE ENSINO SUPERIOR EAD</v>
      </c>
      <c r="F119" s="3" t="s">
        <v>31</v>
      </c>
      <c r="G119" s="3">
        <v>1</v>
      </c>
      <c r="H119" s="3" t="s">
        <v>63</v>
      </c>
      <c r="I119" s="3" t="s">
        <v>33</v>
      </c>
      <c r="J119" s="3" t="s">
        <v>964</v>
      </c>
      <c r="K119" s="3"/>
      <c r="L119" s="19"/>
      <c r="W119">
        <f t="shared" si="1"/>
        <v>2</v>
      </c>
    </row>
    <row r="120" spans="1:23">
      <c r="A120" s="3" t="s">
        <v>617</v>
      </c>
      <c r="B120" t="str">
        <f>IF(_xlfn.XLOOKUP(A120,PARAMETROS!A:A,PARAMETROS!B:B)=0,"",_xlfn.XLOOKUP(A120,PARAMETROS!A:A,PARAMETROS!B:B))</f>
        <v>012009006315</v>
      </c>
      <c r="C120">
        <f>IF(_xlfn.XLOOKUP(A120,PARAMETROS!A:A,PARAMETROS!C:C)=0,"",_xlfn.XLOOKUP(A120,PARAMETROS!A:A,PARAMETROS!C:C))</f>
        <v>12</v>
      </c>
      <c r="D120">
        <f>IF(_xlfn.XLOOKUP(A120,PARAMETROS!A:A,PARAMETROS!D:D)=0,"",_xlfn.XLOOKUP(A120,PARAMETROS!A:A,PARAMETROS!D:D))</f>
        <v>9</v>
      </c>
      <c r="E120" t="str">
        <f>IF(_xlfn.XLOOKUP('PREENCHIMENTO|LETIVAS'!A120,PARAMETROS!A:A,PARAMETROS!I:I)=0,"",_xlfn.XLOOKUP('PREENCHIMENTO|LETIVAS'!A120,PARAMETROS!A:A,PARAMETROS!I:I))</f>
        <v>PROFESSOR REGENTE</v>
      </c>
      <c r="F120" s="3" t="s">
        <v>31</v>
      </c>
      <c r="G120" s="3">
        <v>2</v>
      </c>
      <c r="H120" s="3" t="s">
        <v>63</v>
      </c>
      <c r="I120" s="3" t="s">
        <v>40</v>
      </c>
      <c r="J120" s="3" t="s">
        <v>965</v>
      </c>
      <c r="K120" s="3"/>
      <c r="L120" s="19"/>
      <c r="W120">
        <f t="shared" si="1"/>
        <v>2</v>
      </c>
    </row>
    <row r="121" spans="1:23">
      <c r="A121" s="3" t="s">
        <v>617</v>
      </c>
      <c r="B121" t="str">
        <f>IF(_xlfn.XLOOKUP(A121,PARAMETROS!A:A,PARAMETROS!B:B)=0,"",_xlfn.XLOOKUP(A121,PARAMETROS!A:A,PARAMETROS!B:B))</f>
        <v>012009006315</v>
      </c>
      <c r="C121">
        <f>IF(_xlfn.XLOOKUP(A121,PARAMETROS!A:A,PARAMETROS!C:C)=0,"",_xlfn.XLOOKUP(A121,PARAMETROS!A:A,PARAMETROS!C:C))</f>
        <v>12</v>
      </c>
      <c r="D121">
        <f>IF(_xlfn.XLOOKUP(A121,PARAMETROS!A:A,PARAMETROS!D:D)=0,"",_xlfn.XLOOKUP(A121,PARAMETROS!A:A,PARAMETROS!D:D))</f>
        <v>9</v>
      </c>
      <c r="E121" t="str">
        <f>IF(_xlfn.XLOOKUP('PREENCHIMENTO|LETIVAS'!A121,PARAMETROS!A:A,PARAMETROS!I:I)=0,"",_xlfn.XLOOKUP('PREENCHIMENTO|LETIVAS'!A121,PARAMETROS!A:A,PARAMETROS!I:I))</f>
        <v>PROFESSOR REGENTE</v>
      </c>
      <c r="F121" s="3" t="s">
        <v>31</v>
      </c>
      <c r="G121" s="3">
        <v>1</v>
      </c>
      <c r="H121" s="3" t="s">
        <v>39</v>
      </c>
      <c r="I121" s="3" t="s">
        <v>33</v>
      </c>
      <c r="J121" s="3" t="s">
        <v>966</v>
      </c>
      <c r="K121" s="3"/>
      <c r="L121" s="19"/>
      <c r="W121">
        <f>IF(I197&lt;&gt;"",2,0)</f>
        <v>2</v>
      </c>
    </row>
    <row r="122" spans="1:23">
      <c r="A122" s="3" t="s">
        <v>395</v>
      </c>
      <c r="B122" t="str">
        <f>IF(_xlfn.XLOOKUP(A122,PARAMETROS!A:A,PARAMETROS!B:B)=0,"",_xlfn.XLOOKUP(A122,PARAMETROS!A:A,PARAMETROS!B:B))</f>
        <v>012009004461</v>
      </c>
      <c r="C122">
        <f>IF(_xlfn.XLOOKUP(A122,PARAMETROS!A:A,PARAMETROS!C:C)=0,"",_xlfn.XLOOKUP(A122,PARAMETROS!A:A,PARAMETROS!C:C))</f>
        <v>20</v>
      </c>
      <c r="D122">
        <f>IF(_xlfn.XLOOKUP(A122,PARAMETROS!A:A,PARAMETROS!D:D)=0,"",_xlfn.XLOOKUP(A122,PARAMETROS!A:A,PARAMETROS!D:D))</f>
        <v>2</v>
      </c>
      <c r="E122" t="str">
        <f>IF(_xlfn.XLOOKUP('PREENCHIMENTO|LETIVAS'!A122,PARAMETROS!A:A,PARAMETROS!I:I)=0,"",_xlfn.XLOOKUP('PREENCHIMENTO|LETIVAS'!A122,PARAMETROS!A:A,PARAMETROS!I:I))</f>
        <v>PROFESSOR DE ENSINO SUPERIOR EAD</v>
      </c>
      <c r="F122" s="3" t="s">
        <v>31</v>
      </c>
      <c r="G122" s="3">
        <v>2</v>
      </c>
      <c r="H122" s="3" t="s">
        <v>63</v>
      </c>
      <c r="I122" s="3" t="s">
        <v>33</v>
      </c>
      <c r="J122" s="3" t="s">
        <v>967</v>
      </c>
      <c r="K122" s="3"/>
      <c r="L122" s="19"/>
      <c r="W122">
        <f t="shared" si="1"/>
        <v>2</v>
      </c>
    </row>
    <row r="123" spans="1:23">
      <c r="A123" s="3" t="s">
        <v>126</v>
      </c>
      <c r="B123" t="str">
        <f>IF(_xlfn.XLOOKUP(A123,PARAMETROS!A:A,PARAMETROS!B:B)=0,"",_xlfn.XLOOKUP(A123,PARAMETROS!A:A,PARAMETROS!B:B))</f>
        <v>012009006177</v>
      </c>
      <c r="C123">
        <f>IF(_xlfn.XLOOKUP(A123,PARAMETROS!A:A,PARAMETROS!C:C)=0,"",_xlfn.XLOOKUP(A123,PARAMETROS!A:A,PARAMETROS!C:C))</f>
        <v>12</v>
      </c>
      <c r="D123">
        <f>IF(_xlfn.XLOOKUP(A123,PARAMETROS!A:A,PARAMETROS!D:D)=0,"",_xlfn.XLOOKUP(A123,PARAMETROS!A:A,PARAMETROS!D:D))</f>
        <v>9</v>
      </c>
      <c r="E123" t="str">
        <f>IF(_xlfn.XLOOKUP('PREENCHIMENTO|LETIVAS'!A123,PARAMETROS!A:A,PARAMETROS!I:I)=0,"",_xlfn.XLOOKUP('PREENCHIMENTO|LETIVAS'!A123,PARAMETROS!A:A,PARAMETROS!I:I))</f>
        <v>PROFESSOR REGENTE</v>
      </c>
      <c r="F123" s="3" t="s">
        <v>31</v>
      </c>
      <c r="G123" s="3">
        <v>1</v>
      </c>
      <c r="H123" s="3" t="s">
        <v>63</v>
      </c>
      <c r="I123" s="3" t="s">
        <v>40</v>
      </c>
      <c r="J123" s="3" t="s">
        <v>968</v>
      </c>
      <c r="K123" s="3"/>
      <c r="L123" s="19"/>
      <c r="W123">
        <f t="shared" si="1"/>
        <v>2</v>
      </c>
    </row>
    <row r="124" spans="1:23">
      <c r="A124" s="3" t="s">
        <v>126</v>
      </c>
      <c r="B124" t="str">
        <f>IF(_xlfn.XLOOKUP(A124,PARAMETROS!A:A,PARAMETROS!B:B)=0,"",_xlfn.XLOOKUP(A124,PARAMETROS!A:A,PARAMETROS!B:B))</f>
        <v>012009006177</v>
      </c>
      <c r="C124">
        <f>IF(_xlfn.XLOOKUP(A124,PARAMETROS!A:A,PARAMETROS!C:C)=0,"",_xlfn.XLOOKUP(A124,PARAMETROS!A:A,PARAMETROS!C:C))</f>
        <v>12</v>
      </c>
      <c r="D124">
        <f>IF(_xlfn.XLOOKUP(A124,PARAMETROS!A:A,PARAMETROS!D:D)=0,"",_xlfn.XLOOKUP(A124,PARAMETROS!A:A,PARAMETROS!D:D))</f>
        <v>9</v>
      </c>
      <c r="E124" t="str">
        <f>IF(_xlfn.XLOOKUP('PREENCHIMENTO|LETIVAS'!A124,PARAMETROS!A:A,PARAMETROS!I:I)=0,"",_xlfn.XLOOKUP('PREENCHIMENTO|LETIVAS'!A124,PARAMETROS!A:A,PARAMETROS!I:I))</f>
        <v>PROFESSOR REGENTE</v>
      </c>
      <c r="F124" s="3" t="s">
        <v>31</v>
      </c>
      <c r="G124" s="3">
        <v>1</v>
      </c>
      <c r="H124" s="3" t="s">
        <v>63</v>
      </c>
      <c r="I124" s="3" t="s">
        <v>33</v>
      </c>
      <c r="J124" s="3" t="s">
        <v>966</v>
      </c>
      <c r="K124" s="3"/>
      <c r="L124" s="19"/>
      <c r="W124">
        <f t="shared" si="1"/>
        <v>2</v>
      </c>
    </row>
    <row r="125" spans="1:23">
      <c r="A125" s="3" t="s">
        <v>126</v>
      </c>
      <c r="B125" t="str">
        <f>IF(_xlfn.XLOOKUP(A125,PARAMETROS!A:A,PARAMETROS!B:B)=0,"",_xlfn.XLOOKUP(A125,PARAMETROS!A:A,PARAMETROS!B:B))</f>
        <v>012009006177</v>
      </c>
      <c r="C125">
        <f>IF(_xlfn.XLOOKUP(A125,PARAMETROS!A:A,PARAMETROS!C:C)=0,"",_xlfn.XLOOKUP(A125,PARAMETROS!A:A,PARAMETROS!C:C))</f>
        <v>12</v>
      </c>
      <c r="D125">
        <f>IF(_xlfn.XLOOKUP(A125,PARAMETROS!A:A,PARAMETROS!D:D)=0,"",_xlfn.XLOOKUP(A125,PARAMETROS!A:A,PARAMETROS!D:D))</f>
        <v>9</v>
      </c>
      <c r="E125" t="str">
        <f>IF(_xlfn.XLOOKUP('PREENCHIMENTO|LETIVAS'!A125,PARAMETROS!A:A,PARAMETROS!I:I)=0,"",_xlfn.XLOOKUP('PREENCHIMENTO|LETIVAS'!A125,PARAMETROS!A:A,PARAMETROS!I:I))</f>
        <v>PROFESSOR REGENTE</v>
      </c>
      <c r="F125" s="3" t="s">
        <v>31</v>
      </c>
      <c r="G125" s="3">
        <v>2</v>
      </c>
      <c r="H125" s="3" t="s">
        <v>63</v>
      </c>
      <c r="I125" s="3" t="s">
        <v>40</v>
      </c>
      <c r="J125" s="3" t="s">
        <v>969</v>
      </c>
      <c r="K125" s="3"/>
      <c r="L125" s="19"/>
      <c r="W125">
        <f t="shared" si="1"/>
        <v>2</v>
      </c>
    </row>
    <row r="126" spans="1:23">
      <c r="A126" s="3" t="s">
        <v>572</v>
      </c>
      <c r="B126" t="str">
        <f>IF(_xlfn.XLOOKUP(A126,PARAMETROS!A:A,PARAMETROS!B:B)=0,"",_xlfn.XLOOKUP(A126,PARAMETROS!A:A,PARAMETROS!B:B))</f>
        <v>012009006263</v>
      </c>
      <c r="C126">
        <f>IF(_xlfn.XLOOKUP(A126,PARAMETROS!A:A,PARAMETROS!C:C)=0,"",_xlfn.XLOOKUP(A126,PARAMETROS!A:A,PARAMETROS!C:C))</f>
        <v>12</v>
      </c>
      <c r="D126">
        <f>IF(_xlfn.XLOOKUP(A126,PARAMETROS!A:A,PARAMETROS!D:D)=0,"",_xlfn.XLOOKUP(A126,PARAMETROS!A:A,PARAMETROS!D:D))</f>
        <v>9</v>
      </c>
      <c r="E126" t="str">
        <f>IF(_xlfn.XLOOKUP('PREENCHIMENTO|LETIVAS'!A126,PARAMETROS!A:A,PARAMETROS!I:I)=0,"",_xlfn.XLOOKUP('PREENCHIMENTO|LETIVAS'!A126,PARAMETROS!A:A,PARAMETROS!I:I))</f>
        <v>PROFESSOR REGENTE</v>
      </c>
      <c r="F126" s="3" t="s">
        <v>31</v>
      </c>
      <c r="G126" s="3" t="s">
        <v>54</v>
      </c>
      <c r="H126" s="3" t="s">
        <v>32</v>
      </c>
      <c r="I126" s="3" t="s">
        <v>33</v>
      </c>
      <c r="J126" s="3" t="s">
        <v>970</v>
      </c>
      <c r="K126" s="3"/>
      <c r="L126" s="19"/>
      <c r="W126">
        <f t="shared" si="1"/>
        <v>2</v>
      </c>
    </row>
    <row r="127" spans="1:23">
      <c r="A127" s="3" t="s">
        <v>572</v>
      </c>
      <c r="B127" t="str">
        <f>IF(_xlfn.XLOOKUP(A127,PARAMETROS!A:A,PARAMETROS!B:B)=0,"",_xlfn.XLOOKUP(A127,PARAMETROS!A:A,PARAMETROS!B:B))</f>
        <v>012009006263</v>
      </c>
      <c r="C127">
        <f>IF(_xlfn.XLOOKUP(A127,PARAMETROS!A:A,PARAMETROS!C:C)=0,"",_xlfn.XLOOKUP(A127,PARAMETROS!A:A,PARAMETROS!C:C))</f>
        <v>12</v>
      </c>
      <c r="D127">
        <f>IF(_xlfn.XLOOKUP(A127,PARAMETROS!A:A,PARAMETROS!D:D)=0,"",_xlfn.XLOOKUP(A127,PARAMETROS!A:A,PARAMETROS!D:D))</f>
        <v>9</v>
      </c>
      <c r="E127" t="str">
        <f>IF(_xlfn.XLOOKUP('PREENCHIMENTO|LETIVAS'!A127,PARAMETROS!A:A,PARAMETROS!I:I)=0,"",_xlfn.XLOOKUP('PREENCHIMENTO|LETIVAS'!A127,PARAMETROS!A:A,PARAMETROS!I:I))</f>
        <v>PROFESSOR REGENTE</v>
      </c>
      <c r="F127" s="3" t="s">
        <v>31</v>
      </c>
      <c r="G127" s="3" t="s">
        <v>54</v>
      </c>
      <c r="H127" s="3" t="s">
        <v>32</v>
      </c>
      <c r="I127" s="3" t="s">
        <v>40</v>
      </c>
      <c r="J127" s="3" t="s">
        <v>971</v>
      </c>
      <c r="K127" s="3"/>
      <c r="L127" s="19"/>
      <c r="W127">
        <f t="shared" si="1"/>
        <v>2</v>
      </c>
    </row>
    <row r="128" spans="1:23">
      <c r="A128" s="3" t="s">
        <v>380</v>
      </c>
      <c r="B128" t="str">
        <f>IF(_xlfn.XLOOKUP(A128,PARAMETROS!A:A,PARAMETROS!B:B)=0,"",_xlfn.XLOOKUP(A128,PARAMETROS!A:A,PARAMETROS!B:B))</f>
        <v>012009005324</v>
      </c>
      <c r="C128">
        <f>IF(_xlfn.XLOOKUP(A128,PARAMETROS!A:A,PARAMETROS!C:C)=0,"",_xlfn.XLOOKUP(A128,PARAMETROS!A:A,PARAMETROS!C:C))</f>
        <v>20</v>
      </c>
      <c r="D128">
        <f>IF(_xlfn.XLOOKUP(A128,PARAMETROS!A:A,PARAMETROS!D:D)=0,"",_xlfn.XLOOKUP(A128,PARAMETROS!A:A,PARAMETROS!D:D))</f>
        <v>2</v>
      </c>
      <c r="E128" t="str">
        <f>IF(_xlfn.XLOOKUP('PREENCHIMENTO|LETIVAS'!A128,PARAMETROS!A:A,PARAMETROS!I:I)=0,"",_xlfn.XLOOKUP('PREENCHIMENTO|LETIVAS'!A128,PARAMETROS!A:A,PARAMETROS!I:I))</f>
        <v>PROFESSOR DE ENSINO SUPERIOR EAD</v>
      </c>
      <c r="F128" s="3" t="s">
        <v>31</v>
      </c>
      <c r="G128" s="3" t="s">
        <v>54</v>
      </c>
      <c r="H128" s="3" t="s">
        <v>55</v>
      </c>
      <c r="I128" s="3" t="s">
        <v>40</v>
      </c>
      <c r="J128" s="3" t="s">
        <v>972</v>
      </c>
      <c r="K128" s="3"/>
      <c r="L128" s="19"/>
      <c r="W128">
        <f t="shared" si="1"/>
        <v>2</v>
      </c>
    </row>
    <row r="129" spans="1:23">
      <c r="A129" s="3" t="s">
        <v>141</v>
      </c>
      <c r="B129" t="str">
        <f>IF(_xlfn.XLOOKUP(A129,PARAMETROS!A:A,PARAMETROS!B:B)=0,"",_xlfn.XLOOKUP(A129,PARAMETROS!A:A,PARAMETROS!B:B))</f>
        <v>012009005339</v>
      </c>
      <c r="C129">
        <f>IF(_xlfn.XLOOKUP(A129,PARAMETROS!A:A,PARAMETROS!C:C)=0,"",_xlfn.XLOOKUP(A129,PARAMETROS!A:A,PARAMETROS!C:C))</f>
        <v>40</v>
      </c>
      <c r="D129">
        <f>IF(_xlfn.XLOOKUP(A129,PARAMETROS!A:A,PARAMETROS!D:D)=0,"",_xlfn.XLOOKUP(A129,PARAMETROS!A:A,PARAMETROS!D:D))</f>
        <v>4</v>
      </c>
      <c r="E129" t="str">
        <f>IF(_xlfn.XLOOKUP('PREENCHIMENTO|LETIVAS'!A129,PARAMETROS!A:A,PARAMETROS!I:I)=0,"",_xlfn.XLOOKUP('PREENCHIMENTO|LETIVAS'!A129,PARAMETROS!A:A,PARAMETROS!I:I))</f>
        <v>PROFESSOR DE ENSINO SUPERIOR EAD</v>
      </c>
      <c r="F129" s="3" t="s">
        <v>31</v>
      </c>
      <c r="G129" s="3" t="s">
        <v>54</v>
      </c>
      <c r="H129" s="3" t="s">
        <v>55</v>
      </c>
      <c r="I129" s="3" t="s">
        <v>33</v>
      </c>
      <c r="J129" s="3" t="s">
        <v>973</v>
      </c>
      <c r="K129" s="3"/>
      <c r="L129" s="19"/>
      <c r="W129">
        <f t="shared" si="1"/>
        <v>2</v>
      </c>
    </row>
    <row r="130" spans="1:23">
      <c r="A130" s="3" t="s">
        <v>629</v>
      </c>
      <c r="B130" t="str">
        <f>IF(_xlfn.XLOOKUP(A130,PARAMETROS!A:A,PARAMETROS!B:B)=0,"",_xlfn.XLOOKUP(A130,PARAMETROS!A:A,PARAMETROS!B:B))</f>
        <v>012009006299</v>
      </c>
      <c r="C130">
        <f>IF(_xlfn.XLOOKUP(A130,PARAMETROS!A:A,PARAMETROS!C:C)=0,"",_xlfn.XLOOKUP(A130,PARAMETROS!A:A,PARAMETROS!C:C))</f>
        <v>12</v>
      </c>
      <c r="D130">
        <f>IF(_xlfn.XLOOKUP(A130,PARAMETROS!A:A,PARAMETROS!D:D)=0,"",_xlfn.XLOOKUP(A130,PARAMETROS!A:A,PARAMETROS!D:D))</f>
        <v>9</v>
      </c>
      <c r="E130" t="str">
        <f>IF(_xlfn.XLOOKUP('PREENCHIMENTO|LETIVAS'!A130,PARAMETROS!A:A,PARAMETROS!I:I)=0,"",_xlfn.XLOOKUP('PREENCHIMENTO|LETIVAS'!A130,PARAMETROS!A:A,PARAMETROS!I:I))</f>
        <v>PROFESSOR REGENTE</v>
      </c>
      <c r="F130" s="3" t="s">
        <v>31</v>
      </c>
      <c r="G130" s="3" t="s">
        <v>54</v>
      </c>
      <c r="H130" s="3" t="s">
        <v>55</v>
      </c>
      <c r="I130" s="3" t="s">
        <v>40</v>
      </c>
      <c r="J130" s="3" t="s">
        <v>974</v>
      </c>
      <c r="K130" s="3"/>
      <c r="L130" s="19"/>
      <c r="W130">
        <f t="shared" si="1"/>
        <v>2</v>
      </c>
    </row>
    <row r="131" spans="1:23">
      <c r="A131" s="3" t="s">
        <v>629</v>
      </c>
      <c r="B131" t="str">
        <f>IF(_xlfn.XLOOKUP(A131,PARAMETROS!A:A,PARAMETROS!B:B)=0,"",_xlfn.XLOOKUP(A131,PARAMETROS!A:A,PARAMETROS!B:B))</f>
        <v>012009006299</v>
      </c>
      <c r="C131">
        <f>IF(_xlfn.XLOOKUP(A131,PARAMETROS!A:A,PARAMETROS!C:C)=0,"",_xlfn.XLOOKUP(A131,PARAMETROS!A:A,PARAMETROS!C:C))</f>
        <v>12</v>
      </c>
      <c r="D131">
        <f>IF(_xlfn.XLOOKUP(A131,PARAMETROS!A:A,PARAMETROS!D:D)=0,"",_xlfn.XLOOKUP(A131,PARAMETROS!A:A,PARAMETROS!D:D))</f>
        <v>9</v>
      </c>
      <c r="E131" t="str">
        <f>IF(_xlfn.XLOOKUP('PREENCHIMENTO|LETIVAS'!A131,PARAMETROS!A:A,PARAMETROS!I:I)=0,"",_xlfn.XLOOKUP('PREENCHIMENTO|LETIVAS'!A131,PARAMETROS!A:A,PARAMETROS!I:I))</f>
        <v>PROFESSOR REGENTE</v>
      </c>
      <c r="F131" s="3" t="s">
        <v>31</v>
      </c>
      <c r="G131" s="3" t="s">
        <v>54</v>
      </c>
      <c r="H131" s="3" t="s">
        <v>55</v>
      </c>
      <c r="I131" s="3" t="s">
        <v>33</v>
      </c>
      <c r="J131" s="3" t="s">
        <v>975</v>
      </c>
      <c r="K131" s="3"/>
      <c r="L131" s="19"/>
      <c r="W131">
        <f t="shared" si="1"/>
        <v>2</v>
      </c>
    </row>
    <row r="132" spans="1:23">
      <c r="A132" s="3" t="s">
        <v>514</v>
      </c>
      <c r="B132" t="str">
        <f>IF(_xlfn.XLOOKUP(A132,PARAMETROS!A:A,PARAMETROS!B:B)=0,"",_xlfn.XLOOKUP(A132,PARAMETROS!A:A,PARAMETROS!B:B))</f>
        <v>012009005012</v>
      </c>
      <c r="C132">
        <f>IF(_xlfn.XLOOKUP(A132,PARAMETROS!A:A,PARAMETROS!C:C)=0,"",_xlfn.XLOOKUP(A132,PARAMETROS!A:A,PARAMETROS!C:C))</f>
        <v>20</v>
      </c>
      <c r="D132">
        <f>IF(_xlfn.XLOOKUP(A132,PARAMETROS!A:A,PARAMETROS!D:D)=0,"",_xlfn.XLOOKUP(A132,PARAMETROS!A:A,PARAMETROS!D:D))</f>
        <v>2</v>
      </c>
      <c r="E132" t="str">
        <f>IF(_xlfn.XLOOKUP('PREENCHIMENTO|LETIVAS'!A132,PARAMETROS!A:A,PARAMETROS!I:I)=0,"",_xlfn.XLOOKUP('PREENCHIMENTO|LETIVAS'!A132,PARAMETROS!A:A,PARAMETROS!I:I))</f>
        <v>PROFESSOR DE ENSINO SUPERIOR EAD</v>
      </c>
      <c r="F132" s="3" t="s">
        <v>31</v>
      </c>
      <c r="G132" s="3" t="s">
        <v>54</v>
      </c>
      <c r="H132" s="3" t="s">
        <v>32</v>
      </c>
      <c r="I132" s="3" t="s">
        <v>40</v>
      </c>
      <c r="J132" s="3" t="s">
        <v>976</v>
      </c>
      <c r="K132" s="3"/>
      <c r="L132" s="19"/>
      <c r="W132">
        <f t="shared" si="1"/>
        <v>2</v>
      </c>
    </row>
    <row r="133" spans="1:23">
      <c r="A133" s="3" t="s">
        <v>288</v>
      </c>
      <c r="B133" t="str">
        <f>IF(_xlfn.XLOOKUP(A133,PARAMETROS!A:A,PARAMETROS!B:B)=0,"",_xlfn.XLOOKUP(A133,PARAMETROS!A:A,PARAMETROS!B:B))</f>
        <v>012009006190</v>
      </c>
      <c r="C133">
        <f>IF(_xlfn.XLOOKUP(A133,PARAMETROS!A:A,PARAMETROS!C:C)=0,"",_xlfn.XLOOKUP(A133,PARAMETROS!A:A,PARAMETROS!C:C))</f>
        <v>40</v>
      </c>
      <c r="D133">
        <f>IF(_xlfn.XLOOKUP(A133,PARAMETROS!A:A,PARAMETROS!D:D)=0,"",_xlfn.XLOOKUP(A133,PARAMETROS!A:A,PARAMETROS!D:D))</f>
        <v>20</v>
      </c>
      <c r="E133" t="str">
        <f>IF(_xlfn.XLOOKUP('PREENCHIMENTO|LETIVAS'!A133,PARAMETROS!A:A,PARAMETROS!I:I)=0,"",_xlfn.XLOOKUP('PREENCHIMENTO|LETIVAS'!A133,PARAMETROS!A:A,PARAMETROS!I:I))</f>
        <v>PROFESSOR REGENTE</v>
      </c>
      <c r="F133" s="3" t="s">
        <v>31</v>
      </c>
      <c r="G133" s="3" t="s">
        <v>54</v>
      </c>
      <c r="H133" s="3" t="s">
        <v>32</v>
      </c>
      <c r="I133" s="3" t="s">
        <v>33</v>
      </c>
      <c r="J133" s="3" t="s">
        <v>977</v>
      </c>
      <c r="K133" s="3"/>
      <c r="L133" s="19"/>
      <c r="W133">
        <f t="shared" si="1"/>
        <v>2</v>
      </c>
    </row>
    <row r="134" spans="1:23">
      <c r="A134" s="3" t="s">
        <v>288</v>
      </c>
      <c r="B134" t="str">
        <f>IF(_xlfn.XLOOKUP(A134,PARAMETROS!A:A,PARAMETROS!B:B)=0,"",_xlfn.XLOOKUP(A134,PARAMETROS!A:A,PARAMETROS!B:B))</f>
        <v>012009006190</v>
      </c>
      <c r="C134">
        <f>IF(_xlfn.XLOOKUP(A134,PARAMETROS!A:A,PARAMETROS!C:C)=0,"",_xlfn.XLOOKUP(A134,PARAMETROS!A:A,PARAMETROS!C:C))</f>
        <v>40</v>
      </c>
      <c r="D134">
        <f>IF(_xlfn.XLOOKUP(A134,PARAMETROS!A:A,PARAMETROS!D:D)=0,"",_xlfn.XLOOKUP(A134,PARAMETROS!A:A,PARAMETROS!D:D))</f>
        <v>20</v>
      </c>
      <c r="E134" t="str">
        <f>IF(_xlfn.XLOOKUP('PREENCHIMENTO|LETIVAS'!A134,PARAMETROS!A:A,PARAMETROS!I:I)=0,"",_xlfn.XLOOKUP('PREENCHIMENTO|LETIVAS'!A134,PARAMETROS!A:A,PARAMETROS!I:I))</f>
        <v>PROFESSOR REGENTE</v>
      </c>
      <c r="F134" s="3" t="s">
        <v>31</v>
      </c>
      <c r="G134" s="3">
        <v>2</v>
      </c>
      <c r="H134" s="3" t="s">
        <v>55</v>
      </c>
      <c r="I134" s="3" t="s">
        <v>33</v>
      </c>
      <c r="J134" s="3" t="s">
        <v>909</v>
      </c>
      <c r="K134" s="3"/>
      <c r="L134" s="19"/>
      <c r="W134">
        <f t="shared" si="1"/>
        <v>2</v>
      </c>
    </row>
    <row r="135" spans="1:23">
      <c r="A135" s="3" t="s">
        <v>288</v>
      </c>
      <c r="B135" t="str">
        <f>IF(_xlfn.XLOOKUP(A135,PARAMETROS!A:A,PARAMETROS!B:B)=0,"",_xlfn.XLOOKUP(A135,PARAMETROS!A:A,PARAMETROS!B:B))</f>
        <v>012009006190</v>
      </c>
      <c r="C135">
        <f>IF(_xlfn.XLOOKUP(A135,PARAMETROS!A:A,PARAMETROS!C:C)=0,"",_xlfn.XLOOKUP(A135,PARAMETROS!A:A,PARAMETROS!C:C))</f>
        <v>40</v>
      </c>
      <c r="D135">
        <f>IF(_xlfn.XLOOKUP(A135,PARAMETROS!A:A,PARAMETROS!D:D)=0,"",_xlfn.XLOOKUP(A135,PARAMETROS!A:A,PARAMETROS!D:D))</f>
        <v>20</v>
      </c>
      <c r="E135" t="str">
        <f>IF(_xlfn.XLOOKUP('PREENCHIMENTO|LETIVAS'!A135,PARAMETROS!A:A,PARAMETROS!I:I)=0,"",_xlfn.XLOOKUP('PREENCHIMENTO|LETIVAS'!A135,PARAMETROS!A:A,PARAMETROS!I:I))</f>
        <v>PROFESSOR REGENTE</v>
      </c>
      <c r="F135" s="3" t="s">
        <v>31</v>
      </c>
      <c r="G135" s="3">
        <v>2</v>
      </c>
      <c r="H135" s="3" t="s">
        <v>55</v>
      </c>
      <c r="I135" s="3" t="s">
        <v>40</v>
      </c>
      <c r="J135" s="3" t="s">
        <v>978</v>
      </c>
      <c r="K135" s="3"/>
      <c r="L135" s="19"/>
      <c r="W135">
        <f t="shared" si="1"/>
        <v>2</v>
      </c>
    </row>
    <row r="136" spans="1:23">
      <c r="A136" s="3" t="s">
        <v>214</v>
      </c>
      <c r="B136" t="str">
        <f>IF(_xlfn.XLOOKUP(A136,PARAMETROS!A:A,PARAMETROS!B:B)=0,"",_xlfn.XLOOKUP(A136,PARAMETROS!A:A,PARAMETROS!B:B))</f>
        <v>012009006209</v>
      </c>
      <c r="C136">
        <f>IF(_xlfn.XLOOKUP(A136,PARAMETROS!A:A,PARAMETROS!C:C)=0,"",_xlfn.XLOOKUP(A136,PARAMETROS!A:A,PARAMETROS!C:C))</f>
        <v>12</v>
      </c>
      <c r="D136">
        <f>IF(_xlfn.XLOOKUP(A136,PARAMETROS!A:A,PARAMETROS!D:D)=0,"",_xlfn.XLOOKUP(A136,PARAMETROS!A:A,PARAMETROS!D:D))</f>
        <v>9</v>
      </c>
      <c r="E136" t="str">
        <f>IF(_xlfn.XLOOKUP('PREENCHIMENTO|LETIVAS'!A136,PARAMETROS!A:A,PARAMETROS!I:I)=0,"",_xlfn.XLOOKUP('PREENCHIMENTO|LETIVAS'!A136,PARAMETROS!A:A,PARAMETROS!I:I))</f>
        <v>PROFESSOR REGENTE</v>
      </c>
      <c r="F136" s="3" t="s">
        <v>31</v>
      </c>
      <c r="G136" s="3" t="s">
        <v>54</v>
      </c>
      <c r="H136" s="3" t="s">
        <v>32</v>
      </c>
      <c r="I136" s="3" t="s">
        <v>33</v>
      </c>
      <c r="J136" s="3" t="s">
        <v>948</v>
      </c>
      <c r="K136" s="3"/>
      <c r="L136" s="19"/>
      <c r="W136">
        <f t="shared" si="1"/>
        <v>2</v>
      </c>
    </row>
    <row r="137" spans="1:23">
      <c r="A137" s="3" t="s">
        <v>214</v>
      </c>
      <c r="B137" t="str">
        <f>IF(_xlfn.XLOOKUP(A137,PARAMETROS!A:A,PARAMETROS!B:B)=0,"",_xlfn.XLOOKUP(A137,PARAMETROS!A:A,PARAMETROS!B:B))</f>
        <v>012009006209</v>
      </c>
      <c r="C137">
        <f>IF(_xlfn.XLOOKUP(A137,PARAMETROS!A:A,PARAMETROS!C:C)=0,"",_xlfn.XLOOKUP(A137,PARAMETROS!A:A,PARAMETROS!C:C))</f>
        <v>12</v>
      </c>
      <c r="D137">
        <f>IF(_xlfn.XLOOKUP(A137,PARAMETROS!A:A,PARAMETROS!D:D)=0,"",_xlfn.XLOOKUP(A137,PARAMETROS!A:A,PARAMETROS!D:D))</f>
        <v>9</v>
      </c>
      <c r="E137" t="str">
        <f>IF(_xlfn.XLOOKUP('PREENCHIMENTO|LETIVAS'!A137,PARAMETROS!A:A,PARAMETROS!I:I)=0,"",_xlfn.XLOOKUP('PREENCHIMENTO|LETIVAS'!A137,PARAMETROS!A:A,PARAMETROS!I:I))</f>
        <v>PROFESSOR REGENTE</v>
      </c>
      <c r="F137" s="3" t="s">
        <v>31</v>
      </c>
      <c r="G137" s="3">
        <v>2</v>
      </c>
      <c r="H137" s="3" t="s">
        <v>55</v>
      </c>
      <c r="I137" s="3" t="s">
        <v>40</v>
      </c>
      <c r="J137" s="3" t="s">
        <v>948</v>
      </c>
      <c r="K137" s="3"/>
      <c r="L137" s="19"/>
      <c r="W137">
        <f t="shared" si="1"/>
        <v>2</v>
      </c>
    </row>
    <row r="138" spans="1:23">
      <c r="A138" s="3" t="s">
        <v>635</v>
      </c>
      <c r="B138" t="str">
        <f>IF(_xlfn.XLOOKUP(A138,PARAMETROS!A:A,PARAMETROS!B:B)=0,"",_xlfn.XLOOKUP(A138,PARAMETROS!A:A,PARAMETROS!B:B))</f>
        <v>012009006283</v>
      </c>
      <c r="C138">
        <f>IF(_xlfn.XLOOKUP(A138,PARAMETROS!A:A,PARAMETROS!C:C)=0,"",_xlfn.XLOOKUP(A138,PARAMETROS!A:A,PARAMETROS!C:C))</f>
        <v>12</v>
      </c>
      <c r="D138">
        <f>IF(_xlfn.XLOOKUP(A138,PARAMETROS!A:A,PARAMETROS!D:D)=0,"",_xlfn.XLOOKUP(A138,PARAMETROS!A:A,PARAMETROS!D:D))</f>
        <v>9</v>
      </c>
      <c r="E138" t="str">
        <f>IF(_xlfn.XLOOKUP('PREENCHIMENTO|LETIVAS'!A138,PARAMETROS!A:A,PARAMETROS!I:I)=0,"",_xlfn.XLOOKUP('PREENCHIMENTO|LETIVAS'!A138,PARAMETROS!A:A,PARAMETROS!I:I))</f>
        <v>PROFESSOR REGENTE</v>
      </c>
      <c r="F138" s="3" t="s">
        <v>31</v>
      </c>
      <c r="G138" s="3">
        <v>2</v>
      </c>
      <c r="H138" s="3" t="s">
        <v>39</v>
      </c>
      <c r="I138" s="3" t="s">
        <v>40</v>
      </c>
      <c r="J138" s="3" t="s">
        <v>979</v>
      </c>
      <c r="K138" s="3"/>
      <c r="L138" s="19"/>
      <c r="W138">
        <f t="shared" si="1"/>
        <v>2</v>
      </c>
    </row>
    <row r="139" spans="1:23">
      <c r="A139" s="3" t="s">
        <v>635</v>
      </c>
      <c r="B139" t="str">
        <f>IF(_xlfn.XLOOKUP(A139,PARAMETROS!A:A,PARAMETROS!B:B)=0,"",_xlfn.XLOOKUP(A139,PARAMETROS!A:A,PARAMETROS!B:B))</f>
        <v>012009006283</v>
      </c>
      <c r="C139">
        <f>IF(_xlfn.XLOOKUP(A139,PARAMETROS!A:A,PARAMETROS!C:C)=0,"",_xlfn.XLOOKUP(A139,PARAMETROS!A:A,PARAMETROS!C:C))</f>
        <v>12</v>
      </c>
      <c r="D139">
        <f>IF(_xlfn.XLOOKUP(A139,PARAMETROS!A:A,PARAMETROS!D:D)=0,"",_xlfn.XLOOKUP(A139,PARAMETROS!A:A,PARAMETROS!D:D))</f>
        <v>9</v>
      </c>
      <c r="E139" t="str">
        <f>IF(_xlfn.XLOOKUP('PREENCHIMENTO|LETIVAS'!A139,PARAMETROS!A:A,PARAMETROS!I:I)=0,"",_xlfn.XLOOKUP('PREENCHIMENTO|LETIVAS'!A139,PARAMETROS!A:A,PARAMETROS!I:I))</f>
        <v>PROFESSOR REGENTE</v>
      </c>
      <c r="F139" s="3" t="s">
        <v>31</v>
      </c>
      <c r="G139" s="3" t="s">
        <v>54</v>
      </c>
      <c r="H139" s="3" t="s">
        <v>63</v>
      </c>
      <c r="I139" s="3" t="s">
        <v>40</v>
      </c>
      <c r="J139" s="3" t="s">
        <v>980</v>
      </c>
      <c r="K139" s="3"/>
      <c r="L139" s="19"/>
      <c r="W139">
        <f t="shared" ref="W139:W202" si="2">IF(I139&lt;&gt;"",2,0)</f>
        <v>2</v>
      </c>
    </row>
    <row r="140" spans="1:23">
      <c r="A140" s="3" t="s">
        <v>635</v>
      </c>
      <c r="B140" t="str">
        <f>IF(_xlfn.XLOOKUP(A140,PARAMETROS!A:A,PARAMETROS!B:B)=0,"",_xlfn.XLOOKUP(A140,PARAMETROS!A:A,PARAMETROS!B:B))</f>
        <v>012009006283</v>
      </c>
      <c r="C140">
        <f>IF(_xlfn.XLOOKUP(A140,PARAMETROS!A:A,PARAMETROS!C:C)=0,"",_xlfn.XLOOKUP(A140,PARAMETROS!A:A,PARAMETROS!C:C))</f>
        <v>12</v>
      </c>
      <c r="D140">
        <f>IF(_xlfn.XLOOKUP(A140,PARAMETROS!A:A,PARAMETROS!D:D)=0,"",_xlfn.XLOOKUP(A140,PARAMETROS!A:A,PARAMETROS!D:D))</f>
        <v>9</v>
      </c>
      <c r="E140" t="str">
        <f>IF(_xlfn.XLOOKUP('PREENCHIMENTO|LETIVAS'!A140,PARAMETROS!A:A,PARAMETROS!I:I)=0,"",_xlfn.XLOOKUP('PREENCHIMENTO|LETIVAS'!A140,PARAMETROS!A:A,PARAMETROS!I:I))</f>
        <v>PROFESSOR REGENTE</v>
      </c>
      <c r="F140" s="3" t="s">
        <v>31</v>
      </c>
      <c r="G140" s="3" t="s">
        <v>54</v>
      </c>
      <c r="H140" s="3" t="s">
        <v>63</v>
      </c>
      <c r="I140" s="3" t="s">
        <v>33</v>
      </c>
      <c r="J140" s="3" t="s">
        <v>918</v>
      </c>
      <c r="K140" s="3"/>
      <c r="L140" s="19"/>
      <c r="W140">
        <f t="shared" si="2"/>
        <v>2</v>
      </c>
    </row>
    <row r="141" spans="1:23">
      <c r="A141" s="3" t="s">
        <v>538</v>
      </c>
      <c r="B141" t="str">
        <f>IF(_xlfn.XLOOKUP(A141,PARAMETROS!A:A,PARAMETROS!B:B)=0,"",_xlfn.XLOOKUP(A141,PARAMETROS!A:A,PARAMETROS!B:B))</f>
        <v>012009005112</v>
      </c>
      <c r="C141">
        <f>IF(_xlfn.XLOOKUP(A141,PARAMETROS!A:A,PARAMETROS!C:C)=0,"",_xlfn.XLOOKUP(A141,PARAMETROS!A:A,PARAMETROS!C:C))</f>
        <v>20</v>
      </c>
      <c r="D141">
        <f>IF(_xlfn.XLOOKUP(A141,PARAMETROS!A:A,PARAMETROS!D:D)=0,"",_xlfn.XLOOKUP(A141,PARAMETROS!A:A,PARAMETROS!D:D))</f>
        <v>2</v>
      </c>
      <c r="E141" t="str">
        <f>IF(_xlfn.XLOOKUP('PREENCHIMENTO|LETIVAS'!A141,PARAMETROS!A:A,PARAMETROS!I:I)=0,"",_xlfn.XLOOKUP('PREENCHIMENTO|LETIVAS'!A141,PARAMETROS!A:A,PARAMETROS!I:I))</f>
        <v>PROFESSOR DE ENSINO SUPERIOR EAD</v>
      </c>
      <c r="F141" s="3" t="s">
        <v>31</v>
      </c>
      <c r="G141" s="3" t="s">
        <v>54</v>
      </c>
      <c r="H141" s="3" t="s">
        <v>55</v>
      </c>
      <c r="I141" s="3" t="s">
        <v>33</v>
      </c>
      <c r="J141" s="3" t="s">
        <v>981</v>
      </c>
      <c r="K141" s="3"/>
      <c r="L141" s="19"/>
      <c r="W141">
        <f t="shared" si="2"/>
        <v>2</v>
      </c>
    </row>
    <row r="142" spans="1:23">
      <c r="A142" s="3" t="s">
        <v>377</v>
      </c>
      <c r="B142" t="str">
        <f>IF(_xlfn.XLOOKUP(A142,PARAMETROS!A:A,PARAMETROS!B:B)=0,"",_xlfn.XLOOKUP(A142,PARAMETROS!A:A,PARAMETROS!B:B))</f>
        <v>012009003676</v>
      </c>
      <c r="C142">
        <f>IF(_xlfn.XLOOKUP(A142,PARAMETROS!A:A,PARAMETROS!C:C)=0,"",_xlfn.XLOOKUP(A142,PARAMETROS!A:A,PARAMETROS!C:C))</f>
        <v>20</v>
      </c>
      <c r="D142">
        <f>IF(_xlfn.XLOOKUP(A142,PARAMETROS!A:A,PARAMETROS!D:D)=0,"",_xlfn.XLOOKUP(A142,PARAMETROS!A:A,PARAMETROS!D:D))</f>
        <v>2</v>
      </c>
      <c r="E142" t="str">
        <f>IF(_xlfn.XLOOKUP('PREENCHIMENTO|LETIVAS'!A142,PARAMETROS!A:A,PARAMETROS!I:I)=0,"",_xlfn.XLOOKUP('PREENCHIMENTO|LETIVAS'!A142,PARAMETROS!A:A,PARAMETROS!I:I))</f>
        <v>PROFESSOR DE ENSINO SUPERIOR EAD</v>
      </c>
      <c r="F142" s="3" t="s">
        <v>31</v>
      </c>
      <c r="G142" s="3">
        <v>2</v>
      </c>
      <c r="H142" s="3" t="s">
        <v>63</v>
      </c>
      <c r="I142" s="3" t="s">
        <v>33</v>
      </c>
      <c r="J142" s="3" t="s">
        <v>982</v>
      </c>
      <c r="K142" s="3"/>
      <c r="L142" s="19"/>
      <c r="W142">
        <f t="shared" si="2"/>
        <v>2</v>
      </c>
    </row>
    <row r="143" spans="1:23">
      <c r="A143" s="3" t="s">
        <v>261</v>
      </c>
      <c r="B143" t="str">
        <f>IF(_xlfn.XLOOKUP(A143,PARAMETROS!A:A,PARAMETROS!B:B)=0,"",_xlfn.XLOOKUP(A143,PARAMETROS!A:A,PARAMETROS!B:B))</f>
        <v>012009005037</v>
      </c>
      <c r="C143">
        <f>IF(_xlfn.XLOOKUP(A143,PARAMETROS!A:A,PARAMETROS!C:C)=0,"",_xlfn.XLOOKUP(A143,PARAMETROS!A:A,PARAMETROS!C:C))</f>
        <v>40</v>
      </c>
      <c r="D143">
        <f>IF(_xlfn.XLOOKUP(A143,PARAMETROS!A:A,PARAMETROS!D:D)=0,"",_xlfn.XLOOKUP(A143,PARAMETROS!A:A,PARAMETROS!D:D))</f>
        <v>4</v>
      </c>
      <c r="E143" t="str">
        <f>IF(_xlfn.XLOOKUP('PREENCHIMENTO|LETIVAS'!A143,PARAMETROS!A:A,PARAMETROS!I:I)=0,"",_xlfn.XLOOKUP('PREENCHIMENTO|LETIVAS'!A143,PARAMETROS!A:A,PARAMETROS!I:I))</f>
        <v>PROFESSOR DE ENSINO SUPERIOR EAD</v>
      </c>
      <c r="F143" s="3" t="s">
        <v>31</v>
      </c>
      <c r="G143" s="3">
        <v>2</v>
      </c>
      <c r="H143" s="3" t="s">
        <v>63</v>
      </c>
      <c r="I143" s="3" t="s">
        <v>40</v>
      </c>
      <c r="J143" s="3" t="s">
        <v>983</v>
      </c>
      <c r="K143" s="3"/>
      <c r="L143" s="19"/>
      <c r="W143">
        <f t="shared" si="2"/>
        <v>2</v>
      </c>
    </row>
    <row r="144" spans="1:23">
      <c r="A144" s="3" t="s">
        <v>261</v>
      </c>
      <c r="B144" t="str">
        <f>IF(_xlfn.XLOOKUP(A144,PARAMETROS!A:A,PARAMETROS!B:B)=0,"",_xlfn.XLOOKUP(A144,PARAMETROS!A:A,PARAMETROS!B:B))</f>
        <v>012009005037</v>
      </c>
      <c r="C144">
        <f>IF(_xlfn.XLOOKUP(A144,PARAMETROS!A:A,PARAMETROS!C:C)=0,"",_xlfn.XLOOKUP(A144,PARAMETROS!A:A,PARAMETROS!C:C))</f>
        <v>40</v>
      </c>
      <c r="D144">
        <f>IF(_xlfn.XLOOKUP(A144,PARAMETROS!A:A,PARAMETROS!D:D)=0,"",_xlfn.XLOOKUP(A144,PARAMETROS!A:A,PARAMETROS!D:D))</f>
        <v>4</v>
      </c>
      <c r="E144" t="str">
        <f>IF(_xlfn.XLOOKUP('PREENCHIMENTO|LETIVAS'!A144,PARAMETROS!A:A,PARAMETROS!I:I)=0,"",_xlfn.XLOOKUP('PREENCHIMENTO|LETIVAS'!A144,PARAMETROS!A:A,PARAMETROS!I:I))</f>
        <v>PROFESSOR DE ENSINO SUPERIOR EAD</v>
      </c>
      <c r="F144" s="3" t="s">
        <v>31</v>
      </c>
      <c r="G144" s="3">
        <v>2</v>
      </c>
      <c r="H144" s="3" t="s">
        <v>63</v>
      </c>
      <c r="I144" s="3" t="s">
        <v>33</v>
      </c>
      <c r="J144" s="3" t="s">
        <v>984</v>
      </c>
      <c r="K144" s="3"/>
      <c r="L144" s="19"/>
      <c r="W144">
        <f t="shared" si="2"/>
        <v>2</v>
      </c>
    </row>
    <row r="145" spans="1:23">
      <c r="A145" s="3" t="s">
        <v>261</v>
      </c>
      <c r="B145" t="str">
        <f>IF(_xlfn.XLOOKUP(A145,PARAMETROS!A:A,PARAMETROS!B:B)=0,"",_xlfn.XLOOKUP(A145,PARAMETROS!A:A,PARAMETROS!B:B))</f>
        <v>012009005037</v>
      </c>
      <c r="C145">
        <f>IF(_xlfn.XLOOKUP(A145,PARAMETROS!A:A,PARAMETROS!C:C)=0,"",_xlfn.XLOOKUP(A145,PARAMETROS!A:A,PARAMETROS!C:C))</f>
        <v>40</v>
      </c>
      <c r="D145">
        <f>IF(_xlfn.XLOOKUP(A145,PARAMETROS!A:A,PARAMETROS!D:D)=0,"",_xlfn.XLOOKUP(A145,PARAMETROS!A:A,PARAMETROS!D:D))</f>
        <v>4</v>
      </c>
      <c r="E145" t="str">
        <f>IF(_xlfn.XLOOKUP('PREENCHIMENTO|LETIVAS'!A145,PARAMETROS!A:A,PARAMETROS!I:I)=0,"",_xlfn.XLOOKUP('PREENCHIMENTO|LETIVAS'!A145,PARAMETROS!A:A,PARAMETROS!I:I))</f>
        <v>PROFESSOR DE ENSINO SUPERIOR EAD</v>
      </c>
      <c r="F145" s="3" t="s">
        <v>31</v>
      </c>
      <c r="G145" s="3">
        <v>1</v>
      </c>
      <c r="H145" s="3" t="s">
        <v>63</v>
      </c>
      <c r="I145" s="3" t="s">
        <v>40</v>
      </c>
      <c r="J145" s="3" t="s">
        <v>985</v>
      </c>
      <c r="K145" s="3"/>
      <c r="L145" s="19"/>
      <c r="W145">
        <f t="shared" si="2"/>
        <v>2</v>
      </c>
    </row>
    <row r="146" spans="1:23">
      <c r="A146" s="3" t="s">
        <v>644</v>
      </c>
      <c r="B146" t="str">
        <f>IF(_xlfn.XLOOKUP(A146,PARAMETROS!A:A,PARAMETROS!B:B)=0,"",_xlfn.XLOOKUP(A146,PARAMETROS!A:A,PARAMETROS!B:B))</f>
        <v>012009006281</v>
      </c>
      <c r="C146">
        <f>IF(_xlfn.XLOOKUP(A146,PARAMETROS!A:A,PARAMETROS!C:C)=0,"",_xlfn.XLOOKUP(A146,PARAMETROS!A:A,PARAMETROS!C:C))</f>
        <v>12</v>
      </c>
      <c r="D146">
        <f>IF(_xlfn.XLOOKUP(A146,PARAMETROS!A:A,PARAMETROS!D:D)=0,"",_xlfn.XLOOKUP(A146,PARAMETROS!A:A,PARAMETROS!D:D))</f>
        <v>9</v>
      </c>
      <c r="E146" t="str">
        <f>IF(_xlfn.XLOOKUP('PREENCHIMENTO|LETIVAS'!A146,PARAMETROS!A:A,PARAMETROS!I:I)=0,"",_xlfn.XLOOKUP('PREENCHIMENTO|LETIVAS'!A146,PARAMETROS!A:A,PARAMETROS!I:I))</f>
        <v>PROFESSOR REGENTE</v>
      </c>
      <c r="F146" s="3" t="s">
        <v>31</v>
      </c>
      <c r="G146" s="3" t="s">
        <v>54</v>
      </c>
      <c r="H146" s="3" t="s">
        <v>55</v>
      </c>
      <c r="I146" s="3" t="s">
        <v>40</v>
      </c>
      <c r="J146" s="3" t="s">
        <v>986</v>
      </c>
      <c r="K146" s="3"/>
      <c r="L146" s="19"/>
      <c r="W146">
        <f t="shared" si="2"/>
        <v>2</v>
      </c>
    </row>
    <row r="147" spans="1:23">
      <c r="A147" s="3" t="s">
        <v>432</v>
      </c>
      <c r="B147" t="str">
        <f>IF(_xlfn.XLOOKUP(A147,PARAMETROS!A:A,PARAMETROS!B:B)=0,"",_xlfn.XLOOKUP(A147,PARAMETROS!A:A,PARAMETROS!B:B))</f>
        <v>012009005489</v>
      </c>
      <c r="C147">
        <f>IF(_xlfn.XLOOKUP(A147,PARAMETROS!A:A,PARAMETROS!C:C)=0,"",_xlfn.XLOOKUP(A147,PARAMETROS!A:A,PARAMETROS!C:C))</f>
        <v>40</v>
      </c>
      <c r="D147">
        <f>IF(_xlfn.XLOOKUP(A147,PARAMETROS!A:A,PARAMETROS!D:D)=0,"",_xlfn.XLOOKUP(A147,PARAMETROS!A:A,PARAMETROS!D:D))</f>
        <v>4</v>
      </c>
      <c r="E147" t="str">
        <f>IF(_xlfn.XLOOKUP('PREENCHIMENTO|LETIVAS'!A147,PARAMETROS!A:A,PARAMETROS!I:I)=0,"",_xlfn.XLOOKUP('PREENCHIMENTO|LETIVAS'!A147,PARAMETROS!A:A,PARAMETROS!I:I))</f>
        <v>PROFESSOR DE ENSINO SUPERIOR EAD</v>
      </c>
      <c r="F147" s="3" t="s">
        <v>31</v>
      </c>
      <c r="G147" s="3">
        <v>1</v>
      </c>
      <c r="H147" s="3" t="s">
        <v>39</v>
      </c>
      <c r="I147" s="3" t="s">
        <v>33</v>
      </c>
      <c r="J147" s="3" t="s">
        <v>987</v>
      </c>
      <c r="K147" s="3"/>
      <c r="L147" s="19"/>
      <c r="W147">
        <f t="shared" si="2"/>
        <v>2</v>
      </c>
    </row>
    <row r="148" spans="1:23">
      <c r="A148" s="3" t="s">
        <v>432</v>
      </c>
      <c r="B148" t="str">
        <f>IF(_xlfn.XLOOKUP(A148,PARAMETROS!A:A,PARAMETROS!B:B)=0,"",_xlfn.XLOOKUP(A148,PARAMETROS!A:A,PARAMETROS!B:B))</f>
        <v>012009005489</v>
      </c>
      <c r="C148">
        <f>IF(_xlfn.XLOOKUP(A148,PARAMETROS!A:A,PARAMETROS!C:C)=0,"",_xlfn.XLOOKUP(A148,PARAMETROS!A:A,PARAMETROS!C:C))</f>
        <v>40</v>
      </c>
      <c r="D148">
        <f>IF(_xlfn.XLOOKUP(A148,PARAMETROS!A:A,PARAMETROS!D:D)=0,"",_xlfn.XLOOKUP(A148,PARAMETROS!A:A,PARAMETROS!D:D))</f>
        <v>4</v>
      </c>
      <c r="E148" t="str">
        <f>IF(_xlfn.XLOOKUP('PREENCHIMENTO|LETIVAS'!A148,PARAMETROS!A:A,PARAMETROS!I:I)=0,"",_xlfn.XLOOKUP('PREENCHIMENTO|LETIVAS'!A148,PARAMETROS!A:A,PARAMETROS!I:I))</f>
        <v>PROFESSOR DE ENSINO SUPERIOR EAD</v>
      </c>
      <c r="F148" s="3" t="s">
        <v>31</v>
      </c>
      <c r="G148" s="3">
        <v>2</v>
      </c>
      <c r="H148" s="3" t="s">
        <v>39</v>
      </c>
      <c r="I148" s="3" t="s">
        <v>33</v>
      </c>
      <c r="J148" s="3" t="s">
        <v>988</v>
      </c>
      <c r="K148" s="3"/>
      <c r="L148" s="19"/>
      <c r="W148">
        <f t="shared" si="2"/>
        <v>2</v>
      </c>
    </row>
    <row r="149" spans="1:23">
      <c r="A149" s="3" t="s">
        <v>117</v>
      </c>
      <c r="B149" t="str">
        <f>IF(_xlfn.XLOOKUP(A149,PARAMETROS!A:A,PARAMETROS!B:B)=0,"",_xlfn.XLOOKUP(A149,PARAMETROS!A:A,PARAMETROS!B:B))</f>
        <v>012009004350</v>
      </c>
      <c r="C149">
        <f>IF(_xlfn.XLOOKUP(A149,PARAMETROS!A:A,PARAMETROS!C:C)=0,"",_xlfn.XLOOKUP(A149,PARAMETROS!A:A,PARAMETROS!C:C))</f>
        <v>20</v>
      </c>
      <c r="D149">
        <f>IF(_xlfn.XLOOKUP(A149,PARAMETROS!A:A,PARAMETROS!D:D)=0,"",_xlfn.XLOOKUP(A149,PARAMETROS!A:A,PARAMETROS!D:D))</f>
        <v>2</v>
      </c>
      <c r="E149" t="str">
        <f>IF(_xlfn.XLOOKUP('PREENCHIMENTO|LETIVAS'!A149,PARAMETROS!A:A,PARAMETROS!I:I)=0,"",_xlfn.XLOOKUP('PREENCHIMENTO|LETIVAS'!A149,PARAMETROS!A:A,PARAMETROS!I:I))</f>
        <v>PROFESSOR DE ENSINO SUPERIOR EAD</v>
      </c>
      <c r="F149" s="3" t="s">
        <v>31</v>
      </c>
      <c r="G149" s="3">
        <v>2</v>
      </c>
      <c r="H149" s="3" t="s">
        <v>55</v>
      </c>
      <c r="I149" s="3" t="s">
        <v>33</v>
      </c>
      <c r="J149" s="3" t="s">
        <v>989</v>
      </c>
      <c r="K149" s="3"/>
      <c r="L149" s="19"/>
      <c r="W149">
        <f t="shared" si="2"/>
        <v>2</v>
      </c>
    </row>
    <row r="150" spans="1:23">
      <c r="A150" s="3" t="s">
        <v>117</v>
      </c>
      <c r="B150" t="str">
        <f>IF(_xlfn.XLOOKUP(A150,PARAMETROS!A:A,PARAMETROS!B:B)=0,"",_xlfn.XLOOKUP(A150,PARAMETROS!A:A,PARAMETROS!B:B))</f>
        <v>012009004350</v>
      </c>
      <c r="C150">
        <f>IF(_xlfn.XLOOKUP(A150,PARAMETROS!A:A,PARAMETROS!C:C)=0,"",_xlfn.XLOOKUP(A150,PARAMETROS!A:A,PARAMETROS!C:C))</f>
        <v>20</v>
      </c>
      <c r="D150">
        <f>IF(_xlfn.XLOOKUP(A150,PARAMETROS!A:A,PARAMETROS!D:D)=0,"",_xlfn.XLOOKUP(A150,PARAMETROS!A:A,PARAMETROS!D:D))</f>
        <v>2</v>
      </c>
      <c r="E150" t="str">
        <f>IF(_xlfn.XLOOKUP('PREENCHIMENTO|LETIVAS'!A150,PARAMETROS!A:A,PARAMETROS!I:I)=0,"",_xlfn.XLOOKUP('PREENCHIMENTO|LETIVAS'!A150,PARAMETROS!A:A,PARAMETROS!I:I))</f>
        <v>PROFESSOR DE ENSINO SUPERIOR EAD</v>
      </c>
      <c r="F150" s="3" t="s">
        <v>31</v>
      </c>
      <c r="G150" s="3">
        <v>1</v>
      </c>
      <c r="H150" s="3" t="s">
        <v>55</v>
      </c>
      <c r="I150" s="3" t="s">
        <v>33</v>
      </c>
      <c r="J150" s="3" t="s">
        <v>989</v>
      </c>
      <c r="K150" s="3"/>
      <c r="L150" s="19"/>
      <c r="W150">
        <f t="shared" si="2"/>
        <v>2</v>
      </c>
    </row>
    <row r="151" spans="1:23">
      <c r="A151" s="3" t="s">
        <v>517</v>
      </c>
      <c r="B151" t="str">
        <f>IF(_xlfn.XLOOKUP(A151,PARAMETROS!A:A,PARAMETROS!B:B)=0,"",_xlfn.XLOOKUP(A151,PARAMETROS!A:A,PARAMETROS!B:B))</f>
        <v>012009003838</v>
      </c>
      <c r="C151">
        <f>IF(_xlfn.XLOOKUP(A151,PARAMETROS!A:A,PARAMETROS!C:C)=0,"",_xlfn.XLOOKUP(A151,PARAMETROS!A:A,PARAMETROS!C:C))</f>
        <v>20</v>
      </c>
      <c r="D151">
        <f>IF(_xlfn.XLOOKUP(A151,PARAMETROS!A:A,PARAMETROS!D:D)=0,"",_xlfn.XLOOKUP(A151,PARAMETROS!A:A,PARAMETROS!D:D))</f>
        <v>2</v>
      </c>
      <c r="E151" t="str">
        <f>IF(_xlfn.XLOOKUP('PREENCHIMENTO|LETIVAS'!A151,PARAMETROS!A:A,PARAMETROS!I:I)=0,"",_xlfn.XLOOKUP('PREENCHIMENTO|LETIVAS'!A151,PARAMETROS!A:A,PARAMETROS!I:I))</f>
        <v>PROFESSOR DE ENSINO SUPERIOR EAD</v>
      </c>
      <c r="F151" s="3" t="s">
        <v>31</v>
      </c>
      <c r="G151" s="3">
        <v>2</v>
      </c>
      <c r="H151" s="3" t="s">
        <v>55</v>
      </c>
      <c r="I151" s="3" t="s">
        <v>40</v>
      </c>
      <c r="J151" s="3" t="s">
        <v>990</v>
      </c>
      <c r="K151" s="3"/>
      <c r="L151" s="19"/>
      <c r="W151">
        <f t="shared" si="2"/>
        <v>2</v>
      </c>
    </row>
    <row r="152" spans="1:23">
      <c r="A152" s="3" t="s">
        <v>517</v>
      </c>
      <c r="B152" t="str">
        <f>IF(_xlfn.XLOOKUP(A152,PARAMETROS!A:A,PARAMETROS!B:B)=0,"",_xlfn.XLOOKUP(A152,PARAMETROS!A:A,PARAMETROS!B:B))</f>
        <v>012009003838</v>
      </c>
      <c r="C152">
        <f>IF(_xlfn.XLOOKUP(A152,PARAMETROS!A:A,PARAMETROS!C:C)=0,"",_xlfn.XLOOKUP(A152,PARAMETROS!A:A,PARAMETROS!C:C))</f>
        <v>20</v>
      </c>
      <c r="D152">
        <f>IF(_xlfn.XLOOKUP(A152,PARAMETROS!A:A,PARAMETROS!D:D)=0,"",_xlfn.XLOOKUP(A152,PARAMETROS!A:A,PARAMETROS!D:D))</f>
        <v>2</v>
      </c>
      <c r="E152" t="str">
        <f>IF(_xlfn.XLOOKUP('PREENCHIMENTO|LETIVAS'!A152,PARAMETROS!A:A,PARAMETROS!I:I)=0,"",_xlfn.XLOOKUP('PREENCHIMENTO|LETIVAS'!A152,PARAMETROS!A:A,PARAMETROS!I:I))</f>
        <v>PROFESSOR DE ENSINO SUPERIOR EAD</v>
      </c>
      <c r="F152" s="3" t="s">
        <v>31</v>
      </c>
      <c r="G152" s="3">
        <v>2</v>
      </c>
      <c r="H152" s="3" t="s">
        <v>55</v>
      </c>
      <c r="I152" s="3" t="s">
        <v>33</v>
      </c>
      <c r="J152" s="3" t="s">
        <v>991</v>
      </c>
      <c r="K152" s="3"/>
      <c r="L152" s="19"/>
      <c r="W152">
        <f t="shared" si="2"/>
        <v>2</v>
      </c>
    </row>
    <row r="153" spans="1:23">
      <c r="A153" s="3" t="s">
        <v>450</v>
      </c>
      <c r="B153" t="str">
        <f>IF(_xlfn.XLOOKUP(A153,PARAMETROS!A:A,PARAMETROS!B:B)=0,"",_xlfn.XLOOKUP(A153,PARAMETROS!A:A,PARAMETROS!B:B))</f>
        <v>012009006220</v>
      </c>
      <c r="C153">
        <f>IF(_xlfn.XLOOKUP(A153,PARAMETROS!A:A,PARAMETROS!C:C)=0,"",_xlfn.XLOOKUP(A153,PARAMETROS!A:A,PARAMETROS!C:C))</f>
        <v>12</v>
      </c>
      <c r="D153">
        <f>IF(_xlfn.XLOOKUP(A153,PARAMETROS!A:A,PARAMETROS!D:D)=0,"",_xlfn.XLOOKUP(A153,PARAMETROS!A:A,PARAMETROS!D:D))</f>
        <v>9</v>
      </c>
      <c r="E153" t="str">
        <f>IF(_xlfn.XLOOKUP('PREENCHIMENTO|LETIVAS'!A153,PARAMETROS!A:A,PARAMETROS!I:I)=0,"",_xlfn.XLOOKUP('PREENCHIMENTO|LETIVAS'!A153,PARAMETROS!A:A,PARAMETROS!I:I))</f>
        <v>PROFESSOR REGENTE</v>
      </c>
      <c r="F153" s="3" t="s">
        <v>31</v>
      </c>
      <c r="G153" s="3">
        <v>1</v>
      </c>
      <c r="H153" s="3" t="s">
        <v>39</v>
      </c>
      <c r="I153" s="3" t="s">
        <v>40</v>
      </c>
      <c r="J153" s="3" t="s">
        <v>992</v>
      </c>
      <c r="K153" s="3"/>
      <c r="L153" s="19"/>
      <c r="W153">
        <f t="shared" si="2"/>
        <v>2</v>
      </c>
    </row>
    <row r="154" spans="1:23">
      <c r="A154" s="3" t="s">
        <v>450</v>
      </c>
      <c r="B154" t="str">
        <f>IF(_xlfn.XLOOKUP(A154,PARAMETROS!A:A,PARAMETROS!B:B)=0,"",_xlfn.XLOOKUP(A154,PARAMETROS!A:A,PARAMETROS!B:B))</f>
        <v>012009006220</v>
      </c>
      <c r="C154">
        <f>IF(_xlfn.XLOOKUP(A154,PARAMETROS!A:A,PARAMETROS!C:C)=0,"",_xlfn.XLOOKUP(A154,PARAMETROS!A:A,PARAMETROS!C:C))</f>
        <v>12</v>
      </c>
      <c r="D154">
        <f>IF(_xlfn.XLOOKUP(A154,PARAMETROS!A:A,PARAMETROS!D:D)=0,"",_xlfn.XLOOKUP(A154,PARAMETROS!A:A,PARAMETROS!D:D))</f>
        <v>9</v>
      </c>
      <c r="E154" t="str">
        <f>IF(_xlfn.XLOOKUP('PREENCHIMENTO|LETIVAS'!A154,PARAMETROS!A:A,PARAMETROS!I:I)=0,"",_xlfn.XLOOKUP('PREENCHIMENTO|LETIVAS'!A154,PARAMETROS!A:A,PARAMETROS!I:I))</f>
        <v>PROFESSOR REGENTE</v>
      </c>
      <c r="F154" s="3" t="s">
        <v>31</v>
      </c>
      <c r="G154" s="3">
        <v>1</v>
      </c>
      <c r="H154" s="3" t="s">
        <v>39</v>
      </c>
      <c r="I154" s="3" t="s">
        <v>33</v>
      </c>
      <c r="J154" s="3" t="s">
        <v>993</v>
      </c>
      <c r="K154" s="3"/>
      <c r="L154" s="19"/>
      <c r="W154">
        <f t="shared" si="2"/>
        <v>2</v>
      </c>
    </row>
    <row r="155" spans="1:23">
      <c r="A155" s="3" t="s">
        <v>435</v>
      </c>
      <c r="B155" t="str">
        <f>IF(_xlfn.XLOOKUP(A155,PARAMETROS!A:A,PARAMETROS!B:B)=0,"",_xlfn.XLOOKUP(A155,PARAMETROS!A:A,PARAMETROS!B:B))</f>
        <v>012009006219</v>
      </c>
      <c r="C155">
        <f>IF(_xlfn.XLOOKUP(A155,PARAMETROS!A:A,PARAMETROS!C:C)=0,"",_xlfn.XLOOKUP(A155,PARAMETROS!A:A,PARAMETROS!C:C))</f>
        <v>12</v>
      </c>
      <c r="D155">
        <f>IF(_xlfn.XLOOKUP(A155,PARAMETROS!A:A,PARAMETROS!D:D)=0,"",_xlfn.XLOOKUP(A155,PARAMETROS!A:A,PARAMETROS!D:D))</f>
        <v>9</v>
      </c>
      <c r="E155" t="str">
        <f>IF(_xlfn.XLOOKUP('PREENCHIMENTO|LETIVAS'!A155,PARAMETROS!A:A,PARAMETROS!I:I)=0,"",_xlfn.XLOOKUP('PREENCHIMENTO|LETIVAS'!A155,PARAMETROS!A:A,PARAMETROS!I:I))</f>
        <v>PROFESSOR REGENTE</v>
      </c>
      <c r="F155" s="3" t="s">
        <v>31</v>
      </c>
      <c r="G155" s="3">
        <v>2</v>
      </c>
      <c r="H155" s="3" t="s">
        <v>39</v>
      </c>
      <c r="I155" s="3" t="s">
        <v>33</v>
      </c>
      <c r="J155" s="3" t="s">
        <v>994</v>
      </c>
      <c r="K155" s="3"/>
      <c r="L155" s="19"/>
      <c r="W155">
        <f t="shared" si="2"/>
        <v>2</v>
      </c>
    </row>
    <row r="156" spans="1:23">
      <c r="A156" s="3" t="s">
        <v>435</v>
      </c>
      <c r="B156" t="str">
        <f>IF(_xlfn.XLOOKUP(A156,PARAMETROS!A:A,PARAMETROS!B:B)=0,"",_xlfn.XLOOKUP(A156,PARAMETROS!A:A,PARAMETROS!B:B))</f>
        <v>012009006219</v>
      </c>
      <c r="C156">
        <f>IF(_xlfn.XLOOKUP(A156,PARAMETROS!A:A,PARAMETROS!C:C)=0,"",_xlfn.XLOOKUP(A156,PARAMETROS!A:A,PARAMETROS!C:C))</f>
        <v>12</v>
      </c>
      <c r="D156">
        <f>IF(_xlfn.XLOOKUP(A156,PARAMETROS!A:A,PARAMETROS!D:D)=0,"",_xlfn.XLOOKUP(A156,PARAMETROS!A:A,PARAMETROS!D:D))</f>
        <v>9</v>
      </c>
      <c r="E156" t="str">
        <f>IF(_xlfn.XLOOKUP('PREENCHIMENTO|LETIVAS'!A156,PARAMETROS!A:A,PARAMETROS!I:I)=0,"",_xlfn.XLOOKUP('PREENCHIMENTO|LETIVAS'!A156,PARAMETROS!A:A,PARAMETROS!I:I))</f>
        <v>PROFESSOR REGENTE</v>
      </c>
      <c r="F156" s="3" t="s">
        <v>31</v>
      </c>
      <c r="G156" s="3">
        <v>2</v>
      </c>
      <c r="H156" s="3" t="s">
        <v>39</v>
      </c>
      <c r="I156" s="3" t="s">
        <v>33</v>
      </c>
      <c r="J156" s="3" t="s">
        <v>995</v>
      </c>
      <c r="K156" s="3"/>
      <c r="L156" s="19"/>
      <c r="W156">
        <f t="shared" si="2"/>
        <v>2</v>
      </c>
    </row>
    <row r="157" spans="1:23">
      <c r="A157" s="3" t="s">
        <v>178</v>
      </c>
      <c r="B157" t="str">
        <f>IF(_xlfn.XLOOKUP(A157,PARAMETROS!A:A,PARAMETROS!B:B)=0,"",_xlfn.XLOOKUP(A157,PARAMETROS!A:A,PARAMETROS!B:B))</f>
        <v>012009004310</v>
      </c>
      <c r="C157">
        <f>IF(_xlfn.XLOOKUP(A157,PARAMETROS!A:A,PARAMETROS!C:C)=0,"",_xlfn.XLOOKUP(A157,PARAMETROS!A:A,PARAMETROS!C:C))</f>
        <v>40</v>
      </c>
      <c r="D157">
        <f>IF(_xlfn.XLOOKUP(A157,PARAMETROS!A:A,PARAMETROS!D:D)=0,"",_xlfn.XLOOKUP(A157,PARAMETROS!A:A,PARAMETROS!D:D))</f>
        <v>4</v>
      </c>
      <c r="E157" t="str">
        <f>IF(_xlfn.XLOOKUP('PREENCHIMENTO|LETIVAS'!A157,PARAMETROS!A:A,PARAMETROS!I:I)=0,"",_xlfn.XLOOKUP('PREENCHIMENTO|LETIVAS'!A157,PARAMETROS!A:A,PARAMETROS!I:I))</f>
        <v>PROFESSOR DE ENSINO SUPERIOR EAD</v>
      </c>
      <c r="F157" s="3" t="s">
        <v>31</v>
      </c>
      <c r="G157" s="3">
        <v>2</v>
      </c>
      <c r="H157" s="3" t="s">
        <v>39</v>
      </c>
      <c r="I157" s="3" t="s">
        <v>40</v>
      </c>
      <c r="J157" s="3" t="s">
        <v>996</v>
      </c>
      <c r="K157" s="3"/>
      <c r="L157" s="19"/>
      <c r="W157">
        <f t="shared" si="2"/>
        <v>2</v>
      </c>
    </row>
    <row r="158" spans="1:23">
      <c r="A158" s="3" t="s">
        <v>178</v>
      </c>
      <c r="B158" t="str">
        <f>IF(_xlfn.XLOOKUP(A158,PARAMETROS!A:A,PARAMETROS!B:B)=0,"",_xlfn.XLOOKUP(A158,PARAMETROS!A:A,PARAMETROS!B:B))</f>
        <v>012009004310</v>
      </c>
      <c r="C158">
        <f>IF(_xlfn.XLOOKUP(A158,PARAMETROS!A:A,PARAMETROS!C:C)=0,"",_xlfn.XLOOKUP(A158,PARAMETROS!A:A,PARAMETROS!C:C))</f>
        <v>40</v>
      </c>
      <c r="D158">
        <f>IF(_xlfn.XLOOKUP(A158,PARAMETROS!A:A,PARAMETROS!D:D)=0,"",_xlfn.XLOOKUP(A158,PARAMETROS!A:A,PARAMETROS!D:D))</f>
        <v>4</v>
      </c>
      <c r="E158" t="str">
        <f>IF(_xlfn.XLOOKUP('PREENCHIMENTO|LETIVAS'!A158,PARAMETROS!A:A,PARAMETROS!I:I)=0,"",_xlfn.XLOOKUP('PREENCHIMENTO|LETIVAS'!A158,PARAMETROS!A:A,PARAMETROS!I:I))</f>
        <v>PROFESSOR DE ENSINO SUPERIOR EAD</v>
      </c>
      <c r="F158" s="3" t="s">
        <v>31</v>
      </c>
      <c r="G158" s="3">
        <v>2</v>
      </c>
      <c r="H158" s="3" t="s">
        <v>63</v>
      </c>
      <c r="I158" s="3" t="s">
        <v>33</v>
      </c>
      <c r="J158" s="3" t="s">
        <v>997</v>
      </c>
      <c r="K158" s="3"/>
      <c r="L158" s="19"/>
      <c r="W158">
        <f t="shared" si="2"/>
        <v>2</v>
      </c>
    </row>
    <row r="159" spans="1:23">
      <c r="A159" s="3" t="s">
        <v>178</v>
      </c>
      <c r="B159" t="str">
        <f>IF(_xlfn.XLOOKUP(A159,PARAMETROS!A:A,PARAMETROS!B:B)=0,"",_xlfn.XLOOKUP(A159,PARAMETROS!A:A,PARAMETROS!B:B))</f>
        <v>012009004310</v>
      </c>
      <c r="C159">
        <f>IF(_xlfn.XLOOKUP(A159,PARAMETROS!A:A,PARAMETROS!C:C)=0,"",_xlfn.XLOOKUP(A159,PARAMETROS!A:A,PARAMETROS!C:C))</f>
        <v>40</v>
      </c>
      <c r="D159">
        <f>IF(_xlfn.XLOOKUP(A159,PARAMETROS!A:A,PARAMETROS!D:D)=0,"",_xlfn.XLOOKUP(A159,PARAMETROS!A:A,PARAMETROS!D:D))</f>
        <v>4</v>
      </c>
      <c r="E159" t="str">
        <f>IF(_xlfn.XLOOKUP('PREENCHIMENTO|LETIVAS'!A159,PARAMETROS!A:A,PARAMETROS!I:I)=0,"",_xlfn.XLOOKUP('PREENCHIMENTO|LETIVAS'!A159,PARAMETROS!A:A,PARAMETROS!I:I))</f>
        <v>PROFESSOR DE ENSINO SUPERIOR EAD</v>
      </c>
      <c r="F159" s="3" t="s">
        <v>31</v>
      </c>
      <c r="G159" s="3">
        <v>1</v>
      </c>
      <c r="H159" s="3" t="s">
        <v>63</v>
      </c>
      <c r="I159" s="3" t="s">
        <v>40</v>
      </c>
      <c r="J159" s="3" t="s">
        <v>998</v>
      </c>
      <c r="K159" s="3"/>
      <c r="L159" s="19"/>
      <c r="W159">
        <f t="shared" si="2"/>
        <v>2</v>
      </c>
    </row>
    <row r="160" spans="1:23">
      <c r="A160" s="3" t="s">
        <v>178</v>
      </c>
      <c r="B160" t="str">
        <f>IF(_xlfn.XLOOKUP(A160,PARAMETROS!A:A,PARAMETROS!B:B)=0,"",_xlfn.XLOOKUP(A160,PARAMETROS!A:A,PARAMETROS!B:B))</f>
        <v>012009004310</v>
      </c>
      <c r="C160">
        <f>IF(_xlfn.XLOOKUP(A160,PARAMETROS!A:A,PARAMETROS!C:C)=0,"",_xlfn.XLOOKUP(A160,PARAMETROS!A:A,PARAMETROS!C:C))</f>
        <v>40</v>
      </c>
      <c r="D160">
        <f>IF(_xlfn.XLOOKUP(A160,PARAMETROS!A:A,PARAMETROS!D:D)=0,"",_xlfn.XLOOKUP(A160,PARAMETROS!A:A,PARAMETROS!D:D))</f>
        <v>4</v>
      </c>
      <c r="E160" t="str">
        <f>IF(_xlfn.XLOOKUP('PREENCHIMENTO|LETIVAS'!A160,PARAMETROS!A:A,PARAMETROS!I:I)=0,"",_xlfn.XLOOKUP('PREENCHIMENTO|LETIVAS'!A160,PARAMETROS!A:A,PARAMETROS!I:I))</f>
        <v>PROFESSOR DE ENSINO SUPERIOR EAD</v>
      </c>
      <c r="F160" s="3" t="s">
        <v>31</v>
      </c>
      <c r="G160" s="3">
        <v>2</v>
      </c>
      <c r="H160" s="3" t="s">
        <v>63</v>
      </c>
      <c r="I160" s="3" t="s">
        <v>33</v>
      </c>
      <c r="J160" s="3" t="s">
        <v>999</v>
      </c>
      <c r="K160" s="3"/>
      <c r="L160" s="19"/>
      <c r="W160">
        <f t="shared" si="2"/>
        <v>2</v>
      </c>
    </row>
    <row r="161" spans="1:23">
      <c r="A161" s="3" t="s">
        <v>25</v>
      </c>
      <c r="B161" t="str">
        <f>IF(_xlfn.XLOOKUP(A161,PARAMETROS!A:A,PARAMETROS!B:B)=0,"",_xlfn.XLOOKUP(A161,PARAMETROS!A:A,PARAMETROS!B:B))</f>
        <v>012009006172</v>
      </c>
      <c r="C161">
        <f>IF(_xlfn.XLOOKUP(A161,PARAMETROS!A:A,PARAMETROS!C:C)=0,"",_xlfn.XLOOKUP(A161,PARAMETROS!A:A,PARAMETROS!C:C))</f>
        <v>12</v>
      </c>
      <c r="D161">
        <f>IF(_xlfn.XLOOKUP(A161,PARAMETROS!A:A,PARAMETROS!D:D)=0,"",_xlfn.XLOOKUP(A161,PARAMETROS!A:A,PARAMETROS!D:D))</f>
        <v>9</v>
      </c>
      <c r="E161" t="str">
        <f>IF(_xlfn.XLOOKUP('PREENCHIMENTO|LETIVAS'!A161,PARAMETROS!A:A,PARAMETROS!I:I)=0,"",_xlfn.XLOOKUP('PREENCHIMENTO|LETIVAS'!A161,PARAMETROS!A:A,PARAMETROS!I:I))</f>
        <v>PROFESSOR REGENTE</v>
      </c>
      <c r="F161" s="3" t="s">
        <v>31</v>
      </c>
      <c r="G161" s="3">
        <v>1</v>
      </c>
      <c r="H161" s="3" t="s">
        <v>63</v>
      </c>
      <c r="I161" s="3" t="s">
        <v>33</v>
      </c>
      <c r="J161" s="3" t="s">
        <v>1000</v>
      </c>
      <c r="K161" s="3"/>
      <c r="L161" s="19"/>
      <c r="W161">
        <f t="shared" si="2"/>
        <v>2</v>
      </c>
    </row>
    <row r="162" spans="1:23">
      <c r="A162" s="3" t="s">
        <v>25</v>
      </c>
      <c r="B162" t="str">
        <f>IF(_xlfn.XLOOKUP(A162,PARAMETROS!A:A,PARAMETROS!B:B)=0,"",_xlfn.XLOOKUP(A162,PARAMETROS!A:A,PARAMETROS!B:B))</f>
        <v>012009006172</v>
      </c>
      <c r="C162">
        <f>IF(_xlfn.XLOOKUP(A162,PARAMETROS!A:A,PARAMETROS!C:C)=0,"",_xlfn.XLOOKUP(A162,PARAMETROS!A:A,PARAMETROS!C:C))</f>
        <v>12</v>
      </c>
      <c r="D162">
        <f>IF(_xlfn.XLOOKUP(A162,PARAMETROS!A:A,PARAMETROS!D:D)=0,"",_xlfn.XLOOKUP(A162,PARAMETROS!A:A,PARAMETROS!D:D))</f>
        <v>9</v>
      </c>
      <c r="E162" t="str">
        <f>IF(_xlfn.XLOOKUP('PREENCHIMENTO|LETIVAS'!A162,PARAMETROS!A:A,PARAMETROS!I:I)=0,"",_xlfn.XLOOKUP('PREENCHIMENTO|LETIVAS'!A162,PARAMETROS!A:A,PARAMETROS!I:I))</f>
        <v>PROFESSOR REGENTE</v>
      </c>
      <c r="F162" s="3" t="s">
        <v>31</v>
      </c>
      <c r="G162" s="3">
        <v>2</v>
      </c>
      <c r="H162" s="3" t="s">
        <v>63</v>
      </c>
      <c r="I162" s="3" t="s">
        <v>40</v>
      </c>
      <c r="J162" s="3" t="s">
        <v>1001</v>
      </c>
      <c r="K162" s="3"/>
      <c r="L162" s="19"/>
      <c r="W162">
        <f t="shared" si="2"/>
        <v>2</v>
      </c>
    </row>
    <row r="163" spans="1:23">
      <c r="A163" s="3" t="s">
        <v>577</v>
      </c>
      <c r="B163" t="str">
        <f>IF(_xlfn.XLOOKUP(A163,PARAMETROS!A:A,PARAMETROS!B:B)=0,"",_xlfn.XLOOKUP(A163,PARAMETROS!A:A,PARAMETROS!B:B))</f>
        <v>012009006248</v>
      </c>
      <c r="C163">
        <f>IF(_xlfn.XLOOKUP(A163,PARAMETROS!A:A,PARAMETROS!C:C)=0,"",_xlfn.XLOOKUP(A163,PARAMETROS!A:A,PARAMETROS!C:C))</f>
        <v>12</v>
      </c>
      <c r="D163">
        <f>IF(_xlfn.XLOOKUP(A163,PARAMETROS!A:A,PARAMETROS!D:D)=0,"",_xlfn.XLOOKUP(A163,PARAMETROS!A:A,PARAMETROS!D:D))</f>
        <v>9</v>
      </c>
      <c r="E163" t="str">
        <f>IF(_xlfn.XLOOKUP('PREENCHIMENTO|LETIVAS'!A163,PARAMETROS!A:A,PARAMETROS!I:I)=0,"",_xlfn.XLOOKUP('PREENCHIMENTO|LETIVAS'!A163,PARAMETROS!A:A,PARAMETROS!I:I))</f>
        <v>PROFESSOR REGENTE</v>
      </c>
      <c r="F163" s="3" t="s">
        <v>31</v>
      </c>
      <c r="G163" s="3">
        <v>1</v>
      </c>
      <c r="H163" s="3" t="s">
        <v>63</v>
      </c>
      <c r="I163" s="3" t="s">
        <v>33</v>
      </c>
      <c r="J163" s="3" t="s">
        <v>1002</v>
      </c>
      <c r="K163" s="3"/>
      <c r="L163" s="19"/>
      <c r="W163">
        <f t="shared" si="2"/>
        <v>2</v>
      </c>
    </row>
    <row r="164" spans="1:23">
      <c r="A164" s="3" t="s">
        <v>493</v>
      </c>
      <c r="B164" t="str">
        <f>IF(_xlfn.XLOOKUP(A164,PARAMETROS!A:A,PARAMETROS!B:B)=0,"",_xlfn.XLOOKUP(A164,PARAMETROS!A:A,PARAMETROS!B:B))</f>
        <v>012009003935</v>
      </c>
      <c r="C164">
        <f>IF(_xlfn.XLOOKUP(A164,PARAMETROS!A:A,PARAMETROS!C:C)=0,"",_xlfn.XLOOKUP(A164,PARAMETROS!A:A,PARAMETROS!C:C))</f>
        <v>20</v>
      </c>
      <c r="D164">
        <f>IF(_xlfn.XLOOKUP(A164,PARAMETROS!A:A,PARAMETROS!D:D)=0,"",_xlfn.XLOOKUP(A164,PARAMETROS!A:A,PARAMETROS!D:D))</f>
        <v>2</v>
      </c>
      <c r="E164" t="str">
        <f>IF(_xlfn.XLOOKUP('PREENCHIMENTO|LETIVAS'!A164,PARAMETROS!A:A,PARAMETROS!I:I)=0,"",_xlfn.XLOOKUP('PREENCHIMENTO|LETIVAS'!A164,PARAMETROS!A:A,PARAMETROS!I:I))</f>
        <v>PROFESSOR DE ENSINO SUPERIOR EAD</v>
      </c>
      <c r="F164" s="3" t="s">
        <v>31</v>
      </c>
      <c r="G164" s="3">
        <v>2</v>
      </c>
      <c r="H164" s="3" t="s">
        <v>55</v>
      </c>
      <c r="I164" s="3" t="s">
        <v>33</v>
      </c>
      <c r="J164" s="3" t="s">
        <v>1003</v>
      </c>
      <c r="K164" s="3"/>
      <c r="L164" s="19"/>
      <c r="W164">
        <f t="shared" si="2"/>
        <v>2</v>
      </c>
    </row>
    <row r="165" spans="1:23">
      <c r="A165" s="3" t="s">
        <v>349</v>
      </c>
      <c r="B165" t="str">
        <f>IF(_xlfn.XLOOKUP(A165,PARAMETROS!A:A,PARAMETROS!B:B)=0,"",_xlfn.XLOOKUP(A165,PARAMETROS!A:A,PARAMETROS!B:B))</f>
        <v>012009004589</v>
      </c>
      <c r="C165">
        <f>IF(_xlfn.XLOOKUP(A165,PARAMETROS!A:A,PARAMETROS!C:C)=0,"",_xlfn.XLOOKUP(A165,PARAMETROS!A:A,PARAMETROS!C:C))</f>
        <v>20</v>
      </c>
      <c r="D165">
        <f>IF(_xlfn.XLOOKUP(A165,PARAMETROS!A:A,PARAMETROS!D:D)=0,"",_xlfn.XLOOKUP(A165,PARAMETROS!A:A,PARAMETROS!D:D))</f>
        <v>2</v>
      </c>
      <c r="E165" t="str">
        <f>IF(_xlfn.XLOOKUP('PREENCHIMENTO|LETIVAS'!A165,PARAMETROS!A:A,PARAMETROS!I:I)=0,"",_xlfn.XLOOKUP('PREENCHIMENTO|LETIVAS'!A165,PARAMETROS!A:A,PARAMETROS!I:I))</f>
        <v>PROFESSOR DE ENSINO SUPERIOR EAD</v>
      </c>
      <c r="F165" s="3" t="s">
        <v>31</v>
      </c>
      <c r="G165" s="3">
        <v>2</v>
      </c>
      <c r="H165" s="3" t="s">
        <v>63</v>
      </c>
      <c r="I165" s="3" t="s">
        <v>33</v>
      </c>
      <c r="J165" s="3" t="s">
        <v>1004</v>
      </c>
      <c r="K165" s="3"/>
      <c r="L165" s="19"/>
      <c r="W165">
        <f t="shared" si="2"/>
        <v>2</v>
      </c>
    </row>
    <row r="166" spans="1:23">
      <c r="A166" s="3" t="s">
        <v>574</v>
      </c>
      <c r="B166" t="str">
        <f>IF(_xlfn.XLOOKUP(A166,PARAMETROS!A:A,PARAMETROS!B:B)=0,"",_xlfn.XLOOKUP(A166,PARAMETROS!A:A,PARAMETROS!B:B))</f>
        <v>012009006261</v>
      </c>
      <c r="C166">
        <f>IF(_xlfn.XLOOKUP(A166,PARAMETROS!A:A,PARAMETROS!C:C)=0,"",_xlfn.XLOOKUP(A166,PARAMETROS!A:A,PARAMETROS!C:C))</f>
        <v>12</v>
      </c>
      <c r="D166">
        <f>IF(_xlfn.XLOOKUP(A166,PARAMETROS!A:A,PARAMETROS!D:D)=0,"",_xlfn.XLOOKUP(A166,PARAMETROS!A:A,PARAMETROS!D:D))</f>
        <v>9</v>
      </c>
      <c r="E166" t="str">
        <f>IF(_xlfn.XLOOKUP('PREENCHIMENTO|LETIVAS'!A166,PARAMETROS!A:A,PARAMETROS!I:I)=0,"",_xlfn.XLOOKUP('PREENCHIMENTO|LETIVAS'!A166,PARAMETROS!A:A,PARAMETROS!I:I))</f>
        <v>PROFESSOR REGENTE</v>
      </c>
      <c r="F166" s="3" t="s">
        <v>31</v>
      </c>
      <c r="G166" s="3">
        <v>2</v>
      </c>
      <c r="H166" s="3" t="s">
        <v>63</v>
      </c>
      <c r="I166" s="3" t="s">
        <v>33</v>
      </c>
      <c r="J166" s="3" t="s">
        <v>1005</v>
      </c>
      <c r="K166" s="3"/>
      <c r="L166" s="19"/>
      <c r="W166">
        <f t="shared" si="2"/>
        <v>2</v>
      </c>
    </row>
    <row r="167" spans="1:23">
      <c r="A167" s="3" t="s">
        <v>574</v>
      </c>
      <c r="B167" t="str">
        <f>IF(_xlfn.XLOOKUP(A167,PARAMETROS!A:A,PARAMETROS!B:B)=0,"",_xlfn.XLOOKUP(A167,PARAMETROS!A:A,PARAMETROS!B:B))</f>
        <v>012009006261</v>
      </c>
      <c r="C167">
        <f>IF(_xlfn.XLOOKUP(A167,PARAMETROS!A:A,PARAMETROS!C:C)=0,"",_xlfn.XLOOKUP(A167,PARAMETROS!A:A,PARAMETROS!C:C))</f>
        <v>12</v>
      </c>
      <c r="D167">
        <f>IF(_xlfn.XLOOKUP(A167,PARAMETROS!A:A,PARAMETROS!D:D)=0,"",_xlfn.XLOOKUP(A167,PARAMETROS!A:A,PARAMETROS!D:D))</f>
        <v>9</v>
      </c>
      <c r="E167" t="str">
        <f>IF(_xlfn.XLOOKUP('PREENCHIMENTO|LETIVAS'!A167,PARAMETROS!A:A,PARAMETROS!I:I)=0,"",_xlfn.XLOOKUP('PREENCHIMENTO|LETIVAS'!A167,PARAMETROS!A:A,PARAMETROS!I:I))</f>
        <v>PROFESSOR REGENTE</v>
      </c>
      <c r="F167" s="3" t="s">
        <v>31</v>
      </c>
      <c r="G167" s="3">
        <v>1</v>
      </c>
      <c r="H167" s="3" t="s">
        <v>63</v>
      </c>
      <c r="I167" s="3" t="s">
        <v>33</v>
      </c>
      <c r="J167" s="3" t="s">
        <v>1006</v>
      </c>
      <c r="K167" s="3"/>
      <c r="L167" s="19"/>
      <c r="W167">
        <f t="shared" si="2"/>
        <v>2</v>
      </c>
    </row>
    <row r="168" spans="1:23">
      <c r="A168" s="3" t="s">
        <v>475</v>
      </c>
      <c r="B168" t="str">
        <f>IF(_xlfn.XLOOKUP(A168,PARAMETROS!A:A,PARAMETROS!B:B)=0,"",_xlfn.XLOOKUP(A168,PARAMETROS!A:A,PARAMETROS!B:B))</f>
        <v>012009004049</v>
      </c>
      <c r="C168">
        <f>IF(_xlfn.XLOOKUP(A168,PARAMETROS!A:A,PARAMETROS!C:C)=0,"",_xlfn.XLOOKUP(A168,PARAMETROS!A:A,PARAMETROS!C:C))</f>
        <v>40</v>
      </c>
      <c r="D168">
        <f>IF(_xlfn.XLOOKUP(A168,PARAMETROS!A:A,PARAMETROS!D:D)=0,"",_xlfn.XLOOKUP(A168,PARAMETROS!A:A,PARAMETROS!D:D))</f>
        <v>4</v>
      </c>
      <c r="E168" t="str">
        <f>IF(_xlfn.XLOOKUP('PREENCHIMENTO|LETIVAS'!A168,PARAMETROS!A:A,PARAMETROS!I:I)=0,"",_xlfn.XLOOKUP('PREENCHIMENTO|LETIVAS'!A168,PARAMETROS!A:A,PARAMETROS!I:I))</f>
        <v>PROFESSOR DE ENSINO SUPERIOR EAD</v>
      </c>
      <c r="F168" s="3" t="s">
        <v>31</v>
      </c>
      <c r="G168" s="3">
        <v>1</v>
      </c>
      <c r="H168" s="3" t="s">
        <v>63</v>
      </c>
      <c r="I168" s="3" t="s">
        <v>33</v>
      </c>
      <c r="J168" s="3" t="s">
        <v>1007</v>
      </c>
      <c r="K168" s="3"/>
      <c r="L168" s="19"/>
      <c r="W168">
        <f t="shared" si="2"/>
        <v>2</v>
      </c>
    </row>
    <row r="169" spans="1:23">
      <c r="A169" s="3" t="s">
        <v>475</v>
      </c>
      <c r="B169" t="str">
        <f>IF(_xlfn.XLOOKUP(A169,PARAMETROS!A:A,PARAMETROS!B:B)=0,"",_xlfn.XLOOKUP(A169,PARAMETROS!A:A,PARAMETROS!B:B))</f>
        <v>012009004049</v>
      </c>
      <c r="C169">
        <f>IF(_xlfn.XLOOKUP(A169,PARAMETROS!A:A,PARAMETROS!C:C)=0,"",_xlfn.XLOOKUP(A169,PARAMETROS!A:A,PARAMETROS!C:C))</f>
        <v>40</v>
      </c>
      <c r="D169">
        <f>IF(_xlfn.XLOOKUP(A169,PARAMETROS!A:A,PARAMETROS!D:D)=0,"",_xlfn.XLOOKUP(A169,PARAMETROS!A:A,PARAMETROS!D:D))</f>
        <v>4</v>
      </c>
      <c r="E169" t="str">
        <f>IF(_xlfn.XLOOKUP('PREENCHIMENTO|LETIVAS'!A169,PARAMETROS!A:A,PARAMETROS!I:I)=0,"",_xlfn.XLOOKUP('PREENCHIMENTO|LETIVAS'!A169,PARAMETROS!A:A,PARAMETROS!I:I))</f>
        <v>PROFESSOR DE ENSINO SUPERIOR EAD</v>
      </c>
      <c r="F169" s="3" t="s">
        <v>31</v>
      </c>
      <c r="G169" s="3">
        <v>2</v>
      </c>
      <c r="H169" s="3" t="s">
        <v>63</v>
      </c>
      <c r="I169" s="3" t="s">
        <v>33</v>
      </c>
      <c r="J169" s="3" t="s">
        <v>1008</v>
      </c>
      <c r="K169" s="3"/>
      <c r="L169" s="19"/>
      <c r="W169">
        <f t="shared" si="2"/>
        <v>2</v>
      </c>
    </row>
    <row r="170" spans="1:23">
      <c r="A170" s="3" t="s">
        <v>429</v>
      </c>
      <c r="B170" t="str">
        <f>IF(_xlfn.XLOOKUP(A170,PARAMETROS!A:A,PARAMETROS!B:B)=0,"",_xlfn.XLOOKUP(A170,PARAMETROS!A:A,PARAMETROS!B:B))</f>
        <v>012009004273</v>
      </c>
      <c r="C170">
        <f>IF(_xlfn.XLOOKUP(A170,PARAMETROS!A:A,PARAMETROS!C:C)=0,"",_xlfn.XLOOKUP(A170,PARAMETROS!A:A,PARAMETROS!C:C))</f>
        <v>40</v>
      </c>
      <c r="D170">
        <f>IF(_xlfn.XLOOKUP(A170,PARAMETROS!A:A,PARAMETROS!D:D)=0,"",_xlfn.XLOOKUP(A170,PARAMETROS!A:A,PARAMETROS!D:D))</f>
        <v>4</v>
      </c>
      <c r="E170" t="str">
        <f>IF(_xlfn.XLOOKUP('PREENCHIMENTO|LETIVAS'!A170,PARAMETROS!A:A,PARAMETROS!I:I)=0,"",_xlfn.XLOOKUP('PREENCHIMENTO|LETIVAS'!A170,PARAMETROS!A:A,PARAMETROS!I:I))</f>
        <v>PROFESSOR DE ENSINO SUPERIOR EAD</v>
      </c>
      <c r="F170" s="3" t="s">
        <v>31</v>
      </c>
      <c r="G170" s="3">
        <v>2</v>
      </c>
      <c r="H170" s="3" t="s">
        <v>55</v>
      </c>
      <c r="I170" s="3" t="s">
        <v>40</v>
      </c>
      <c r="J170" s="3" t="s">
        <v>1009</v>
      </c>
      <c r="K170" s="3"/>
      <c r="L170" s="19"/>
      <c r="W170">
        <f t="shared" si="2"/>
        <v>2</v>
      </c>
    </row>
    <row r="171" spans="1:23">
      <c r="A171" s="3" t="s">
        <v>429</v>
      </c>
      <c r="B171" t="str">
        <f>IF(_xlfn.XLOOKUP(A171,PARAMETROS!A:A,PARAMETROS!B:B)=0,"",_xlfn.XLOOKUP(A171,PARAMETROS!A:A,PARAMETROS!B:B))</f>
        <v>012009004273</v>
      </c>
      <c r="C171">
        <f>IF(_xlfn.XLOOKUP(A171,PARAMETROS!A:A,PARAMETROS!C:C)=0,"",_xlfn.XLOOKUP(A171,PARAMETROS!A:A,PARAMETROS!C:C))</f>
        <v>40</v>
      </c>
      <c r="D171">
        <f>IF(_xlfn.XLOOKUP(A171,PARAMETROS!A:A,PARAMETROS!D:D)=0,"",_xlfn.XLOOKUP(A171,PARAMETROS!A:A,PARAMETROS!D:D))</f>
        <v>4</v>
      </c>
      <c r="E171" t="str">
        <f>IF(_xlfn.XLOOKUP('PREENCHIMENTO|LETIVAS'!A171,PARAMETROS!A:A,PARAMETROS!I:I)=0,"",_xlfn.XLOOKUP('PREENCHIMENTO|LETIVAS'!A171,PARAMETROS!A:A,PARAMETROS!I:I))</f>
        <v>PROFESSOR DE ENSINO SUPERIOR EAD</v>
      </c>
      <c r="F171" s="3" t="s">
        <v>31</v>
      </c>
      <c r="G171" s="3">
        <v>1</v>
      </c>
      <c r="H171" s="3" t="s">
        <v>55</v>
      </c>
      <c r="I171" s="3" t="s">
        <v>33</v>
      </c>
      <c r="J171" s="3" t="s">
        <v>1010</v>
      </c>
      <c r="K171" s="3"/>
      <c r="L171" s="19"/>
      <c r="W171">
        <f t="shared" si="2"/>
        <v>2</v>
      </c>
    </row>
    <row r="172" spans="1:23">
      <c r="A172" s="3" t="s">
        <v>34</v>
      </c>
      <c r="B172" t="str">
        <f>IF(_xlfn.XLOOKUP(A172,PARAMETROS!A:A,PARAMETROS!B:B)=0,"",_xlfn.XLOOKUP(A172,PARAMETROS!A:A,PARAMETROS!B:B))</f>
        <v>012009004349</v>
      </c>
      <c r="C172">
        <f>IF(_xlfn.XLOOKUP(A172,PARAMETROS!A:A,PARAMETROS!C:C)=0,"",_xlfn.XLOOKUP(A172,PARAMETROS!A:A,PARAMETROS!C:C))</f>
        <v>20</v>
      </c>
      <c r="D172">
        <f>IF(_xlfn.XLOOKUP(A172,PARAMETROS!A:A,PARAMETROS!D:D)=0,"",_xlfn.XLOOKUP(A172,PARAMETROS!A:A,PARAMETROS!D:D))</f>
        <v>2</v>
      </c>
      <c r="E172" t="str">
        <f>IF(_xlfn.XLOOKUP('PREENCHIMENTO|LETIVAS'!A172,PARAMETROS!A:A,PARAMETROS!I:I)=0,"",_xlfn.XLOOKUP('PREENCHIMENTO|LETIVAS'!A172,PARAMETROS!A:A,PARAMETROS!I:I))</f>
        <v>PROFESSOR DE ENSINO SUPERIOR EAD</v>
      </c>
      <c r="F172" s="3" t="s">
        <v>31</v>
      </c>
      <c r="G172" s="3">
        <v>2</v>
      </c>
      <c r="H172" s="3" t="s">
        <v>63</v>
      </c>
      <c r="I172" s="3" t="s">
        <v>33</v>
      </c>
      <c r="J172" s="3" t="s">
        <v>1011</v>
      </c>
      <c r="K172" s="3"/>
      <c r="L172" s="19"/>
      <c r="W172">
        <f t="shared" si="2"/>
        <v>2</v>
      </c>
    </row>
    <row r="173" spans="1:23">
      <c r="A173" s="3" t="s">
        <v>593</v>
      </c>
      <c r="B173" t="str">
        <f>IF(_xlfn.XLOOKUP(A173,PARAMETROS!A:A,PARAMETROS!B:B)=0,"",_xlfn.XLOOKUP(A173,PARAMETROS!A:A,PARAMETROS!B:B))</f>
        <v>012009006309</v>
      </c>
      <c r="C173">
        <f>IF(_xlfn.XLOOKUP(A173,PARAMETROS!A:A,PARAMETROS!C:C)=0,"",_xlfn.XLOOKUP(A173,PARAMETROS!A:A,PARAMETROS!C:C))</f>
        <v>12</v>
      </c>
      <c r="D173">
        <f>IF(_xlfn.XLOOKUP(A173,PARAMETROS!A:A,PARAMETROS!D:D)=0,"",_xlfn.XLOOKUP(A173,PARAMETROS!A:A,PARAMETROS!D:D))</f>
        <v>9</v>
      </c>
      <c r="E173" t="str">
        <f>IF(_xlfn.XLOOKUP('PREENCHIMENTO|LETIVAS'!A173,PARAMETROS!A:A,PARAMETROS!I:I)=0,"",_xlfn.XLOOKUP('PREENCHIMENTO|LETIVAS'!A173,PARAMETROS!A:A,PARAMETROS!I:I))</f>
        <v>PROFESSOR REGENTE</v>
      </c>
      <c r="F173" s="3" t="s">
        <v>31</v>
      </c>
      <c r="G173" s="3">
        <v>2</v>
      </c>
      <c r="H173" s="3" t="s">
        <v>63</v>
      </c>
      <c r="I173" s="3" t="s">
        <v>40</v>
      </c>
      <c r="J173" s="3" t="s">
        <v>1012</v>
      </c>
      <c r="K173" s="3"/>
      <c r="L173" s="19"/>
      <c r="W173">
        <f t="shared" si="2"/>
        <v>2</v>
      </c>
    </row>
    <row r="174" spans="1:23">
      <c r="A174" s="3" t="s">
        <v>593</v>
      </c>
      <c r="B174" t="str">
        <f>IF(_xlfn.XLOOKUP(A174,PARAMETROS!A:A,PARAMETROS!B:B)=0,"",_xlfn.XLOOKUP(A174,PARAMETROS!A:A,PARAMETROS!B:B))</f>
        <v>012009006309</v>
      </c>
      <c r="C174">
        <f>IF(_xlfn.XLOOKUP(A174,PARAMETROS!A:A,PARAMETROS!C:C)=0,"",_xlfn.XLOOKUP(A174,PARAMETROS!A:A,PARAMETROS!C:C))</f>
        <v>12</v>
      </c>
      <c r="D174">
        <f>IF(_xlfn.XLOOKUP(A174,PARAMETROS!A:A,PARAMETROS!D:D)=0,"",_xlfn.XLOOKUP(A174,PARAMETROS!A:A,PARAMETROS!D:D))</f>
        <v>9</v>
      </c>
      <c r="E174" t="str">
        <f>IF(_xlfn.XLOOKUP('PREENCHIMENTO|LETIVAS'!A174,PARAMETROS!A:A,PARAMETROS!I:I)=0,"",_xlfn.XLOOKUP('PREENCHIMENTO|LETIVAS'!A174,PARAMETROS!A:A,PARAMETROS!I:I))</f>
        <v>PROFESSOR REGENTE</v>
      </c>
      <c r="F174" s="3" t="s">
        <v>31</v>
      </c>
      <c r="G174" s="3">
        <v>1</v>
      </c>
      <c r="H174" s="3" t="s">
        <v>63</v>
      </c>
      <c r="I174" s="3" t="s">
        <v>33</v>
      </c>
      <c r="J174" s="3" t="s">
        <v>1013</v>
      </c>
      <c r="K174" s="3"/>
      <c r="L174" s="19"/>
      <c r="W174">
        <f t="shared" si="2"/>
        <v>2</v>
      </c>
    </row>
    <row r="175" spans="1:23">
      <c r="A175" s="3" t="s">
        <v>267</v>
      </c>
      <c r="B175" t="str">
        <f>IF(_xlfn.XLOOKUP(A175,PARAMETROS!A:A,PARAMETROS!B:B)=0,"",_xlfn.XLOOKUP(A175,PARAMETROS!A:A,PARAMETROS!B:B))</f>
        <v>012009006198</v>
      </c>
      <c r="C175">
        <f>IF(_xlfn.XLOOKUP(A175,PARAMETROS!A:A,PARAMETROS!C:C)=0,"",_xlfn.XLOOKUP(A175,PARAMETROS!A:A,PARAMETROS!C:C))</f>
        <v>12</v>
      </c>
      <c r="D175">
        <f>IF(_xlfn.XLOOKUP(A175,PARAMETROS!A:A,PARAMETROS!D:D)=0,"",_xlfn.XLOOKUP(A175,PARAMETROS!A:A,PARAMETROS!D:D))</f>
        <v>9</v>
      </c>
      <c r="E175" t="str">
        <f>IF(_xlfn.XLOOKUP('PREENCHIMENTO|LETIVAS'!A175,PARAMETROS!A:A,PARAMETROS!I:I)=0,"",_xlfn.XLOOKUP('PREENCHIMENTO|LETIVAS'!A175,PARAMETROS!A:A,PARAMETROS!I:I))</f>
        <v>PROFESSOR REGENTE</v>
      </c>
      <c r="F175" s="3" t="s">
        <v>31</v>
      </c>
      <c r="G175" s="3">
        <v>1</v>
      </c>
      <c r="H175" s="3" t="s">
        <v>63</v>
      </c>
      <c r="I175" s="3" t="s">
        <v>40</v>
      </c>
      <c r="J175" s="3" t="s">
        <v>1014</v>
      </c>
      <c r="K175" s="3"/>
      <c r="L175" s="19"/>
      <c r="W175">
        <f t="shared" si="2"/>
        <v>2</v>
      </c>
    </row>
    <row r="176" spans="1:23">
      <c r="A176" s="3" t="s">
        <v>423</v>
      </c>
      <c r="B176" t="str">
        <f>IF(_xlfn.XLOOKUP(A176,PARAMETROS!A:A,PARAMETROS!B:B)=0,"",_xlfn.XLOOKUP(A176,PARAMETROS!A:A,PARAMETROS!B:B))</f>
        <v>012009006132</v>
      </c>
      <c r="C176">
        <f>IF(_xlfn.XLOOKUP(A176,PARAMETROS!A:A,PARAMETROS!C:C)=0,"",_xlfn.XLOOKUP(A176,PARAMETROS!A:A,PARAMETROS!C:C))</f>
        <v>40</v>
      </c>
      <c r="D176">
        <f>IF(_xlfn.XLOOKUP(A176,PARAMETROS!A:A,PARAMETROS!D:D)=0,"",_xlfn.XLOOKUP(A176,PARAMETROS!A:A,PARAMETROS!D:D))</f>
        <v>4</v>
      </c>
      <c r="E176" t="str">
        <f>IF(_xlfn.XLOOKUP('PREENCHIMENTO|LETIVAS'!A176,PARAMETROS!A:A,PARAMETROS!I:I)=0,"",_xlfn.XLOOKUP('PREENCHIMENTO|LETIVAS'!A176,PARAMETROS!A:A,PARAMETROS!I:I))</f>
        <v>PROFESSOR DE ENSINO SUPERIOR EAD</v>
      </c>
      <c r="F176" s="3" t="s">
        <v>31</v>
      </c>
      <c r="G176" s="3">
        <v>1</v>
      </c>
      <c r="H176" s="3" t="s">
        <v>39</v>
      </c>
      <c r="I176" s="3" t="s">
        <v>33</v>
      </c>
      <c r="J176" s="3" t="s">
        <v>1015</v>
      </c>
      <c r="K176" s="3"/>
      <c r="L176" s="19"/>
      <c r="W176">
        <f t="shared" si="2"/>
        <v>2</v>
      </c>
    </row>
    <row r="177" spans="1:23">
      <c r="A177" s="3" t="s">
        <v>423</v>
      </c>
      <c r="B177" t="str">
        <f>IF(_xlfn.XLOOKUP(A177,PARAMETROS!A:A,PARAMETROS!B:B)=0,"",_xlfn.XLOOKUP(A177,PARAMETROS!A:A,PARAMETROS!B:B))</f>
        <v>012009006132</v>
      </c>
      <c r="C177">
        <f>IF(_xlfn.XLOOKUP(A177,PARAMETROS!A:A,PARAMETROS!C:C)=0,"",_xlfn.XLOOKUP(A177,PARAMETROS!A:A,PARAMETROS!C:C))</f>
        <v>40</v>
      </c>
      <c r="D177">
        <f>IF(_xlfn.XLOOKUP(A177,PARAMETROS!A:A,PARAMETROS!D:D)=0,"",_xlfn.XLOOKUP(A177,PARAMETROS!A:A,PARAMETROS!D:D))</f>
        <v>4</v>
      </c>
      <c r="E177" t="str">
        <f>IF(_xlfn.XLOOKUP('PREENCHIMENTO|LETIVAS'!A177,PARAMETROS!A:A,PARAMETROS!I:I)=0,"",_xlfn.XLOOKUP('PREENCHIMENTO|LETIVAS'!A177,PARAMETROS!A:A,PARAMETROS!I:I))</f>
        <v>PROFESSOR DE ENSINO SUPERIOR EAD</v>
      </c>
      <c r="F177" s="3" t="s">
        <v>31</v>
      </c>
      <c r="G177" s="3">
        <v>2</v>
      </c>
      <c r="H177" s="3" t="s">
        <v>39</v>
      </c>
      <c r="I177" s="3" t="s">
        <v>40</v>
      </c>
      <c r="J177" s="3" t="s">
        <v>1016</v>
      </c>
      <c r="K177" s="3"/>
      <c r="L177" s="19"/>
      <c r="W177">
        <f t="shared" si="2"/>
        <v>2</v>
      </c>
    </row>
    <row r="178" spans="1:23">
      <c r="A178" s="3" t="s">
        <v>423</v>
      </c>
      <c r="B178" t="str">
        <f>IF(_xlfn.XLOOKUP(A178,PARAMETROS!A:A,PARAMETROS!B:B)=0,"",_xlfn.XLOOKUP(A178,PARAMETROS!A:A,PARAMETROS!B:B))</f>
        <v>012009006132</v>
      </c>
      <c r="C178">
        <f>IF(_xlfn.XLOOKUP(A178,PARAMETROS!A:A,PARAMETROS!C:C)=0,"",_xlfn.XLOOKUP(A178,PARAMETROS!A:A,PARAMETROS!C:C))</f>
        <v>40</v>
      </c>
      <c r="D178">
        <f>IF(_xlfn.XLOOKUP(A178,PARAMETROS!A:A,PARAMETROS!D:D)=0,"",_xlfn.XLOOKUP(A178,PARAMETROS!A:A,PARAMETROS!D:D))</f>
        <v>4</v>
      </c>
      <c r="E178" t="str">
        <f>IF(_xlfn.XLOOKUP('PREENCHIMENTO|LETIVAS'!A178,PARAMETROS!A:A,PARAMETROS!I:I)=0,"",_xlfn.XLOOKUP('PREENCHIMENTO|LETIVAS'!A178,PARAMETROS!A:A,PARAMETROS!I:I))</f>
        <v>PROFESSOR DE ENSINO SUPERIOR EAD</v>
      </c>
      <c r="F178" s="3" t="s">
        <v>31</v>
      </c>
      <c r="G178" s="3">
        <v>1</v>
      </c>
      <c r="H178" s="3" t="s">
        <v>55</v>
      </c>
      <c r="I178" s="3" t="s">
        <v>33</v>
      </c>
      <c r="J178" s="3" t="s">
        <v>1017</v>
      </c>
      <c r="K178" s="3"/>
      <c r="L178" s="19"/>
      <c r="W178">
        <f t="shared" si="2"/>
        <v>2</v>
      </c>
    </row>
    <row r="179" spans="1:23">
      <c r="A179" s="3" t="s">
        <v>582</v>
      </c>
      <c r="B179" t="str">
        <f>IF(_xlfn.XLOOKUP(A179,PARAMETROS!A:A,PARAMETROS!B:B)=0,"",_xlfn.XLOOKUP(A179,PARAMETROS!A:A,PARAMETROS!B:B))</f>
        <v>012009006245</v>
      </c>
      <c r="C179">
        <f>IF(_xlfn.XLOOKUP(A179,PARAMETROS!A:A,PARAMETROS!C:C)=0,"",_xlfn.XLOOKUP(A179,PARAMETROS!A:A,PARAMETROS!C:C))</f>
        <v>12</v>
      </c>
      <c r="D179">
        <f>IF(_xlfn.XLOOKUP(A179,PARAMETROS!A:A,PARAMETROS!D:D)=0,"",_xlfn.XLOOKUP(A179,PARAMETROS!A:A,PARAMETROS!D:D))</f>
        <v>9</v>
      </c>
      <c r="E179" t="str">
        <f>IF(_xlfn.XLOOKUP('PREENCHIMENTO|LETIVAS'!A179,PARAMETROS!A:A,PARAMETROS!I:I)=0,"",_xlfn.XLOOKUP('PREENCHIMENTO|LETIVAS'!A179,PARAMETROS!A:A,PARAMETROS!I:I))</f>
        <v>PROFESSOR REGENTE</v>
      </c>
      <c r="F179" s="3" t="s">
        <v>31</v>
      </c>
      <c r="G179" s="3">
        <v>2</v>
      </c>
      <c r="H179" s="3" t="s">
        <v>39</v>
      </c>
      <c r="I179" s="3" t="s">
        <v>40</v>
      </c>
      <c r="J179" s="3" t="s">
        <v>876</v>
      </c>
      <c r="K179" s="3"/>
      <c r="L179" s="19"/>
      <c r="W179">
        <f t="shared" si="2"/>
        <v>2</v>
      </c>
    </row>
    <row r="180" spans="1:23">
      <c r="A180" s="3" t="s">
        <v>599</v>
      </c>
      <c r="B180" t="str">
        <f>IF(_xlfn.XLOOKUP(A180,PARAMETROS!A:A,PARAMETROS!B:B)=0,"",_xlfn.XLOOKUP(A180,PARAMETROS!A:A,PARAMETROS!B:B))</f>
        <v>012009006316</v>
      </c>
      <c r="C180">
        <f>IF(_xlfn.XLOOKUP(A180,PARAMETROS!A:A,PARAMETROS!C:C)=0,"",_xlfn.XLOOKUP(A180,PARAMETROS!A:A,PARAMETROS!C:C))</f>
        <v>12</v>
      </c>
      <c r="D180">
        <f>IF(_xlfn.XLOOKUP(A180,PARAMETROS!A:A,PARAMETROS!D:D)=0,"",_xlfn.XLOOKUP(A180,PARAMETROS!A:A,PARAMETROS!D:D))</f>
        <v>9</v>
      </c>
      <c r="E180" t="str">
        <f>IF(_xlfn.XLOOKUP('PREENCHIMENTO|LETIVAS'!A180,PARAMETROS!A:A,PARAMETROS!I:I)=0,"",_xlfn.XLOOKUP('PREENCHIMENTO|LETIVAS'!A180,PARAMETROS!A:A,PARAMETROS!I:I))</f>
        <v>PROFESSOR REGENTE</v>
      </c>
      <c r="F180" s="3" t="s">
        <v>31</v>
      </c>
      <c r="G180" s="3">
        <v>1</v>
      </c>
      <c r="H180" s="3" t="s">
        <v>63</v>
      </c>
      <c r="I180" s="3" t="s">
        <v>33</v>
      </c>
      <c r="J180" s="3" t="s">
        <v>1018</v>
      </c>
      <c r="K180" s="3"/>
      <c r="L180" s="19"/>
      <c r="W180">
        <f t="shared" si="2"/>
        <v>2</v>
      </c>
    </row>
    <row r="181" spans="1:23">
      <c r="A181" s="3" t="s">
        <v>599</v>
      </c>
      <c r="B181" t="str">
        <f>IF(_xlfn.XLOOKUP(A181,PARAMETROS!A:A,PARAMETROS!B:B)=0,"",_xlfn.XLOOKUP(A181,PARAMETROS!A:A,PARAMETROS!B:B))</f>
        <v>012009006316</v>
      </c>
      <c r="C181">
        <f>IF(_xlfn.XLOOKUP(A181,PARAMETROS!A:A,PARAMETROS!C:C)=0,"",_xlfn.XLOOKUP(A181,PARAMETROS!A:A,PARAMETROS!C:C))</f>
        <v>12</v>
      </c>
      <c r="D181">
        <f>IF(_xlfn.XLOOKUP(A181,PARAMETROS!A:A,PARAMETROS!D:D)=0,"",_xlfn.XLOOKUP(A181,PARAMETROS!A:A,PARAMETROS!D:D))</f>
        <v>9</v>
      </c>
      <c r="E181" t="str">
        <f>IF(_xlfn.XLOOKUP('PREENCHIMENTO|LETIVAS'!A181,PARAMETROS!A:A,PARAMETROS!I:I)=0,"",_xlfn.XLOOKUP('PREENCHIMENTO|LETIVAS'!A181,PARAMETROS!A:A,PARAMETROS!I:I))</f>
        <v>PROFESSOR REGENTE</v>
      </c>
      <c r="F181" s="3" t="s">
        <v>31</v>
      </c>
      <c r="G181" s="3">
        <v>2</v>
      </c>
      <c r="H181" s="3" t="s">
        <v>55</v>
      </c>
      <c r="I181" s="3" t="s">
        <v>40</v>
      </c>
      <c r="J181" s="3" t="s">
        <v>1019</v>
      </c>
      <c r="K181" s="3"/>
      <c r="L181" s="19"/>
      <c r="W181">
        <f t="shared" si="2"/>
        <v>2</v>
      </c>
    </row>
    <row r="182" spans="1:23">
      <c r="A182" s="3" t="s">
        <v>306</v>
      </c>
      <c r="B182" t="str">
        <f>IF(_xlfn.XLOOKUP(A182,PARAMETROS!A:A,PARAMETROS!B:B)=0,"",_xlfn.XLOOKUP(A182,PARAMETROS!A:A,PARAMETROS!B:B))</f>
        <v>012009006214</v>
      </c>
      <c r="C182">
        <f>IF(_xlfn.XLOOKUP(A182,PARAMETROS!A:A,PARAMETROS!C:C)=0,"",_xlfn.XLOOKUP(A182,PARAMETROS!A:A,PARAMETROS!C:C))</f>
        <v>12</v>
      </c>
      <c r="D182">
        <f>IF(_xlfn.XLOOKUP(A182,PARAMETROS!A:A,PARAMETROS!D:D)=0,"",_xlfn.XLOOKUP(A182,PARAMETROS!A:A,PARAMETROS!D:D))</f>
        <v>9</v>
      </c>
      <c r="E182" t="str">
        <f>IF(_xlfn.XLOOKUP('PREENCHIMENTO|LETIVAS'!A182,PARAMETROS!A:A,PARAMETROS!I:I)=0,"",_xlfn.XLOOKUP('PREENCHIMENTO|LETIVAS'!A182,PARAMETROS!A:A,PARAMETROS!I:I))</f>
        <v>PROFESSOR REGENTE</v>
      </c>
      <c r="F182" s="3" t="s">
        <v>31</v>
      </c>
      <c r="G182" s="3">
        <v>2</v>
      </c>
      <c r="H182" s="3" t="s">
        <v>39</v>
      </c>
      <c r="I182" s="3" t="s">
        <v>40</v>
      </c>
      <c r="J182" s="3" t="s">
        <v>1020</v>
      </c>
      <c r="K182" s="3"/>
      <c r="L182" s="19"/>
      <c r="W182">
        <f t="shared" si="2"/>
        <v>2</v>
      </c>
    </row>
    <row r="183" spans="1:23">
      <c r="A183" s="3" t="s">
        <v>410</v>
      </c>
      <c r="B183" t="str">
        <f>IF(_xlfn.XLOOKUP(A183,PARAMETROS!A:A,PARAMETROS!B:B)=0,"",_xlfn.XLOOKUP(A183,PARAMETROS!A:A,PARAMETROS!B:B))</f>
        <v>012009003848</v>
      </c>
      <c r="C183">
        <f>IF(_xlfn.XLOOKUP(A183,PARAMETROS!A:A,PARAMETROS!C:C)=0,"",_xlfn.XLOOKUP(A183,PARAMETROS!A:A,PARAMETROS!C:C))</f>
        <v>40</v>
      </c>
      <c r="D183">
        <f>IF(_xlfn.XLOOKUP(A183,PARAMETROS!A:A,PARAMETROS!D:D)=0,"",_xlfn.XLOOKUP(A183,PARAMETROS!A:A,PARAMETROS!D:D))</f>
        <v>4</v>
      </c>
      <c r="E183" t="str">
        <f>IF(_xlfn.XLOOKUP('PREENCHIMENTO|LETIVAS'!A183,PARAMETROS!A:A,PARAMETROS!I:I)=0,"",_xlfn.XLOOKUP('PREENCHIMENTO|LETIVAS'!A183,PARAMETROS!A:A,PARAMETROS!I:I))</f>
        <v>PROFESSOR DE ENSINO SUPERIOR EAD</v>
      </c>
      <c r="F183" s="3" t="s">
        <v>31</v>
      </c>
      <c r="G183" s="3">
        <v>2</v>
      </c>
      <c r="H183" s="3" t="s">
        <v>32</v>
      </c>
      <c r="I183" s="3" t="s">
        <v>40</v>
      </c>
      <c r="J183" s="3" t="s">
        <v>1021</v>
      </c>
      <c r="K183" s="3"/>
      <c r="L183" s="19"/>
      <c r="W183">
        <f t="shared" si="2"/>
        <v>2</v>
      </c>
    </row>
    <row r="184" spans="1:23">
      <c r="A184" s="3" t="s">
        <v>103</v>
      </c>
      <c r="B184" t="str">
        <f>IF(_xlfn.XLOOKUP(A184,PARAMETROS!A:A,PARAMETROS!B:B)=0,"",_xlfn.XLOOKUP(A184,PARAMETROS!A:A,PARAMETROS!B:B))</f>
        <v>012009003540</v>
      </c>
      <c r="C184">
        <f>IF(_xlfn.XLOOKUP(A184,PARAMETROS!A:A,PARAMETROS!C:C)=0,"",_xlfn.XLOOKUP(A184,PARAMETROS!A:A,PARAMETROS!C:C))</f>
        <v>40</v>
      </c>
      <c r="D184">
        <f>IF(_xlfn.XLOOKUP(A184,PARAMETROS!A:A,PARAMETROS!D:D)=0,"",_xlfn.XLOOKUP(A184,PARAMETROS!A:A,PARAMETROS!D:D))</f>
        <v>4</v>
      </c>
      <c r="E184" t="str">
        <f>IF(_xlfn.XLOOKUP('PREENCHIMENTO|LETIVAS'!A184,PARAMETROS!A:A,PARAMETROS!I:I)=0,"",_xlfn.XLOOKUP('PREENCHIMENTO|LETIVAS'!A184,PARAMETROS!A:A,PARAMETROS!I:I))</f>
        <v>PROFESSOR DE ENSINO SUPERIOR EAD</v>
      </c>
      <c r="F184" s="3" t="s">
        <v>31</v>
      </c>
      <c r="G184" s="3">
        <v>1</v>
      </c>
      <c r="H184" s="3" t="s">
        <v>55</v>
      </c>
      <c r="I184" s="3" t="s">
        <v>33</v>
      </c>
      <c r="J184" s="3" t="s">
        <v>1022</v>
      </c>
      <c r="K184" s="3"/>
      <c r="L184" s="19"/>
      <c r="W184">
        <f t="shared" si="2"/>
        <v>2</v>
      </c>
    </row>
    <row r="185" spans="1:23">
      <c r="A185" s="3" t="s">
        <v>103</v>
      </c>
      <c r="B185" t="str">
        <f>IF(_xlfn.XLOOKUP(A185,PARAMETROS!A:A,PARAMETROS!B:B)=0,"",_xlfn.XLOOKUP(A185,PARAMETROS!A:A,PARAMETROS!B:B))</f>
        <v>012009003540</v>
      </c>
      <c r="C185">
        <f>IF(_xlfn.XLOOKUP(A185,PARAMETROS!A:A,PARAMETROS!C:C)=0,"",_xlfn.XLOOKUP(A185,PARAMETROS!A:A,PARAMETROS!C:C))</f>
        <v>40</v>
      </c>
      <c r="D185">
        <f>IF(_xlfn.XLOOKUP(A185,PARAMETROS!A:A,PARAMETROS!D:D)=0,"",_xlfn.XLOOKUP(A185,PARAMETROS!A:A,PARAMETROS!D:D))</f>
        <v>4</v>
      </c>
      <c r="E185" t="str">
        <f>IF(_xlfn.XLOOKUP('PREENCHIMENTO|LETIVAS'!A185,PARAMETROS!A:A,PARAMETROS!I:I)=0,"",_xlfn.XLOOKUP('PREENCHIMENTO|LETIVAS'!A185,PARAMETROS!A:A,PARAMETROS!I:I))</f>
        <v>PROFESSOR DE ENSINO SUPERIOR EAD</v>
      </c>
      <c r="F185" s="3" t="s">
        <v>31</v>
      </c>
      <c r="G185" s="3">
        <v>2</v>
      </c>
      <c r="H185" s="3" t="s">
        <v>55</v>
      </c>
      <c r="I185" s="3" t="s">
        <v>33</v>
      </c>
      <c r="J185" s="3" t="s">
        <v>1023</v>
      </c>
      <c r="K185" s="3"/>
      <c r="L185" s="19"/>
      <c r="W185">
        <f t="shared" si="2"/>
        <v>2</v>
      </c>
    </row>
    <row r="186" spans="1:23">
      <c r="A186" s="3" t="s">
        <v>328</v>
      </c>
      <c r="B186" t="str">
        <f>IF(_xlfn.XLOOKUP(A186,PARAMETROS!A:A,PARAMETROS!B:B)=0,"",_xlfn.XLOOKUP(A186,PARAMETROS!A:A,PARAMETROS!B:B))</f>
        <v>012009003845</v>
      </c>
      <c r="C186">
        <f>IF(_xlfn.XLOOKUP(A186,PARAMETROS!A:A,PARAMETROS!C:C)=0,"",_xlfn.XLOOKUP(A186,PARAMETROS!A:A,PARAMETROS!C:C))</f>
        <v>20</v>
      </c>
      <c r="D186">
        <f>IF(_xlfn.XLOOKUP(A186,PARAMETROS!A:A,PARAMETROS!D:D)=0,"",_xlfn.XLOOKUP(A186,PARAMETROS!A:A,PARAMETROS!D:D))</f>
        <v>2</v>
      </c>
      <c r="E186" t="str">
        <f>IF(_xlfn.XLOOKUP('PREENCHIMENTO|LETIVAS'!A186,PARAMETROS!A:A,PARAMETROS!I:I)=0,"",_xlfn.XLOOKUP('PREENCHIMENTO|LETIVAS'!A186,PARAMETROS!A:A,PARAMETROS!I:I))</f>
        <v>PROFESSOR DE ENSINO SUPERIOR EAD</v>
      </c>
      <c r="F186" s="3" t="s">
        <v>31</v>
      </c>
      <c r="G186" s="3">
        <v>2</v>
      </c>
      <c r="H186" s="3" t="s">
        <v>63</v>
      </c>
      <c r="I186" s="3" t="s">
        <v>33</v>
      </c>
      <c r="J186" s="3" t="s">
        <v>1024</v>
      </c>
      <c r="K186" s="3"/>
      <c r="L186" s="19"/>
      <c r="W186">
        <f t="shared" si="2"/>
        <v>2</v>
      </c>
    </row>
    <row r="187" spans="1:23">
      <c r="A187" s="3" t="s">
        <v>438</v>
      </c>
      <c r="B187" t="str">
        <f>IF(_xlfn.XLOOKUP(A187,PARAMETROS!A:A,PARAMETROS!B:B)=0,"",_xlfn.XLOOKUP(A187,PARAMETROS!A:A,PARAMETROS!B:B))</f>
        <v>012009005913</v>
      </c>
      <c r="C187">
        <f>IF(_xlfn.XLOOKUP(A187,PARAMETROS!A:A,PARAMETROS!C:C)=0,"",_xlfn.XLOOKUP(A187,PARAMETROS!A:A,PARAMETROS!C:C))</f>
        <v>20</v>
      </c>
      <c r="D187">
        <f>IF(_xlfn.XLOOKUP(A187,PARAMETROS!A:A,PARAMETROS!D:D)=0,"",_xlfn.XLOOKUP(A187,PARAMETROS!A:A,PARAMETROS!D:D))</f>
        <v>2</v>
      </c>
      <c r="E187" t="str">
        <f>IF(_xlfn.XLOOKUP('PREENCHIMENTO|LETIVAS'!A187,PARAMETROS!A:A,PARAMETROS!I:I)=0,"",_xlfn.XLOOKUP('PREENCHIMENTO|LETIVAS'!A187,PARAMETROS!A:A,PARAMETROS!I:I))</f>
        <v>PROFESSOR DE ENSINO SUPERIOR EAD</v>
      </c>
      <c r="F187" s="3" t="s">
        <v>31</v>
      </c>
      <c r="G187" s="3" t="s">
        <v>54</v>
      </c>
      <c r="H187" s="3" t="s">
        <v>32</v>
      </c>
      <c r="I187" s="3" t="s">
        <v>33</v>
      </c>
      <c r="J187" s="3" t="s">
        <v>1025</v>
      </c>
      <c r="K187" s="3"/>
      <c r="L187" s="19"/>
      <c r="W187">
        <f t="shared" si="2"/>
        <v>2</v>
      </c>
    </row>
    <row r="188" spans="1:23">
      <c r="A188" s="3" t="s">
        <v>321</v>
      </c>
      <c r="B188" t="str">
        <f>IF(_xlfn.XLOOKUP(A188,PARAMETROS!A:A,PARAMETROS!B:B)=0,"",_xlfn.XLOOKUP(A188,PARAMETROS!A:A,PARAMETROS!B:B))</f>
        <v>012009003978</v>
      </c>
      <c r="C188">
        <f>IF(_xlfn.XLOOKUP(A188,PARAMETROS!A:A,PARAMETROS!C:C)=0,"",_xlfn.XLOOKUP(A188,PARAMETROS!A:A,PARAMETROS!C:C))</f>
        <v>40</v>
      </c>
      <c r="D188">
        <f>IF(_xlfn.XLOOKUP(A188,PARAMETROS!A:A,PARAMETROS!D:D)=0,"",_xlfn.XLOOKUP(A188,PARAMETROS!A:A,PARAMETROS!D:D))</f>
        <v>4</v>
      </c>
      <c r="E188" t="str">
        <f>IF(_xlfn.XLOOKUP('PREENCHIMENTO|LETIVAS'!A188,PARAMETROS!A:A,PARAMETROS!I:I)=0,"",_xlfn.XLOOKUP('PREENCHIMENTO|LETIVAS'!A188,PARAMETROS!A:A,PARAMETROS!I:I))</f>
        <v>PROFESSOR DE ENSINO SUPERIOR EAD</v>
      </c>
      <c r="F188" s="3" t="s">
        <v>31</v>
      </c>
      <c r="G188" s="3">
        <v>2</v>
      </c>
      <c r="H188" s="3" t="s">
        <v>32</v>
      </c>
      <c r="I188" s="3" t="s">
        <v>40</v>
      </c>
      <c r="J188" s="3" t="s">
        <v>1026</v>
      </c>
      <c r="K188" s="3"/>
      <c r="L188" s="19"/>
      <c r="W188">
        <f t="shared" si="2"/>
        <v>2</v>
      </c>
    </row>
    <row r="189" spans="1:23">
      <c r="A189" s="3" t="s">
        <v>626</v>
      </c>
      <c r="B189" t="str">
        <f>IF(_xlfn.XLOOKUP(A189,PARAMETROS!A:A,PARAMETROS!B:B)=0,"",_xlfn.XLOOKUP(A189,PARAMETROS!A:A,PARAMETROS!B:B))</f>
        <v>012009006277</v>
      </c>
      <c r="C189">
        <f>IF(_xlfn.XLOOKUP(A189,PARAMETROS!A:A,PARAMETROS!C:C)=0,"",_xlfn.XLOOKUP(A189,PARAMETROS!A:A,PARAMETROS!C:C))</f>
        <v>12</v>
      </c>
      <c r="D189">
        <f>IF(_xlfn.XLOOKUP(A189,PARAMETROS!A:A,PARAMETROS!D:D)=0,"",_xlfn.XLOOKUP(A189,PARAMETROS!A:A,PARAMETROS!D:D))</f>
        <v>9</v>
      </c>
      <c r="E189" t="str">
        <f>IF(_xlfn.XLOOKUP('PREENCHIMENTO|LETIVAS'!A189,PARAMETROS!A:A,PARAMETROS!I:I)=0,"",_xlfn.XLOOKUP('PREENCHIMENTO|LETIVAS'!A189,PARAMETROS!A:A,PARAMETROS!I:I))</f>
        <v>PROFESSOR REGENTE</v>
      </c>
      <c r="F189" s="3" t="s">
        <v>31</v>
      </c>
      <c r="G189" s="3">
        <v>2</v>
      </c>
      <c r="H189" s="3" t="s">
        <v>39</v>
      </c>
      <c r="I189" s="3" t="s">
        <v>40</v>
      </c>
      <c r="J189" s="3" t="s">
        <v>1027</v>
      </c>
      <c r="K189" s="3"/>
      <c r="L189" s="19"/>
      <c r="W189">
        <f t="shared" si="2"/>
        <v>2</v>
      </c>
    </row>
    <row r="190" spans="1:23">
      <c r="A190" s="3" t="s">
        <v>614</v>
      </c>
      <c r="B190" t="str">
        <f>IF(_xlfn.XLOOKUP(A190,PARAMETROS!A:A,PARAMETROS!B:B)=0,"",_xlfn.XLOOKUP(A190,PARAMETROS!A:A,PARAMETROS!B:B))</f>
        <v>012009006307</v>
      </c>
      <c r="C190">
        <f>IF(_xlfn.XLOOKUP(A190,PARAMETROS!A:A,PARAMETROS!C:C)=0,"",_xlfn.XLOOKUP(A190,PARAMETROS!A:A,PARAMETROS!C:C))</f>
        <v>12</v>
      </c>
      <c r="D190">
        <f>IF(_xlfn.XLOOKUP(A190,PARAMETROS!A:A,PARAMETROS!D:D)=0,"",_xlfn.XLOOKUP(A190,PARAMETROS!A:A,PARAMETROS!D:D))</f>
        <v>9</v>
      </c>
      <c r="E190" t="str">
        <f>IF(_xlfn.XLOOKUP('PREENCHIMENTO|LETIVAS'!A190,PARAMETROS!A:A,PARAMETROS!I:I)=0,"",_xlfn.XLOOKUP('PREENCHIMENTO|LETIVAS'!A190,PARAMETROS!A:A,PARAMETROS!I:I))</f>
        <v>PROFESSOR REGENTE</v>
      </c>
      <c r="F190" s="3" t="s">
        <v>31</v>
      </c>
      <c r="G190" s="3">
        <v>2</v>
      </c>
      <c r="H190" s="3" t="s">
        <v>39</v>
      </c>
      <c r="I190" s="3" t="s">
        <v>40</v>
      </c>
      <c r="J190" s="3" t="s">
        <v>1028</v>
      </c>
      <c r="K190" s="3"/>
      <c r="L190" s="19"/>
      <c r="W190">
        <f t="shared" si="2"/>
        <v>2</v>
      </c>
    </row>
    <row r="191" spans="1:23">
      <c r="A191" s="3" t="s">
        <v>279</v>
      </c>
      <c r="B191" t="str">
        <f>IF(_xlfn.XLOOKUP(A191,PARAMETROS!A:A,PARAMETROS!B:B)=0,"",_xlfn.XLOOKUP(A191,PARAMETROS!A:A,PARAMETROS!B:B))</f>
        <v>012009006189</v>
      </c>
      <c r="C191">
        <f>IF(_xlfn.XLOOKUP(A191,PARAMETROS!A:A,PARAMETROS!C:C)=0,"",_xlfn.XLOOKUP(A191,PARAMETROS!A:A,PARAMETROS!C:C))</f>
        <v>12</v>
      </c>
      <c r="D191">
        <f>IF(_xlfn.XLOOKUP(A191,PARAMETROS!A:A,PARAMETROS!D:D)=0,"",_xlfn.XLOOKUP(A191,PARAMETROS!A:A,PARAMETROS!D:D))</f>
        <v>9</v>
      </c>
      <c r="E191" t="str">
        <f>IF(_xlfn.XLOOKUP('PREENCHIMENTO|LETIVAS'!A191,PARAMETROS!A:A,PARAMETROS!I:I)=0,"",_xlfn.XLOOKUP('PREENCHIMENTO|LETIVAS'!A191,PARAMETROS!A:A,PARAMETROS!I:I))</f>
        <v>PROFESSOR REGENTE</v>
      </c>
      <c r="F191" s="3" t="s">
        <v>31</v>
      </c>
      <c r="G191" s="3">
        <v>2</v>
      </c>
      <c r="H191" s="3" t="s">
        <v>39</v>
      </c>
      <c r="I191" s="3" t="s">
        <v>33</v>
      </c>
      <c r="J191" s="3" t="s">
        <v>911</v>
      </c>
      <c r="K191" s="3"/>
      <c r="L191" s="19"/>
      <c r="W191">
        <f t="shared" si="2"/>
        <v>2</v>
      </c>
    </row>
    <row r="192" spans="1:23">
      <c r="A192" s="3" t="s">
        <v>279</v>
      </c>
      <c r="B192" t="str">
        <f>IF(_xlfn.XLOOKUP(A192,PARAMETROS!A:A,PARAMETROS!B:B)=0,"",_xlfn.XLOOKUP(A192,PARAMETROS!A:A,PARAMETROS!B:B))</f>
        <v>012009006189</v>
      </c>
      <c r="C192">
        <f>IF(_xlfn.XLOOKUP(A192,PARAMETROS!A:A,PARAMETROS!C:C)=0,"",_xlfn.XLOOKUP(A192,PARAMETROS!A:A,PARAMETROS!C:C))</f>
        <v>12</v>
      </c>
      <c r="D192">
        <f>IF(_xlfn.XLOOKUP(A192,PARAMETROS!A:A,PARAMETROS!D:D)=0,"",_xlfn.XLOOKUP(A192,PARAMETROS!A:A,PARAMETROS!D:D))</f>
        <v>9</v>
      </c>
      <c r="E192" t="str">
        <f>IF(_xlfn.XLOOKUP('PREENCHIMENTO|LETIVAS'!A192,PARAMETROS!A:A,PARAMETROS!I:I)=0,"",_xlfn.XLOOKUP('PREENCHIMENTO|LETIVAS'!A192,PARAMETROS!A:A,PARAMETROS!I:I))</f>
        <v>PROFESSOR REGENTE</v>
      </c>
      <c r="F192" s="3" t="s">
        <v>31</v>
      </c>
      <c r="G192" s="3">
        <v>2</v>
      </c>
      <c r="H192" s="3" t="s">
        <v>39</v>
      </c>
      <c r="I192" s="3" t="s">
        <v>40</v>
      </c>
      <c r="J192" s="3" t="s">
        <v>1029</v>
      </c>
      <c r="K192" s="3"/>
      <c r="L192" s="19"/>
      <c r="W192">
        <f t="shared" si="2"/>
        <v>2</v>
      </c>
    </row>
    <row r="193" spans="1:23">
      <c r="A193" s="3" t="s">
        <v>237</v>
      </c>
      <c r="B193" t="str">
        <f>IF(_xlfn.XLOOKUP(A193,PARAMETROS!A:A,PARAMETROS!B:B)=0,"",_xlfn.XLOOKUP(A193,PARAMETROS!A:A,PARAMETROS!B:B))</f>
        <v>012009006182</v>
      </c>
      <c r="C193">
        <f>IF(_xlfn.XLOOKUP(A193,PARAMETROS!A:A,PARAMETROS!C:C)=0,"",_xlfn.XLOOKUP(A193,PARAMETROS!A:A,PARAMETROS!C:C))</f>
        <v>12</v>
      </c>
      <c r="D193">
        <f>IF(_xlfn.XLOOKUP(A193,PARAMETROS!A:A,PARAMETROS!D:D)=0,"",_xlfn.XLOOKUP(A193,PARAMETROS!A:A,PARAMETROS!D:D))</f>
        <v>9</v>
      </c>
      <c r="E193" t="str">
        <f>IF(_xlfn.XLOOKUP('PREENCHIMENTO|LETIVAS'!A193,PARAMETROS!A:A,PARAMETROS!I:I)=0,"",_xlfn.XLOOKUP('PREENCHIMENTO|LETIVAS'!A193,PARAMETROS!A:A,PARAMETROS!I:I))</f>
        <v>PROFESSOR REGENTE</v>
      </c>
      <c r="F193" s="3" t="s">
        <v>31</v>
      </c>
      <c r="G193" s="3">
        <v>2</v>
      </c>
      <c r="H193" s="3" t="s">
        <v>39</v>
      </c>
      <c r="I193" s="3" t="s">
        <v>33</v>
      </c>
      <c r="J193" s="3" t="s">
        <v>1030</v>
      </c>
      <c r="K193" s="3"/>
      <c r="L193" s="19"/>
      <c r="W193">
        <f t="shared" si="2"/>
        <v>2</v>
      </c>
    </row>
    <row r="194" spans="1:23">
      <c r="A194" s="3" t="s">
        <v>237</v>
      </c>
      <c r="B194" t="str">
        <f>IF(_xlfn.XLOOKUP(A194,PARAMETROS!A:A,PARAMETROS!B:B)=0,"",_xlfn.XLOOKUP(A194,PARAMETROS!A:A,PARAMETROS!B:B))</f>
        <v>012009006182</v>
      </c>
      <c r="C194">
        <f>IF(_xlfn.XLOOKUP(A194,PARAMETROS!A:A,PARAMETROS!C:C)=0,"",_xlfn.XLOOKUP(A194,PARAMETROS!A:A,PARAMETROS!C:C))</f>
        <v>12</v>
      </c>
      <c r="D194">
        <f>IF(_xlfn.XLOOKUP(A194,PARAMETROS!A:A,PARAMETROS!D:D)=0,"",_xlfn.XLOOKUP(A194,PARAMETROS!A:A,PARAMETROS!D:D))</f>
        <v>9</v>
      </c>
      <c r="E194" t="str">
        <f>IF(_xlfn.XLOOKUP('PREENCHIMENTO|LETIVAS'!A194,PARAMETROS!A:A,PARAMETROS!I:I)=0,"",_xlfn.XLOOKUP('PREENCHIMENTO|LETIVAS'!A194,PARAMETROS!A:A,PARAMETROS!I:I))</f>
        <v>PROFESSOR REGENTE</v>
      </c>
      <c r="F194" s="3" t="s">
        <v>31</v>
      </c>
      <c r="G194" s="3">
        <v>1</v>
      </c>
      <c r="H194" s="3" t="s">
        <v>39</v>
      </c>
      <c r="I194" s="3" t="s">
        <v>40</v>
      </c>
      <c r="J194" s="3" t="s">
        <v>1031</v>
      </c>
      <c r="K194" s="3"/>
      <c r="L194" s="19"/>
      <c r="W194">
        <f t="shared" si="2"/>
        <v>2</v>
      </c>
    </row>
    <row r="195" spans="1:23">
      <c r="A195" s="3" t="s">
        <v>550</v>
      </c>
      <c r="B195" t="str">
        <f>IF(_xlfn.XLOOKUP(A195,PARAMETROS!A:A,PARAMETROS!B:B)=0,"",_xlfn.XLOOKUP(A195,PARAMETROS!A:A,PARAMETROS!B:B))</f>
        <v>012009003910</v>
      </c>
      <c r="C195">
        <f>IF(_xlfn.XLOOKUP(A195,PARAMETROS!A:A,PARAMETROS!C:C)=0,"",_xlfn.XLOOKUP(A195,PARAMETROS!A:A,PARAMETROS!C:C))</f>
        <v>40</v>
      </c>
      <c r="D195">
        <f>IF(_xlfn.XLOOKUP(A195,PARAMETROS!A:A,PARAMETROS!D:D)=0,"",_xlfn.XLOOKUP(A195,PARAMETROS!A:A,PARAMETROS!D:D))</f>
        <v>4</v>
      </c>
      <c r="E195" t="str">
        <f>IF(_xlfn.XLOOKUP('PREENCHIMENTO|LETIVAS'!A195,PARAMETROS!A:A,PARAMETROS!I:I)=0,"",_xlfn.XLOOKUP('PREENCHIMENTO|LETIVAS'!A195,PARAMETROS!A:A,PARAMETROS!I:I))</f>
        <v>PROFESSOR DE ENSINO SUPERIOR EAD</v>
      </c>
      <c r="F195" s="3" t="s">
        <v>31</v>
      </c>
      <c r="G195" s="3">
        <v>1</v>
      </c>
      <c r="H195" s="3" t="s">
        <v>63</v>
      </c>
      <c r="I195" s="3" t="s">
        <v>40</v>
      </c>
      <c r="J195" s="3" t="s">
        <v>1032</v>
      </c>
      <c r="K195" s="3"/>
      <c r="L195" s="19"/>
      <c r="W195">
        <f t="shared" si="2"/>
        <v>2</v>
      </c>
    </row>
    <row r="196" spans="1:23">
      <c r="A196" s="3" t="s">
        <v>550</v>
      </c>
      <c r="B196" t="str">
        <f>IF(_xlfn.XLOOKUP(A196,PARAMETROS!A:A,PARAMETROS!B:B)=0,"",_xlfn.XLOOKUP(A196,PARAMETROS!A:A,PARAMETROS!B:B))</f>
        <v>012009003910</v>
      </c>
      <c r="C196">
        <f>IF(_xlfn.XLOOKUP(A196,PARAMETROS!A:A,PARAMETROS!C:C)=0,"",_xlfn.XLOOKUP(A196,PARAMETROS!A:A,PARAMETROS!C:C))</f>
        <v>40</v>
      </c>
      <c r="D196">
        <f>IF(_xlfn.XLOOKUP(A196,PARAMETROS!A:A,PARAMETROS!D:D)=0,"",_xlfn.XLOOKUP(A196,PARAMETROS!A:A,PARAMETROS!D:D))</f>
        <v>4</v>
      </c>
      <c r="E196" t="str">
        <f>IF(_xlfn.XLOOKUP('PREENCHIMENTO|LETIVAS'!A196,PARAMETROS!A:A,PARAMETROS!I:I)=0,"",_xlfn.XLOOKUP('PREENCHIMENTO|LETIVAS'!A196,PARAMETROS!A:A,PARAMETROS!I:I))</f>
        <v>PROFESSOR DE ENSINO SUPERIOR EAD</v>
      </c>
      <c r="F196" s="3" t="s">
        <v>31</v>
      </c>
      <c r="G196" s="3">
        <v>1</v>
      </c>
      <c r="H196" s="3" t="s">
        <v>39</v>
      </c>
      <c r="I196" s="3" t="s">
        <v>33</v>
      </c>
      <c r="J196" s="3" t="s">
        <v>1033</v>
      </c>
      <c r="K196" s="3"/>
      <c r="L196" s="19"/>
      <c r="W196">
        <f t="shared" si="2"/>
        <v>2</v>
      </c>
    </row>
    <row r="197" spans="1:23">
      <c r="A197" s="3" t="s">
        <v>659</v>
      </c>
      <c r="B197" t="str">
        <f>IF(_xlfn.XLOOKUP(A197,PARAMETROS!A:A,PARAMETROS!B:B)=0,"",_xlfn.XLOOKUP(A197,PARAMETROS!A:A,PARAMETROS!B:B))</f>
        <v>012009002566</v>
      </c>
      <c r="C197">
        <f>IF(_xlfn.XLOOKUP(A197,PARAMETROS!A:A,PARAMETROS!C:C)=0,"",_xlfn.XLOOKUP(A197,PARAMETROS!A:A,PARAMETROS!C:C))</f>
        <v>40</v>
      </c>
      <c r="D197">
        <f>IF(_xlfn.XLOOKUP(A197,PARAMETROS!A:A,PARAMETROS!D:D)=0,"",_xlfn.XLOOKUP(A197,PARAMETROS!A:A,PARAMETROS!D:D))</f>
        <v>20</v>
      </c>
      <c r="E197" t="str">
        <f>IF(_xlfn.XLOOKUP('PREENCHIMENTO|LETIVAS'!A197,PARAMETROS!A:A,PARAMETROS!I:I)=0,"",_xlfn.XLOOKUP('PREENCHIMENTO|LETIVAS'!A197,PARAMETROS!A:A,PARAMETROS!I:I))</f>
        <v>PROFESSOR REGENTE</v>
      </c>
      <c r="F197" s="3" t="s">
        <v>31</v>
      </c>
      <c r="G197" s="3">
        <v>1</v>
      </c>
      <c r="H197" s="3" t="s">
        <v>55</v>
      </c>
      <c r="I197" s="3" t="s">
        <v>33</v>
      </c>
      <c r="J197" s="3" t="s">
        <v>1034</v>
      </c>
      <c r="K197" s="3"/>
      <c r="L197" s="19"/>
      <c r="W197" t="e">
        <f>IF(#REF!&lt;&gt;"",2,0)</f>
        <v>#REF!</v>
      </c>
    </row>
    <row r="198" spans="1:23">
      <c r="A198" s="3" t="s">
        <v>709</v>
      </c>
      <c r="B198" t="str">
        <f>IF(_xlfn.XLOOKUP(A198,PARAMETROS!A:A,PARAMETROS!B:B)=0,"",_xlfn.XLOOKUP(A198,PARAMETROS!A:A,PARAMETROS!B:B))</f>
        <v>012009006366</v>
      </c>
      <c r="C198">
        <f>IF(_xlfn.XLOOKUP(A198,PARAMETROS!A:A,PARAMETROS!C:C)=0,"",_xlfn.XLOOKUP(A198,PARAMETROS!A:A,PARAMETROS!C:C))</f>
        <v>12</v>
      </c>
      <c r="D198">
        <f>IF(_xlfn.XLOOKUP(A198,PARAMETROS!A:A,PARAMETROS!D:D)=0,"",_xlfn.XLOOKUP(A198,PARAMETROS!A:A,PARAMETROS!D:D))</f>
        <v>9</v>
      </c>
      <c r="E198" t="str">
        <f>IF(_xlfn.XLOOKUP('PREENCHIMENTO|LETIVAS'!A198,PARAMETROS!A:A,PARAMETROS!I:I)=0,"",_xlfn.XLOOKUP('PREENCHIMENTO|LETIVAS'!A198,PARAMETROS!A:A,PARAMETROS!I:I))</f>
        <v>PROFESSOR REGENTE</v>
      </c>
      <c r="F198" s="3" t="s">
        <v>31</v>
      </c>
      <c r="G198" s="3" t="s">
        <v>54</v>
      </c>
      <c r="H198" s="3" t="s">
        <v>63</v>
      </c>
      <c r="I198" s="3" t="s">
        <v>40</v>
      </c>
      <c r="J198" s="3" t="s">
        <v>1035</v>
      </c>
      <c r="K198" s="3" t="s">
        <v>1036</v>
      </c>
      <c r="L198" s="19" t="s">
        <v>1037</v>
      </c>
      <c r="W198">
        <f t="shared" si="2"/>
        <v>2</v>
      </c>
    </row>
    <row r="199" spans="1:23">
      <c r="A199" s="3" t="s">
        <v>368</v>
      </c>
      <c r="B199" t="str">
        <f>IF(_xlfn.XLOOKUP(A199,PARAMETROS!A:A,PARAMETROS!B:B)=0,"",_xlfn.XLOOKUP(A199,PARAMETROS!A:A,PARAMETROS!B:B))</f>
        <v>012009006194</v>
      </c>
      <c r="C199">
        <f>IF(_xlfn.XLOOKUP(A199,PARAMETROS!A:A,PARAMETROS!C:C)=0,"",_xlfn.XLOOKUP(A199,PARAMETROS!A:A,PARAMETROS!C:C))</f>
        <v>12</v>
      </c>
      <c r="D199">
        <f>IF(_xlfn.XLOOKUP(A199,PARAMETROS!A:A,PARAMETROS!D:D)=0,"",_xlfn.XLOOKUP(A199,PARAMETROS!A:A,PARAMETROS!D:D))</f>
        <v>9</v>
      </c>
      <c r="E199" t="str">
        <f>IF(_xlfn.XLOOKUP('PREENCHIMENTO|LETIVAS'!A199,PARAMETROS!A:A,PARAMETROS!I:I)=0,"",_xlfn.XLOOKUP('PREENCHIMENTO|LETIVAS'!A199,PARAMETROS!A:A,PARAMETROS!I:I))</f>
        <v>PROFESSOR REGENTE</v>
      </c>
      <c r="F199" s="3" t="s">
        <v>31</v>
      </c>
      <c r="G199" s="3" t="s">
        <v>54</v>
      </c>
      <c r="H199" s="3" t="s">
        <v>55</v>
      </c>
      <c r="I199" s="3" t="s">
        <v>33</v>
      </c>
      <c r="J199" s="3" t="s">
        <v>1038</v>
      </c>
      <c r="K199" s="3"/>
      <c r="L199" s="19"/>
      <c r="W199">
        <f t="shared" si="2"/>
        <v>2</v>
      </c>
    </row>
    <row r="200" spans="1:23">
      <c r="A200" s="3" t="s">
        <v>368</v>
      </c>
      <c r="B200" t="str">
        <f>IF(_xlfn.XLOOKUP(A200,PARAMETROS!A:A,PARAMETROS!B:B)=0,"",_xlfn.XLOOKUP(A200,PARAMETROS!A:A,PARAMETROS!B:B))</f>
        <v>012009006194</v>
      </c>
      <c r="C200">
        <f>IF(_xlfn.XLOOKUP(A200,PARAMETROS!A:A,PARAMETROS!C:C)=0,"",_xlfn.XLOOKUP(A200,PARAMETROS!A:A,PARAMETROS!C:C))</f>
        <v>12</v>
      </c>
      <c r="D200">
        <f>IF(_xlfn.XLOOKUP(A200,PARAMETROS!A:A,PARAMETROS!D:D)=0,"",_xlfn.XLOOKUP(A200,PARAMETROS!A:A,PARAMETROS!D:D))</f>
        <v>9</v>
      </c>
      <c r="E200" t="str">
        <f>IF(_xlfn.XLOOKUP('PREENCHIMENTO|LETIVAS'!A200,PARAMETROS!A:A,PARAMETROS!I:I)=0,"",_xlfn.XLOOKUP('PREENCHIMENTO|LETIVAS'!A200,PARAMETROS!A:A,PARAMETROS!I:I))</f>
        <v>PROFESSOR REGENTE</v>
      </c>
      <c r="F200" s="3" t="s">
        <v>31</v>
      </c>
      <c r="G200" s="3" t="s">
        <v>54</v>
      </c>
      <c r="H200" s="3" t="s">
        <v>55</v>
      </c>
      <c r="I200" s="3" t="s">
        <v>40</v>
      </c>
      <c r="J200" s="3" t="s">
        <v>1039</v>
      </c>
      <c r="K200" s="3"/>
      <c r="L200" s="19"/>
      <c r="W200">
        <f t="shared" si="2"/>
        <v>2</v>
      </c>
    </row>
    <row r="201" spans="1:23">
      <c r="A201" s="3" t="s">
        <v>258</v>
      </c>
      <c r="B201" t="str">
        <f>IF(_xlfn.XLOOKUP(A201,PARAMETROS!A:A,PARAMETROS!B:B)=0,"",_xlfn.XLOOKUP(A201,PARAMETROS!A:A,PARAMETROS!B:B))</f>
        <v>012009005549</v>
      </c>
      <c r="C201">
        <f>IF(_xlfn.XLOOKUP(A201,PARAMETROS!A:A,PARAMETROS!C:C)=0,"",_xlfn.XLOOKUP(A201,PARAMETROS!A:A,PARAMETROS!C:C))</f>
        <v>20</v>
      </c>
      <c r="D201">
        <f>IF(_xlfn.XLOOKUP(A201,PARAMETROS!A:A,PARAMETROS!D:D)=0,"",_xlfn.XLOOKUP(A201,PARAMETROS!A:A,PARAMETROS!D:D))</f>
        <v>2</v>
      </c>
      <c r="E201" t="str">
        <f>IF(_xlfn.XLOOKUP('PREENCHIMENTO|LETIVAS'!A201,PARAMETROS!A:A,PARAMETROS!I:I)=0,"",_xlfn.XLOOKUP('PREENCHIMENTO|LETIVAS'!A201,PARAMETROS!A:A,PARAMETROS!I:I))</f>
        <v>PROFESSOR DE ENSINO SUPERIOR EAD</v>
      </c>
      <c r="F201" s="3" t="s">
        <v>31</v>
      </c>
      <c r="G201" s="3" t="s">
        <v>54</v>
      </c>
      <c r="H201" s="3" t="s">
        <v>55</v>
      </c>
      <c r="I201" s="3" t="s">
        <v>33</v>
      </c>
      <c r="J201" s="3" t="s">
        <v>1040</v>
      </c>
      <c r="K201" s="3"/>
      <c r="L201" s="19"/>
      <c r="W201">
        <f t="shared" si="2"/>
        <v>2</v>
      </c>
    </row>
    <row r="202" spans="1:23">
      <c r="A202" s="3" t="s">
        <v>709</v>
      </c>
      <c r="B202" t="str">
        <f>IF(_xlfn.XLOOKUP(A202,PARAMETROS!A:A,PARAMETROS!B:B)=0,"",_xlfn.XLOOKUP(A202,PARAMETROS!A:A,PARAMETROS!B:B))</f>
        <v>012009006366</v>
      </c>
      <c r="C202">
        <f>IF(_xlfn.XLOOKUP(A202,PARAMETROS!A:A,PARAMETROS!C:C)=0,"",_xlfn.XLOOKUP(A202,PARAMETROS!A:A,PARAMETROS!C:C))</f>
        <v>12</v>
      </c>
      <c r="D202">
        <f>IF(_xlfn.XLOOKUP(A202,PARAMETROS!A:A,PARAMETROS!D:D)=0,"",_xlfn.XLOOKUP(A202,PARAMETROS!A:A,PARAMETROS!D:D))</f>
        <v>9</v>
      </c>
      <c r="E202" t="str">
        <f>IF(_xlfn.XLOOKUP('PREENCHIMENTO|LETIVAS'!A202,PARAMETROS!A:A,PARAMETROS!I:I)=0,"",_xlfn.XLOOKUP('PREENCHIMENTO|LETIVAS'!A202,PARAMETROS!A:A,PARAMETROS!I:I))</f>
        <v>PROFESSOR REGENTE</v>
      </c>
      <c r="F202" s="3" t="s">
        <v>31</v>
      </c>
      <c r="G202" s="3">
        <v>1</v>
      </c>
      <c r="H202" s="3" t="s">
        <v>39</v>
      </c>
      <c r="I202" s="3" t="s">
        <v>33</v>
      </c>
      <c r="J202" s="3" t="s">
        <v>1041</v>
      </c>
      <c r="K202" s="3" t="s">
        <v>1036</v>
      </c>
      <c r="L202" s="19" t="s">
        <v>1042</v>
      </c>
      <c r="W202">
        <f t="shared" si="2"/>
        <v>2</v>
      </c>
    </row>
    <row r="203" spans="1:23">
      <c r="A203" s="3" t="s">
        <v>709</v>
      </c>
      <c r="B203" t="str">
        <f>IF(_xlfn.XLOOKUP(A203,PARAMETROS!A:A,PARAMETROS!B:B)=0,"",_xlfn.XLOOKUP(A203,PARAMETROS!A:A,PARAMETROS!B:B))</f>
        <v>012009006366</v>
      </c>
      <c r="C203">
        <f>IF(_xlfn.XLOOKUP(A203,PARAMETROS!A:A,PARAMETROS!C:C)=0,"",_xlfn.XLOOKUP(A203,PARAMETROS!A:A,PARAMETROS!C:C))</f>
        <v>12</v>
      </c>
      <c r="D203">
        <f>IF(_xlfn.XLOOKUP(A203,PARAMETROS!A:A,PARAMETROS!D:D)=0,"",_xlfn.XLOOKUP(A203,PARAMETROS!A:A,PARAMETROS!D:D))</f>
        <v>9</v>
      </c>
      <c r="E203" t="str">
        <f>IF(_xlfn.XLOOKUP('PREENCHIMENTO|LETIVAS'!A203,PARAMETROS!A:A,PARAMETROS!I:I)=0,"",_xlfn.XLOOKUP('PREENCHIMENTO|LETIVAS'!A203,PARAMETROS!A:A,PARAMETROS!I:I))</f>
        <v>PROFESSOR REGENTE</v>
      </c>
      <c r="F203" s="3" t="s">
        <v>31</v>
      </c>
      <c r="G203" s="3" t="s">
        <v>54</v>
      </c>
      <c r="H203" s="3" t="s">
        <v>39</v>
      </c>
      <c r="I203" s="3" t="s">
        <v>33</v>
      </c>
      <c r="J203" s="3" t="s">
        <v>1043</v>
      </c>
      <c r="K203" s="3"/>
      <c r="L203" s="19"/>
      <c r="W203">
        <f t="shared" ref="W203:W266" si="3">IF(I203&lt;&gt;"",2,0)</f>
        <v>2</v>
      </c>
    </row>
    <row r="204" spans="1:23">
      <c r="A204" s="3" t="s">
        <v>356</v>
      </c>
      <c r="B204" t="str">
        <f>IF(_xlfn.XLOOKUP(A204,PARAMETROS!A:A,PARAMETROS!B:B)=0,"",_xlfn.XLOOKUP(A204,PARAMETROS!A:A,PARAMETROS!B:B))</f>
        <v>012009005582</v>
      </c>
      <c r="C204">
        <f>IF(_xlfn.XLOOKUP(A204,PARAMETROS!A:A,PARAMETROS!C:C)=0,"",_xlfn.XLOOKUP(A204,PARAMETROS!A:A,PARAMETROS!C:C))</f>
        <v>40</v>
      </c>
      <c r="D204">
        <f>IF(_xlfn.XLOOKUP(A204,PARAMETROS!A:A,PARAMETROS!D:D)=0,"",_xlfn.XLOOKUP(A204,PARAMETROS!A:A,PARAMETROS!D:D))</f>
        <v>4</v>
      </c>
      <c r="E204" t="str">
        <f>IF(_xlfn.XLOOKUP('PREENCHIMENTO|LETIVAS'!A204,PARAMETROS!A:A,PARAMETROS!I:I)=0,"",_xlfn.XLOOKUP('PREENCHIMENTO|LETIVAS'!A204,PARAMETROS!A:A,PARAMETROS!I:I))</f>
        <v>PROFESSOR DE ENSINO SUPERIOR EAD</v>
      </c>
      <c r="F204" s="3" t="s">
        <v>31</v>
      </c>
      <c r="G204" s="3">
        <v>1</v>
      </c>
      <c r="H204" s="3" t="s">
        <v>39</v>
      </c>
      <c r="I204" s="3" t="s">
        <v>33</v>
      </c>
      <c r="J204" s="3" t="s">
        <v>1044</v>
      </c>
      <c r="K204" s="3"/>
      <c r="L204" s="19"/>
      <c r="W204">
        <f t="shared" si="3"/>
        <v>2</v>
      </c>
    </row>
    <row r="205" spans="1:23">
      <c r="A205" s="3" t="s">
        <v>252</v>
      </c>
      <c r="B205" t="str">
        <f>IF(_xlfn.XLOOKUP(A205,PARAMETROS!A:A,PARAMETROS!B:B)=0,"",_xlfn.XLOOKUP(A205,PARAMETROS!A:A,PARAMETROS!B:B))</f>
        <v>012009003544</v>
      </c>
      <c r="C205">
        <f>IF(_xlfn.XLOOKUP(A205,PARAMETROS!A:A,PARAMETROS!C:C)=0,"",_xlfn.XLOOKUP(A205,PARAMETROS!A:A,PARAMETROS!C:C))</f>
        <v>20</v>
      </c>
      <c r="D205">
        <f>IF(_xlfn.XLOOKUP(A205,PARAMETROS!A:A,PARAMETROS!D:D)=0,"",_xlfn.XLOOKUP(A205,PARAMETROS!A:A,PARAMETROS!D:D))</f>
        <v>2</v>
      </c>
      <c r="E205" t="str">
        <f>IF(_xlfn.XLOOKUP('PREENCHIMENTO|LETIVAS'!A205,PARAMETROS!A:A,PARAMETROS!I:I)=0,"",_xlfn.XLOOKUP('PREENCHIMENTO|LETIVAS'!A205,PARAMETROS!A:A,PARAMETROS!I:I))</f>
        <v>PROFESSOR DE ENSINO SUPERIOR EAD</v>
      </c>
      <c r="F205" s="3" t="s">
        <v>31</v>
      </c>
      <c r="G205" s="3">
        <v>2</v>
      </c>
      <c r="H205" s="3" t="s">
        <v>39</v>
      </c>
      <c r="I205" s="3" t="s">
        <v>40</v>
      </c>
      <c r="J205" s="3" t="s">
        <v>1045</v>
      </c>
      <c r="K205" s="3"/>
      <c r="L205" s="19"/>
      <c r="W205">
        <f t="shared" si="3"/>
        <v>2</v>
      </c>
    </row>
    <row r="206" spans="1:23">
      <c r="A206" s="3" t="s">
        <v>541</v>
      </c>
      <c r="B206" t="str">
        <f>IF(_xlfn.XLOOKUP(A206,PARAMETROS!A:A,PARAMETROS!B:B)=0,"",_xlfn.XLOOKUP(A206,PARAMETROS!A:A,PARAMETROS!B:B))</f>
        <v>012009003731</v>
      </c>
      <c r="C206">
        <f>IF(_xlfn.XLOOKUP(A206,PARAMETROS!A:A,PARAMETROS!C:C)=0,"",_xlfn.XLOOKUP(A206,PARAMETROS!A:A,PARAMETROS!C:C))</f>
        <v>20</v>
      </c>
      <c r="D206">
        <f>IF(_xlfn.XLOOKUP(A206,PARAMETROS!A:A,PARAMETROS!D:D)=0,"",_xlfn.XLOOKUP(A206,PARAMETROS!A:A,PARAMETROS!D:D))</f>
        <v>2</v>
      </c>
      <c r="E206" t="str">
        <f>IF(_xlfn.XLOOKUP('PREENCHIMENTO|LETIVAS'!A206,PARAMETROS!A:A,PARAMETROS!I:I)=0,"",_xlfn.XLOOKUP('PREENCHIMENTO|LETIVAS'!A206,PARAMETROS!A:A,PARAMETROS!I:I))</f>
        <v>PROFESSOR DE ENSINO SUPERIOR EAD</v>
      </c>
      <c r="F206" s="3" t="s">
        <v>31</v>
      </c>
      <c r="G206" s="3">
        <v>2</v>
      </c>
      <c r="H206" s="3" t="s">
        <v>63</v>
      </c>
      <c r="I206" s="3" t="s">
        <v>33</v>
      </c>
      <c r="J206" s="13" t="s">
        <v>1046</v>
      </c>
      <c r="K206" s="3"/>
      <c r="L206" s="19"/>
      <c r="W206">
        <f t="shared" si="3"/>
        <v>2</v>
      </c>
    </row>
    <row r="207" spans="1:23">
      <c r="A207" s="3" t="s">
        <v>541</v>
      </c>
      <c r="B207" t="str">
        <f>IF(_xlfn.XLOOKUP(A207,PARAMETROS!A:A,PARAMETROS!B:B)=0,"",_xlfn.XLOOKUP(A207,PARAMETROS!A:A,PARAMETROS!B:B))</f>
        <v>012009003731</v>
      </c>
      <c r="C207">
        <f>IF(_xlfn.XLOOKUP(A207,PARAMETROS!A:A,PARAMETROS!C:C)=0,"",_xlfn.XLOOKUP(A207,PARAMETROS!A:A,PARAMETROS!C:C))</f>
        <v>20</v>
      </c>
      <c r="D207">
        <f>IF(_xlfn.XLOOKUP(A207,PARAMETROS!A:A,PARAMETROS!D:D)=0,"",_xlfn.XLOOKUP(A207,PARAMETROS!A:A,PARAMETROS!D:D))</f>
        <v>2</v>
      </c>
      <c r="E207" t="str">
        <f>IF(_xlfn.XLOOKUP('PREENCHIMENTO|LETIVAS'!A207,PARAMETROS!A:A,PARAMETROS!I:I)=0,"",_xlfn.XLOOKUP('PREENCHIMENTO|LETIVAS'!A207,PARAMETROS!A:A,PARAMETROS!I:I))</f>
        <v>PROFESSOR DE ENSINO SUPERIOR EAD</v>
      </c>
      <c r="F207" s="3" t="s">
        <v>31</v>
      </c>
      <c r="G207" s="3">
        <v>1</v>
      </c>
      <c r="H207" s="3" t="s">
        <v>63</v>
      </c>
      <c r="I207" s="3" t="s">
        <v>40</v>
      </c>
      <c r="J207" s="3" t="s">
        <v>1047</v>
      </c>
      <c r="K207" s="3"/>
      <c r="L207" s="19"/>
      <c r="W207">
        <f t="shared" si="3"/>
        <v>2</v>
      </c>
    </row>
    <row r="208" spans="1:23">
      <c r="A208" s="3" t="s">
        <v>559</v>
      </c>
      <c r="B208" t="str">
        <f>IF(_xlfn.XLOOKUP(A208,PARAMETROS!A:A,PARAMETROS!B:B)=0,"",_xlfn.XLOOKUP(A208,PARAMETROS!A:A,PARAMETROS!B:B))</f>
        <v>012009006260</v>
      </c>
      <c r="C208">
        <f>IF(_xlfn.XLOOKUP(A208,PARAMETROS!A:A,PARAMETROS!C:C)=0,"",_xlfn.XLOOKUP(A208,PARAMETROS!A:A,PARAMETROS!C:C))</f>
        <v>12</v>
      </c>
      <c r="D208">
        <f>IF(_xlfn.XLOOKUP(A208,PARAMETROS!A:A,PARAMETROS!D:D)=0,"",_xlfn.XLOOKUP(A208,PARAMETROS!A:A,PARAMETROS!D:D))</f>
        <v>9</v>
      </c>
      <c r="E208" t="str">
        <f>IF(_xlfn.XLOOKUP('PREENCHIMENTO|LETIVAS'!A208,PARAMETROS!A:A,PARAMETROS!I:I)=0,"",_xlfn.XLOOKUP('PREENCHIMENTO|LETIVAS'!A208,PARAMETROS!A:A,PARAMETROS!I:I))</f>
        <v>PROFESSOR REGENTE</v>
      </c>
      <c r="F208" s="3" t="s">
        <v>31</v>
      </c>
      <c r="G208" s="3">
        <v>2</v>
      </c>
      <c r="H208" s="3" t="s">
        <v>63</v>
      </c>
      <c r="I208" s="3" t="s">
        <v>33</v>
      </c>
      <c r="J208" s="3" t="s">
        <v>1048</v>
      </c>
      <c r="K208" s="3"/>
      <c r="L208" s="19"/>
      <c r="W208">
        <f t="shared" si="3"/>
        <v>2</v>
      </c>
    </row>
    <row r="209" spans="1:23">
      <c r="A209" s="3" t="s">
        <v>559</v>
      </c>
      <c r="B209" t="str">
        <f>IF(_xlfn.XLOOKUP(A209,PARAMETROS!A:A,PARAMETROS!B:B)=0,"",_xlfn.XLOOKUP(A209,PARAMETROS!A:A,PARAMETROS!B:B))</f>
        <v>012009006260</v>
      </c>
      <c r="C209">
        <f>IF(_xlfn.XLOOKUP(A209,PARAMETROS!A:A,PARAMETROS!C:C)=0,"",_xlfn.XLOOKUP(A209,PARAMETROS!A:A,PARAMETROS!C:C))</f>
        <v>12</v>
      </c>
      <c r="D209">
        <f>IF(_xlfn.XLOOKUP(A209,PARAMETROS!A:A,PARAMETROS!D:D)=0,"",_xlfn.XLOOKUP(A209,PARAMETROS!A:A,PARAMETROS!D:D))</f>
        <v>9</v>
      </c>
      <c r="E209" t="str">
        <f>IF(_xlfn.XLOOKUP('PREENCHIMENTO|LETIVAS'!A209,PARAMETROS!A:A,PARAMETROS!I:I)=0,"",_xlfn.XLOOKUP('PREENCHIMENTO|LETIVAS'!A209,PARAMETROS!A:A,PARAMETROS!I:I))</f>
        <v>PROFESSOR REGENTE</v>
      </c>
      <c r="F209" s="3" t="s">
        <v>31</v>
      </c>
      <c r="G209" s="3">
        <v>1</v>
      </c>
      <c r="H209" s="3" t="s">
        <v>63</v>
      </c>
      <c r="I209" s="3" t="s">
        <v>33</v>
      </c>
      <c r="J209" s="3" t="s">
        <v>1049</v>
      </c>
      <c r="K209" s="3"/>
      <c r="L209" s="19"/>
      <c r="W209">
        <f t="shared" si="3"/>
        <v>2</v>
      </c>
    </row>
    <row r="210" spans="1:23">
      <c r="A210" s="3" t="s">
        <v>490</v>
      </c>
      <c r="B210" t="str">
        <f>IF(_xlfn.XLOOKUP(A210,PARAMETROS!A:A,PARAMETROS!B:B)=0,"",_xlfn.XLOOKUP(A210,PARAMETROS!A:A,PARAMETROS!B:B))</f>
        <v>012009004723</v>
      </c>
      <c r="C210">
        <f>IF(_xlfn.XLOOKUP(A210,PARAMETROS!A:A,PARAMETROS!C:C)=0,"",_xlfn.XLOOKUP(A210,PARAMETROS!A:A,PARAMETROS!C:C))</f>
        <v>20</v>
      </c>
      <c r="D210">
        <f>IF(_xlfn.XLOOKUP(A210,PARAMETROS!A:A,PARAMETROS!D:D)=0,"",_xlfn.XLOOKUP(A210,PARAMETROS!A:A,PARAMETROS!D:D))</f>
        <v>2</v>
      </c>
      <c r="E210" t="str">
        <f>IF(_xlfn.XLOOKUP('PREENCHIMENTO|LETIVAS'!A210,PARAMETROS!A:A,PARAMETROS!I:I)=0,"",_xlfn.XLOOKUP('PREENCHIMENTO|LETIVAS'!A210,PARAMETROS!A:A,PARAMETROS!I:I))</f>
        <v>PROFESSOR DE ENSINO SUPERIOR EAD</v>
      </c>
      <c r="F210" s="3" t="s">
        <v>31</v>
      </c>
      <c r="G210" s="3">
        <v>2</v>
      </c>
      <c r="H210" s="3" t="s">
        <v>63</v>
      </c>
      <c r="I210" s="3" t="s">
        <v>33</v>
      </c>
      <c r="J210" s="3" t="s">
        <v>1050</v>
      </c>
      <c r="K210" s="3"/>
      <c r="L210" s="19"/>
      <c r="W210">
        <f t="shared" si="3"/>
        <v>2</v>
      </c>
    </row>
    <row r="211" spans="1:23">
      <c r="A211" s="3" t="s">
        <v>563</v>
      </c>
      <c r="B211" t="str">
        <f>IF(_xlfn.XLOOKUP(A211,PARAMETROS!A:A,PARAMETROS!B:B)=0,"",_xlfn.XLOOKUP(A211,PARAMETROS!A:A,PARAMETROS!B:B))</f>
        <v>012009006246</v>
      </c>
      <c r="C211">
        <f>IF(_xlfn.XLOOKUP(A211,PARAMETROS!A:A,PARAMETROS!C:C)=0,"",_xlfn.XLOOKUP(A211,PARAMETROS!A:A,PARAMETROS!C:C))</f>
        <v>12</v>
      </c>
      <c r="D211">
        <f>IF(_xlfn.XLOOKUP(A211,PARAMETROS!A:A,PARAMETROS!D:D)=0,"",_xlfn.XLOOKUP(A211,PARAMETROS!A:A,PARAMETROS!D:D))</f>
        <v>9</v>
      </c>
      <c r="E211" t="str">
        <f>IF(_xlfn.XLOOKUP('PREENCHIMENTO|LETIVAS'!A211,PARAMETROS!A:A,PARAMETROS!I:I)=0,"",_xlfn.XLOOKUP('PREENCHIMENTO|LETIVAS'!A211,PARAMETROS!A:A,PARAMETROS!I:I))</f>
        <v>PROFESSOR REGENTE</v>
      </c>
      <c r="F211" s="3" t="s">
        <v>31</v>
      </c>
      <c r="G211" s="3">
        <v>2</v>
      </c>
      <c r="H211" s="3" t="s">
        <v>39</v>
      </c>
      <c r="I211" s="3" t="s">
        <v>40</v>
      </c>
      <c r="J211" s="3" t="s">
        <v>1051</v>
      </c>
      <c r="K211" s="3"/>
      <c r="L211" s="19"/>
      <c r="W211">
        <f t="shared" si="3"/>
        <v>2</v>
      </c>
    </row>
    <row r="212" spans="1:23">
      <c r="A212" s="3" t="s">
        <v>563</v>
      </c>
      <c r="B212" t="str">
        <f>IF(_xlfn.XLOOKUP(A212,PARAMETROS!A:A,PARAMETROS!B:B)=0,"",_xlfn.XLOOKUP(A212,PARAMETROS!A:A,PARAMETROS!B:B))</f>
        <v>012009006246</v>
      </c>
      <c r="C212">
        <f>IF(_xlfn.XLOOKUP(A212,PARAMETROS!A:A,PARAMETROS!C:C)=0,"",_xlfn.XLOOKUP(A212,PARAMETROS!A:A,PARAMETROS!C:C))</f>
        <v>12</v>
      </c>
      <c r="D212">
        <f>IF(_xlfn.XLOOKUP(A212,PARAMETROS!A:A,PARAMETROS!D:D)=0,"",_xlfn.XLOOKUP(A212,PARAMETROS!A:A,PARAMETROS!D:D))</f>
        <v>9</v>
      </c>
      <c r="E212" t="str">
        <f>IF(_xlfn.XLOOKUP('PREENCHIMENTO|LETIVAS'!A212,PARAMETROS!A:A,PARAMETROS!I:I)=0,"",_xlfn.XLOOKUP('PREENCHIMENTO|LETIVAS'!A212,PARAMETROS!A:A,PARAMETROS!I:I))</f>
        <v>PROFESSOR REGENTE</v>
      </c>
      <c r="F212" s="3" t="s">
        <v>31</v>
      </c>
      <c r="G212" s="3">
        <v>2</v>
      </c>
      <c r="H212" s="3" t="s">
        <v>55</v>
      </c>
      <c r="I212" s="3" t="s">
        <v>40</v>
      </c>
      <c r="J212" s="3" t="s">
        <v>1051</v>
      </c>
      <c r="K212" s="3"/>
      <c r="L212" s="19"/>
      <c r="W212">
        <f t="shared" si="3"/>
        <v>2</v>
      </c>
    </row>
    <row r="213" spans="1:23">
      <c r="A213" s="3" t="s">
        <v>529</v>
      </c>
      <c r="B213" t="str">
        <f>IF(_xlfn.XLOOKUP(A213,PARAMETROS!A:A,PARAMETROS!B:B)=0,"",_xlfn.XLOOKUP(A213,PARAMETROS!A:A,PARAMETROS!B:B))</f>
        <v>012009006227</v>
      </c>
      <c r="C213">
        <f>IF(_xlfn.XLOOKUP(A213,PARAMETROS!A:A,PARAMETROS!C:C)=0,"",_xlfn.XLOOKUP(A213,PARAMETROS!A:A,PARAMETROS!C:C))</f>
        <v>12</v>
      </c>
      <c r="D213">
        <f>IF(_xlfn.XLOOKUP(A213,PARAMETROS!A:A,PARAMETROS!D:D)=0,"",_xlfn.XLOOKUP(A213,PARAMETROS!A:A,PARAMETROS!D:D))</f>
        <v>9</v>
      </c>
      <c r="E213" t="str">
        <f>IF(_xlfn.XLOOKUP('PREENCHIMENTO|LETIVAS'!A213,PARAMETROS!A:A,PARAMETROS!I:I)=0,"",_xlfn.XLOOKUP('PREENCHIMENTO|LETIVAS'!A213,PARAMETROS!A:A,PARAMETROS!I:I))</f>
        <v>PROFESSOR REGENTE</v>
      </c>
      <c r="F213" s="3" t="s">
        <v>31</v>
      </c>
      <c r="G213" s="3">
        <v>1</v>
      </c>
      <c r="H213" s="3" t="s">
        <v>63</v>
      </c>
      <c r="I213" s="3" t="s">
        <v>33</v>
      </c>
      <c r="J213" s="3" t="s">
        <v>1052</v>
      </c>
      <c r="K213" s="3"/>
      <c r="L213" s="19"/>
      <c r="W213">
        <f t="shared" si="3"/>
        <v>2</v>
      </c>
    </row>
    <row r="214" spans="1:23">
      <c r="A214" s="3" t="s">
        <v>529</v>
      </c>
      <c r="B214" t="str">
        <f>IF(_xlfn.XLOOKUP(A214,PARAMETROS!A:A,PARAMETROS!B:B)=0,"",_xlfn.XLOOKUP(A214,PARAMETROS!A:A,PARAMETROS!B:B))</f>
        <v>012009006227</v>
      </c>
      <c r="C214">
        <f>IF(_xlfn.XLOOKUP(A214,PARAMETROS!A:A,PARAMETROS!C:C)=0,"",_xlfn.XLOOKUP(A214,PARAMETROS!A:A,PARAMETROS!C:C))</f>
        <v>12</v>
      </c>
      <c r="D214">
        <f>IF(_xlfn.XLOOKUP(A214,PARAMETROS!A:A,PARAMETROS!D:D)=0,"",_xlfn.XLOOKUP(A214,PARAMETROS!A:A,PARAMETROS!D:D))</f>
        <v>9</v>
      </c>
      <c r="E214" t="str">
        <f>IF(_xlfn.XLOOKUP('PREENCHIMENTO|LETIVAS'!A214,PARAMETROS!A:A,PARAMETROS!I:I)=0,"",_xlfn.XLOOKUP('PREENCHIMENTO|LETIVAS'!A214,PARAMETROS!A:A,PARAMETROS!I:I))</f>
        <v>PROFESSOR REGENTE</v>
      </c>
      <c r="F214" s="3" t="s">
        <v>31</v>
      </c>
      <c r="G214" s="3">
        <v>2</v>
      </c>
      <c r="H214" s="3" t="s">
        <v>39</v>
      </c>
      <c r="I214" s="3" t="s">
        <v>33</v>
      </c>
      <c r="J214" s="3" t="s">
        <v>1053</v>
      </c>
      <c r="K214" s="3"/>
      <c r="L214" s="19"/>
      <c r="W214">
        <f t="shared" si="3"/>
        <v>2</v>
      </c>
    </row>
    <row r="215" spans="1:23">
      <c r="A215" s="3" t="s">
        <v>192</v>
      </c>
      <c r="B215" t="str">
        <f>IF(_xlfn.XLOOKUP(A215,PARAMETROS!A:A,PARAMETROS!B:B)=0,"",_xlfn.XLOOKUP(A215,PARAMETROS!A:A,PARAMETROS!B:B))</f>
        <v>012009006205</v>
      </c>
      <c r="C215">
        <f>IF(_xlfn.XLOOKUP(A215,PARAMETROS!A:A,PARAMETROS!C:C)=0,"",_xlfn.XLOOKUP(A215,PARAMETROS!A:A,PARAMETROS!C:C))</f>
        <v>12</v>
      </c>
      <c r="D215">
        <f>IF(_xlfn.XLOOKUP(A215,PARAMETROS!A:A,PARAMETROS!D:D)=0,"",_xlfn.XLOOKUP(A215,PARAMETROS!A:A,PARAMETROS!D:D))</f>
        <v>9</v>
      </c>
      <c r="E215" t="str">
        <f>IF(_xlfn.XLOOKUP('PREENCHIMENTO|LETIVAS'!A215,PARAMETROS!A:A,PARAMETROS!I:I)=0,"",_xlfn.XLOOKUP('PREENCHIMENTO|LETIVAS'!A215,PARAMETROS!A:A,PARAMETROS!I:I))</f>
        <v>PROFESSOR REGENTE</v>
      </c>
      <c r="F215" s="3" t="s">
        <v>31</v>
      </c>
      <c r="G215" s="3">
        <v>1</v>
      </c>
      <c r="H215" s="3" t="s">
        <v>39</v>
      </c>
      <c r="I215" s="3" t="s">
        <v>33</v>
      </c>
      <c r="J215" s="3" t="s">
        <v>1054</v>
      </c>
      <c r="K215" s="3"/>
      <c r="L215" s="19"/>
      <c r="W215">
        <f t="shared" si="3"/>
        <v>2</v>
      </c>
    </row>
    <row r="216" spans="1:23">
      <c r="A216" s="3" t="s">
        <v>192</v>
      </c>
      <c r="B216" t="str">
        <f>IF(_xlfn.XLOOKUP(A216,PARAMETROS!A:A,PARAMETROS!B:B)=0,"",_xlfn.XLOOKUP(A216,PARAMETROS!A:A,PARAMETROS!B:B))</f>
        <v>012009006205</v>
      </c>
      <c r="C216">
        <f>IF(_xlfn.XLOOKUP(A216,PARAMETROS!A:A,PARAMETROS!C:C)=0,"",_xlfn.XLOOKUP(A216,PARAMETROS!A:A,PARAMETROS!C:C))</f>
        <v>12</v>
      </c>
      <c r="D216">
        <f>IF(_xlfn.XLOOKUP(A216,PARAMETROS!A:A,PARAMETROS!D:D)=0,"",_xlfn.XLOOKUP(A216,PARAMETROS!A:A,PARAMETROS!D:D))</f>
        <v>9</v>
      </c>
      <c r="E216" t="str">
        <f>IF(_xlfn.XLOOKUP('PREENCHIMENTO|LETIVAS'!A216,PARAMETROS!A:A,PARAMETROS!I:I)=0,"",_xlfn.XLOOKUP('PREENCHIMENTO|LETIVAS'!A216,PARAMETROS!A:A,PARAMETROS!I:I))</f>
        <v>PROFESSOR REGENTE</v>
      </c>
      <c r="F216" s="3" t="s">
        <v>31</v>
      </c>
      <c r="G216" s="3">
        <v>2</v>
      </c>
      <c r="H216" s="3" t="s">
        <v>39</v>
      </c>
      <c r="I216" s="3" t="s">
        <v>40</v>
      </c>
      <c r="J216" s="3" t="s">
        <v>1055</v>
      </c>
      <c r="K216" s="3"/>
      <c r="L216" s="19"/>
      <c r="W216">
        <f t="shared" si="3"/>
        <v>2</v>
      </c>
    </row>
    <row r="217" spans="1:23">
      <c r="A217" s="3" t="s">
        <v>337</v>
      </c>
      <c r="B217" t="str">
        <f>IF(_xlfn.XLOOKUP(A217,PARAMETROS!A:A,PARAMETROS!B:B)=0,"",_xlfn.XLOOKUP(A217,PARAMETROS!A:A,PARAMETROS!B:B))</f>
        <v>012009006216</v>
      </c>
      <c r="C217">
        <f>IF(_xlfn.XLOOKUP(A217,PARAMETROS!A:A,PARAMETROS!C:C)=0,"",_xlfn.XLOOKUP(A217,PARAMETROS!A:A,PARAMETROS!C:C))</f>
        <v>12</v>
      </c>
      <c r="D217">
        <f>IF(_xlfn.XLOOKUP(A217,PARAMETROS!A:A,PARAMETROS!D:D)=0,"",_xlfn.XLOOKUP(A217,PARAMETROS!A:A,PARAMETROS!D:D))</f>
        <v>9</v>
      </c>
      <c r="E217" t="str">
        <f>IF(_xlfn.XLOOKUP('PREENCHIMENTO|LETIVAS'!A217,PARAMETROS!A:A,PARAMETROS!I:I)=0,"",_xlfn.XLOOKUP('PREENCHIMENTO|LETIVAS'!A217,PARAMETROS!A:A,PARAMETROS!I:I))</f>
        <v>PROFESSOR REGENTE</v>
      </c>
      <c r="F217" s="3" t="s">
        <v>31</v>
      </c>
      <c r="G217" s="3">
        <v>2</v>
      </c>
      <c r="H217" s="3" t="s">
        <v>32</v>
      </c>
      <c r="I217" s="3" t="s">
        <v>33</v>
      </c>
      <c r="J217" s="3" t="s">
        <v>1056</v>
      </c>
      <c r="K217" s="3"/>
      <c r="L217" s="19"/>
      <c r="W217">
        <f t="shared" si="3"/>
        <v>2</v>
      </c>
    </row>
    <row r="218" spans="1:23">
      <c r="A218" s="3" t="s">
        <v>337</v>
      </c>
      <c r="B218" t="str">
        <f>IF(_xlfn.XLOOKUP(A218,PARAMETROS!A:A,PARAMETROS!B:B)=0,"",_xlfn.XLOOKUP(A218,PARAMETROS!A:A,PARAMETROS!B:B))</f>
        <v>012009006216</v>
      </c>
      <c r="C218">
        <f>IF(_xlfn.XLOOKUP(A218,PARAMETROS!A:A,PARAMETROS!C:C)=0,"",_xlfn.XLOOKUP(A218,PARAMETROS!A:A,PARAMETROS!C:C))</f>
        <v>12</v>
      </c>
      <c r="D218">
        <f>IF(_xlfn.XLOOKUP(A218,PARAMETROS!A:A,PARAMETROS!D:D)=0,"",_xlfn.XLOOKUP(A218,PARAMETROS!A:A,PARAMETROS!D:D))</f>
        <v>9</v>
      </c>
      <c r="E218" t="str">
        <f>IF(_xlfn.XLOOKUP('PREENCHIMENTO|LETIVAS'!A218,PARAMETROS!A:A,PARAMETROS!I:I)=0,"",_xlfn.XLOOKUP('PREENCHIMENTO|LETIVAS'!A218,PARAMETROS!A:A,PARAMETROS!I:I))</f>
        <v>PROFESSOR REGENTE</v>
      </c>
      <c r="F218" s="3" t="s">
        <v>31</v>
      </c>
      <c r="G218" s="3">
        <v>1</v>
      </c>
      <c r="H218" s="3" t="s">
        <v>32</v>
      </c>
      <c r="I218" s="3" t="s">
        <v>40</v>
      </c>
      <c r="J218" s="3" t="s">
        <v>1057</v>
      </c>
      <c r="K218" s="3"/>
      <c r="L218" s="19"/>
      <c r="W218">
        <f t="shared" si="3"/>
        <v>2</v>
      </c>
    </row>
    <row r="219" spans="1:23">
      <c r="A219" s="3" t="s">
        <v>264</v>
      </c>
      <c r="B219" t="str">
        <f>IF(_xlfn.XLOOKUP(A219,PARAMETROS!A:A,PARAMETROS!B:B)=0,"",_xlfn.XLOOKUP(A219,PARAMETROS!A:A,PARAMETROS!B:B))</f>
        <v>012009003704</v>
      </c>
      <c r="C219">
        <f>IF(_xlfn.XLOOKUP(A219,PARAMETROS!A:A,PARAMETROS!C:C)=0,"",_xlfn.XLOOKUP(A219,PARAMETROS!A:A,PARAMETROS!C:C))</f>
        <v>20</v>
      </c>
      <c r="D219">
        <f>IF(_xlfn.XLOOKUP(A219,PARAMETROS!A:A,PARAMETROS!D:D)=0,"",_xlfn.XLOOKUP(A219,PARAMETROS!A:A,PARAMETROS!D:D))</f>
        <v>2</v>
      </c>
      <c r="E219" t="str">
        <f>IF(_xlfn.XLOOKUP('PREENCHIMENTO|LETIVAS'!A219,PARAMETROS!A:A,PARAMETROS!I:I)=0,"",_xlfn.XLOOKUP('PREENCHIMENTO|LETIVAS'!A219,PARAMETROS!A:A,PARAMETROS!I:I))</f>
        <v>PROFESSOR DE ENSINO SUPERIOR EAD</v>
      </c>
      <c r="F219" s="3" t="s">
        <v>31</v>
      </c>
      <c r="G219" s="3">
        <v>1</v>
      </c>
      <c r="H219" s="3" t="s">
        <v>32</v>
      </c>
      <c r="I219" s="3" t="s">
        <v>33</v>
      </c>
      <c r="J219" s="3" t="s">
        <v>1058</v>
      </c>
      <c r="K219" s="3"/>
      <c r="L219" s="19"/>
      <c r="W219">
        <f t="shared" si="3"/>
        <v>2</v>
      </c>
    </row>
    <row r="220" spans="1:23">
      <c r="A220" s="3" t="s">
        <v>264</v>
      </c>
      <c r="B220" t="str">
        <f>IF(_xlfn.XLOOKUP(A220,PARAMETROS!A:A,PARAMETROS!B:B)=0,"",_xlfn.XLOOKUP(A220,PARAMETROS!A:A,PARAMETROS!B:B))</f>
        <v>012009003704</v>
      </c>
      <c r="C220">
        <f>IF(_xlfn.XLOOKUP(A220,PARAMETROS!A:A,PARAMETROS!C:C)=0,"",_xlfn.XLOOKUP(A220,PARAMETROS!A:A,PARAMETROS!C:C))</f>
        <v>20</v>
      </c>
      <c r="D220">
        <f>IF(_xlfn.XLOOKUP(A220,PARAMETROS!A:A,PARAMETROS!D:D)=0,"",_xlfn.XLOOKUP(A220,PARAMETROS!A:A,PARAMETROS!D:D))</f>
        <v>2</v>
      </c>
      <c r="E220" t="str">
        <f>IF(_xlfn.XLOOKUP('PREENCHIMENTO|LETIVAS'!A220,PARAMETROS!A:A,PARAMETROS!I:I)=0,"",_xlfn.XLOOKUP('PREENCHIMENTO|LETIVAS'!A220,PARAMETROS!A:A,PARAMETROS!I:I))</f>
        <v>PROFESSOR DE ENSINO SUPERIOR EAD</v>
      </c>
      <c r="F220" s="3" t="s">
        <v>31</v>
      </c>
      <c r="G220" s="3">
        <v>2</v>
      </c>
      <c r="H220" s="3" t="s">
        <v>32</v>
      </c>
      <c r="I220" s="3" t="s">
        <v>40</v>
      </c>
      <c r="J220" s="3" t="s">
        <v>1059</v>
      </c>
      <c r="K220" s="3"/>
      <c r="L220" s="19"/>
      <c r="W220">
        <f t="shared" si="3"/>
        <v>2</v>
      </c>
    </row>
    <row r="221" spans="1:23">
      <c r="A221" s="3" t="s">
        <v>300</v>
      </c>
      <c r="B221" t="str">
        <f>IF(_xlfn.XLOOKUP(A221,PARAMETROS!A:A,PARAMETROS!B:B)=0,"",_xlfn.XLOOKUP(A221,PARAMETROS!A:A,PARAMETROS!B:B))</f>
        <v>012009003346</v>
      </c>
      <c r="C221">
        <f>IF(_xlfn.XLOOKUP(A221,PARAMETROS!A:A,PARAMETROS!C:C)=0,"",_xlfn.XLOOKUP(A221,PARAMETROS!A:A,PARAMETROS!C:C))</f>
        <v>12</v>
      </c>
      <c r="D221">
        <f>IF(_xlfn.XLOOKUP(A221,PARAMETROS!A:A,PARAMETROS!D:D)=0,"",_xlfn.XLOOKUP(A221,PARAMETROS!A:A,PARAMETROS!D:D))</f>
        <v>2</v>
      </c>
      <c r="E221" t="str">
        <f>IF(_xlfn.XLOOKUP('PREENCHIMENTO|LETIVAS'!A221,PARAMETROS!A:A,PARAMETROS!I:I)=0,"",_xlfn.XLOOKUP('PREENCHIMENTO|LETIVAS'!A221,PARAMETROS!A:A,PARAMETROS!I:I))</f>
        <v>PROFESSOR DE ENSINO SUPERIOR EAD</v>
      </c>
      <c r="F221" s="3" t="s">
        <v>31</v>
      </c>
      <c r="G221" s="3">
        <v>2</v>
      </c>
      <c r="H221" s="3" t="s">
        <v>32</v>
      </c>
      <c r="I221" s="3" t="s">
        <v>33</v>
      </c>
      <c r="J221" s="3" t="s">
        <v>1060</v>
      </c>
      <c r="K221" s="3"/>
      <c r="L221" s="19"/>
      <c r="W221">
        <f t="shared" si="3"/>
        <v>2</v>
      </c>
    </row>
    <row r="222" spans="1:23">
      <c r="A222" s="3" t="s">
        <v>532</v>
      </c>
      <c r="B222" t="str">
        <f>IF(_xlfn.XLOOKUP(A222,PARAMETROS!A:A,PARAMETROS!B:B)=0,"",_xlfn.XLOOKUP(A222,PARAMETROS!A:A,PARAMETROS!B:B))</f>
        <v>012009005304</v>
      </c>
      <c r="C222">
        <f>IF(_xlfn.XLOOKUP(A222,PARAMETROS!A:A,PARAMETROS!C:C)=0,"",_xlfn.XLOOKUP(A222,PARAMETROS!A:A,PARAMETROS!C:C))</f>
        <v>40</v>
      </c>
      <c r="D222">
        <f>IF(_xlfn.XLOOKUP(A222,PARAMETROS!A:A,PARAMETROS!D:D)=0,"",_xlfn.XLOOKUP(A222,PARAMETROS!A:A,PARAMETROS!D:D))</f>
        <v>4</v>
      </c>
      <c r="E222" t="str">
        <f>IF(_xlfn.XLOOKUP('PREENCHIMENTO|LETIVAS'!A222,PARAMETROS!A:A,PARAMETROS!I:I)=0,"",_xlfn.XLOOKUP('PREENCHIMENTO|LETIVAS'!A222,PARAMETROS!A:A,PARAMETROS!I:I))</f>
        <v>PROFESSOR DE ENSINO SUPERIOR EAD</v>
      </c>
      <c r="F222" s="3" t="s">
        <v>31</v>
      </c>
      <c r="G222" s="3" t="s">
        <v>54</v>
      </c>
      <c r="H222" s="3" t="s">
        <v>55</v>
      </c>
      <c r="I222" s="3" t="s">
        <v>33</v>
      </c>
      <c r="J222" s="3" t="s">
        <v>1061</v>
      </c>
      <c r="K222" s="3"/>
      <c r="L222" s="19"/>
      <c r="W222">
        <f t="shared" si="3"/>
        <v>2</v>
      </c>
    </row>
    <row r="223" spans="1:23">
      <c r="A223" s="3" t="s">
        <v>532</v>
      </c>
      <c r="B223" t="str">
        <f>IF(_xlfn.XLOOKUP(A223,PARAMETROS!A:A,PARAMETROS!B:B)=0,"",_xlfn.XLOOKUP(A223,PARAMETROS!A:A,PARAMETROS!B:B))</f>
        <v>012009005304</v>
      </c>
      <c r="C223">
        <f>IF(_xlfn.XLOOKUP(A223,PARAMETROS!A:A,PARAMETROS!C:C)=0,"",_xlfn.XLOOKUP(A223,PARAMETROS!A:A,PARAMETROS!C:C))</f>
        <v>40</v>
      </c>
      <c r="D223">
        <f>IF(_xlfn.XLOOKUP(A223,PARAMETROS!A:A,PARAMETROS!D:D)=0,"",_xlfn.XLOOKUP(A223,PARAMETROS!A:A,PARAMETROS!D:D))</f>
        <v>4</v>
      </c>
      <c r="E223" t="str">
        <f>IF(_xlfn.XLOOKUP('PREENCHIMENTO|LETIVAS'!A223,PARAMETROS!A:A,PARAMETROS!I:I)=0,"",_xlfn.XLOOKUP('PREENCHIMENTO|LETIVAS'!A223,PARAMETROS!A:A,PARAMETROS!I:I))</f>
        <v>PROFESSOR DE ENSINO SUPERIOR EAD</v>
      </c>
      <c r="F223" s="3" t="s">
        <v>31</v>
      </c>
      <c r="G223" s="3" t="s">
        <v>54</v>
      </c>
      <c r="H223" s="3" t="s">
        <v>55</v>
      </c>
      <c r="I223" s="3" t="s">
        <v>40</v>
      </c>
      <c r="J223" s="3" t="s">
        <v>1062</v>
      </c>
      <c r="K223" s="3"/>
      <c r="L223" s="19"/>
      <c r="W223">
        <f t="shared" si="3"/>
        <v>2</v>
      </c>
    </row>
    <row r="224" spans="1:23">
      <c r="A224" s="3" t="s">
        <v>584</v>
      </c>
      <c r="B224" t="str">
        <f>IF(_xlfn.XLOOKUP(A224,PARAMETROS!A:A,PARAMETROS!B:B)=0,"",_xlfn.XLOOKUP(A224,PARAMETROS!A:A,PARAMETROS!B:B))</f>
        <v>012009006247</v>
      </c>
      <c r="C224">
        <f>IF(_xlfn.XLOOKUP(A224,PARAMETROS!A:A,PARAMETROS!C:C)=0,"",_xlfn.XLOOKUP(A224,PARAMETROS!A:A,PARAMETROS!C:C))</f>
        <v>12</v>
      </c>
      <c r="D224">
        <f>IF(_xlfn.XLOOKUP(A224,PARAMETROS!A:A,PARAMETROS!D:D)=0,"",_xlfn.XLOOKUP(A224,PARAMETROS!A:A,PARAMETROS!D:D))</f>
        <v>9</v>
      </c>
      <c r="E224" t="str">
        <f>IF(_xlfn.XLOOKUP('PREENCHIMENTO|LETIVAS'!A224,PARAMETROS!A:A,PARAMETROS!I:I)=0,"",_xlfn.XLOOKUP('PREENCHIMENTO|LETIVAS'!A224,PARAMETROS!A:A,PARAMETROS!I:I))</f>
        <v>PROFESSOR REGENTE</v>
      </c>
      <c r="F224" s="3" t="s">
        <v>31</v>
      </c>
      <c r="G224" s="3" t="s">
        <v>54</v>
      </c>
      <c r="H224" s="3" t="s">
        <v>32</v>
      </c>
      <c r="I224" s="3" t="s">
        <v>40</v>
      </c>
      <c r="J224" s="3" t="s">
        <v>1063</v>
      </c>
      <c r="K224" s="3"/>
      <c r="L224" s="19"/>
      <c r="W224">
        <f t="shared" si="3"/>
        <v>2</v>
      </c>
    </row>
    <row r="225" spans="1:23">
      <c r="A225" s="3" t="s">
        <v>599</v>
      </c>
      <c r="B225" t="str">
        <f>IF(_xlfn.XLOOKUP(A225,PARAMETROS!A:A,PARAMETROS!B:B)=0,"",_xlfn.XLOOKUP(A225,PARAMETROS!A:A,PARAMETROS!B:B))</f>
        <v>012009006316</v>
      </c>
      <c r="C225">
        <f>IF(_xlfn.XLOOKUP(A225,PARAMETROS!A:A,PARAMETROS!C:C)=0,"",_xlfn.XLOOKUP(A225,PARAMETROS!A:A,PARAMETROS!C:C))</f>
        <v>12</v>
      </c>
      <c r="D225">
        <f>IF(_xlfn.XLOOKUP(A225,PARAMETROS!A:A,PARAMETROS!D:D)=0,"",_xlfn.XLOOKUP(A225,PARAMETROS!A:A,PARAMETROS!D:D))</f>
        <v>9</v>
      </c>
      <c r="E225" t="str">
        <f>IF(_xlfn.XLOOKUP('PREENCHIMENTO|LETIVAS'!A225,PARAMETROS!A:A,PARAMETROS!I:I)=0,"",_xlfn.XLOOKUP('PREENCHIMENTO|LETIVAS'!A225,PARAMETROS!A:A,PARAMETROS!I:I))</f>
        <v>PROFESSOR REGENTE</v>
      </c>
      <c r="F225" s="3" t="s">
        <v>31</v>
      </c>
      <c r="G225" s="3" t="s">
        <v>54</v>
      </c>
      <c r="H225" s="3" t="s">
        <v>32</v>
      </c>
      <c r="I225" s="3" t="s">
        <v>40</v>
      </c>
      <c r="J225" s="3" t="s">
        <v>1064</v>
      </c>
      <c r="K225" s="3"/>
      <c r="L225" s="19"/>
      <c r="W225">
        <f t="shared" si="3"/>
        <v>2</v>
      </c>
    </row>
    <row r="226" spans="1:23">
      <c r="A226" s="3" t="s">
        <v>374</v>
      </c>
      <c r="B226" t="str">
        <f>IF(_xlfn.XLOOKUP(A226,PARAMETROS!A:A,PARAMETROS!B:B)=0,"",_xlfn.XLOOKUP(A226,PARAMETROS!A:A,PARAMETROS!B:B))</f>
        <v>012009006201</v>
      </c>
      <c r="C226">
        <f>IF(_xlfn.XLOOKUP(A226,PARAMETROS!A:A,PARAMETROS!C:C)=0,"",_xlfn.XLOOKUP(A226,PARAMETROS!A:A,PARAMETROS!C:C))</f>
        <v>12</v>
      </c>
      <c r="D226">
        <f>IF(_xlfn.XLOOKUP(A226,PARAMETROS!A:A,PARAMETROS!D:D)=0,"",_xlfn.XLOOKUP(A226,PARAMETROS!A:A,PARAMETROS!D:D))</f>
        <v>9</v>
      </c>
      <c r="E226" t="str">
        <f>IF(_xlfn.XLOOKUP('PREENCHIMENTO|LETIVAS'!A226,PARAMETROS!A:A,PARAMETROS!I:I)=0,"",_xlfn.XLOOKUP('PREENCHIMENTO|LETIVAS'!A226,PARAMETROS!A:A,PARAMETROS!I:I))</f>
        <v>PROFESSOR REGENTE</v>
      </c>
      <c r="F226" s="3" t="s">
        <v>31</v>
      </c>
      <c r="G226" s="3" t="s">
        <v>54</v>
      </c>
      <c r="H226" s="3" t="s">
        <v>32</v>
      </c>
      <c r="I226" s="3" t="s">
        <v>33</v>
      </c>
      <c r="J226" s="3" t="s">
        <v>1065</v>
      </c>
      <c r="K226" s="3"/>
      <c r="L226" s="19"/>
      <c r="W226">
        <f t="shared" si="3"/>
        <v>2</v>
      </c>
    </row>
    <row r="227" spans="1:23">
      <c r="A227" s="3" t="s">
        <v>374</v>
      </c>
      <c r="B227" t="str">
        <f>IF(_xlfn.XLOOKUP(A227,PARAMETROS!A:A,PARAMETROS!B:B)=0,"",_xlfn.XLOOKUP(A227,PARAMETROS!A:A,PARAMETROS!B:B))</f>
        <v>012009006201</v>
      </c>
      <c r="C227">
        <f>IF(_xlfn.XLOOKUP(A227,PARAMETROS!A:A,PARAMETROS!C:C)=0,"",_xlfn.XLOOKUP(A227,PARAMETROS!A:A,PARAMETROS!C:C))</f>
        <v>12</v>
      </c>
      <c r="D227">
        <f>IF(_xlfn.XLOOKUP(A227,PARAMETROS!A:A,PARAMETROS!D:D)=0,"",_xlfn.XLOOKUP(A227,PARAMETROS!A:A,PARAMETROS!D:D))</f>
        <v>9</v>
      </c>
      <c r="E227" t="str">
        <f>IF(_xlfn.XLOOKUP('PREENCHIMENTO|LETIVAS'!A227,PARAMETROS!A:A,PARAMETROS!I:I)=0,"",_xlfn.XLOOKUP('PREENCHIMENTO|LETIVAS'!A227,PARAMETROS!A:A,PARAMETROS!I:I))</f>
        <v>PROFESSOR REGENTE</v>
      </c>
      <c r="F227" s="3" t="s">
        <v>31</v>
      </c>
      <c r="G227" s="3" t="s">
        <v>54</v>
      </c>
      <c r="H227" s="3" t="s">
        <v>32</v>
      </c>
      <c r="I227" s="3" t="s">
        <v>40</v>
      </c>
      <c r="J227" s="3" t="s">
        <v>1066</v>
      </c>
      <c r="K227" s="3"/>
      <c r="L227" s="19"/>
      <c r="W227">
        <f t="shared" si="3"/>
        <v>2</v>
      </c>
    </row>
    <row r="228" spans="1:23">
      <c r="A228" s="3" t="s">
        <v>468</v>
      </c>
      <c r="B228" t="str">
        <f>IF(_xlfn.XLOOKUP(A228,PARAMETROS!A:A,PARAMETROS!B:B)=0,"",_xlfn.XLOOKUP(A228,PARAMETROS!A:A,PARAMETROS!B:B))</f>
        <v>012009006223</v>
      </c>
      <c r="C228">
        <f>IF(_xlfn.XLOOKUP(A228,PARAMETROS!A:A,PARAMETROS!C:C)=0,"",_xlfn.XLOOKUP(A228,PARAMETROS!A:A,PARAMETROS!C:C))</f>
        <v>12</v>
      </c>
      <c r="D228">
        <f>IF(_xlfn.XLOOKUP(A228,PARAMETROS!A:A,PARAMETROS!D:D)=0,"",_xlfn.XLOOKUP(A228,PARAMETROS!A:A,PARAMETROS!D:D))</f>
        <v>9</v>
      </c>
      <c r="E228" t="str">
        <f>IF(_xlfn.XLOOKUP('PREENCHIMENTO|LETIVAS'!A228,PARAMETROS!A:A,PARAMETROS!I:I)=0,"",_xlfn.XLOOKUP('PREENCHIMENTO|LETIVAS'!A228,PARAMETROS!A:A,PARAMETROS!I:I))</f>
        <v>PROFESSOR REGENTE</v>
      </c>
      <c r="F228" s="3" t="s">
        <v>31</v>
      </c>
      <c r="G228" s="3" t="s">
        <v>54</v>
      </c>
      <c r="H228" s="3" t="s">
        <v>32</v>
      </c>
      <c r="I228" s="3" t="s">
        <v>40</v>
      </c>
      <c r="J228" s="3" t="s">
        <v>1067</v>
      </c>
      <c r="K228" s="3"/>
      <c r="L228" s="19"/>
      <c r="W228">
        <f t="shared" si="3"/>
        <v>2</v>
      </c>
    </row>
    <row r="229" spans="1:23">
      <c r="A229" s="3" t="s">
        <v>468</v>
      </c>
      <c r="B229" t="str">
        <f>IF(_xlfn.XLOOKUP(A229,PARAMETROS!A:A,PARAMETROS!B:B)=0,"",_xlfn.XLOOKUP(A229,PARAMETROS!A:A,PARAMETROS!B:B))</f>
        <v>012009006223</v>
      </c>
      <c r="C229">
        <f>IF(_xlfn.XLOOKUP(A229,PARAMETROS!A:A,PARAMETROS!C:C)=0,"",_xlfn.XLOOKUP(A229,PARAMETROS!A:A,PARAMETROS!C:C))</f>
        <v>12</v>
      </c>
      <c r="D229">
        <f>IF(_xlfn.XLOOKUP(A229,PARAMETROS!A:A,PARAMETROS!D:D)=0,"",_xlfn.XLOOKUP(A229,PARAMETROS!A:A,PARAMETROS!D:D))</f>
        <v>9</v>
      </c>
      <c r="E229" t="str">
        <f>IF(_xlfn.XLOOKUP('PREENCHIMENTO|LETIVAS'!A229,PARAMETROS!A:A,PARAMETROS!I:I)=0,"",_xlfn.XLOOKUP('PREENCHIMENTO|LETIVAS'!A229,PARAMETROS!A:A,PARAMETROS!I:I))</f>
        <v>PROFESSOR REGENTE</v>
      </c>
      <c r="F229" s="3" t="s">
        <v>31</v>
      </c>
      <c r="G229" s="3">
        <v>2</v>
      </c>
      <c r="H229" s="3" t="s">
        <v>63</v>
      </c>
      <c r="I229" s="3" t="s">
        <v>40</v>
      </c>
      <c r="J229" s="3" t="s">
        <v>1068</v>
      </c>
      <c r="K229" s="3"/>
      <c r="L229" s="19"/>
      <c r="W229">
        <f t="shared" si="3"/>
        <v>2</v>
      </c>
    </row>
    <row r="230" spans="1:23">
      <c r="A230" s="3" t="s">
        <v>456</v>
      </c>
      <c r="B230" t="str">
        <f>IF(_xlfn.XLOOKUP(A230,PARAMETROS!A:A,PARAMETROS!B:B)=0,"",_xlfn.XLOOKUP(A230,PARAMETROS!A:A,PARAMETROS!B:B))</f>
        <v>012009006221</v>
      </c>
      <c r="C230">
        <f>IF(_xlfn.XLOOKUP(A230,PARAMETROS!A:A,PARAMETROS!C:C)=0,"",_xlfn.XLOOKUP(A230,PARAMETROS!A:A,PARAMETROS!C:C))</f>
        <v>12</v>
      </c>
      <c r="D230">
        <f>IF(_xlfn.XLOOKUP(A230,PARAMETROS!A:A,PARAMETROS!D:D)=0,"",_xlfn.XLOOKUP(A230,PARAMETROS!A:A,PARAMETROS!D:D))</f>
        <v>9</v>
      </c>
      <c r="E230" t="str">
        <f>IF(_xlfn.XLOOKUP('PREENCHIMENTO|LETIVAS'!A230,PARAMETROS!A:A,PARAMETROS!I:I)=0,"",_xlfn.XLOOKUP('PREENCHIMENTO|LETIVAS'!A230,PARAMETROS!A:A,PARAMETROS!I:I))</f>
        <v>PROFESSOR REGENTE</v>
      </c>
      <c r="F230" s="3" t="s">
        <v>31</v>
      </c>
      <c r="G230" s="3" t="s">
        <v>54</v>
      </c>
      <c r="H230" s="3" t="s">
        <v>32</v>
      </c>
      <c r="I230" s="3" t="s">
        <v>33</v>
      </c>
      <c r="J230" s="3" t="s">
        <v>1069</v>
      </c>
      <c r="K230" s="3"/>
      <c r="L230" s="19"/>
      <c r="W230">
        <f t="shared" si="3"/>
        <v>2</v>
      </c>
    </row>
    <row r="231" spans="1:23">
      <c r="A231" s="3" t="s">
        <v>456</v>
      </c>
      <c r="B231" t="str">
        <f>IF(_xlfn.XLOOKUP(A231,PARAMETROS!A:A,PARAMETROS!B:B)=0,"",_xlfn.XLOOKUP(A231,PARAMETROS!A:A,PARAMETROS!B:B))</f>
        <v>012009006221</v>
      </c>
      <c r="C231">
        <f>IF(_xlfn.XLOOKUP(A231,PARAMETROS!A:A,PARAMETROS!C:C)=0,"",_xlfn.XLOOKUP(A231,PARAMETROS!A:A,PARAMETROS!C:C))</f>
        <v>12</v>
      </c>
      <c r="D231">
        <f>IF(_xlfn.XLOOKUP(A231,PARAMETROS!A:A,PARAMETROS!D:D)=0,"",_xlfn.XLOOKUP(A231,PARAMETROS!A:A,PARAMETROS!D:D))</f>
        <v>9</v>
      </c>
      <c r="E231" t="str">
        <f>IF(_xlfn.XLOOKUP('PREENCHIMENTO|LETIVAS'!A231,PARAMETROS!A:A,PARAMETROS!I:I)=0,"",_xlfn.XLOOKUP('PREENCHIMENTO|LETIVAS'!A231,PARAMETROS!A:A,PARAMETROS!I:I))</f>
        <v>PROFESSOR REGENTE</v>
      </c>
      <c r="F231" s="3" t="s">
        <v>31</v>
      </c>
      <c r="G231" s="3">
        <v>2</v>
      </c>
      <c r="H231" s="3" t="s">
        <v>32</v>
      </c>
      <c r="I231" s="3" t="s">
        <v>40</v>
      </c>
      <c r="J231" s="3" t="s">
        <v>1070</v>
      </c>
      <c r="K231" s="3"/>
      <c r="L231" s="19"/>
      <c r="W231">
        <f t="shared" si="3"/>
        <v>2</v>
      </c>
    </row>
    <row r="232" spans="1:23">
      <c r="A232" s="3" t="s">
        <v>270</v>
      </c>
      <c r="B232" t="str">
        <f>IF(_xlfn.XLOOKUP(A232,PARAMETROS!A:A,PARAMETROS!B:B)=0,"",_xlfn.XLOOKUP(A232,PARAMETROS!A:A,PARAMETROS!B:B))</f>
        <v>012009003830</v>
      </c>
      <c r="C232">
        <f>IF(_xlfn.XLOOKUP(A232,PARAMETROS!A:A,PARAMETROS!C:C)=0,"",_xlfn.XLOOKUP(A232,PARAMETROS!A:A,PARAMETROS!C:C))</f>
        <v>20</v>
      </c>
      <c r="D232">
        <f>IF(_xlfn.XLOOKUP(A232,PARAMETROS!A:A,PARAMETROS!D:D)=0,"",_xlfn.XLOOKUP(A232,PARAMETROS!A:A,PARAMETROS!D:D))</f>
        <v>2</v>
      </c>
      <c r="E232" t="str">
        <f>IF(_xlfn.XLOOKUP('PREENCHIMENTO|LETIVAS'!A232,PARAMETROS!A:A,PARAMETROS!I:I)=0,"",_xlfn.XLOOKUP('PREENCHIMENTO|LETIVAS'!A232,PARAMETROS!A:A,PARAMETROS!I:I))</f>
        <v>PROFESSOR DE ENSINO SUPERIOR EAD</v>
      </c>
      <c r="F232" s="3" t="s">
        <v>31</v>
      </c>
      <c r="G232" s="3">
        <v>1</v>
      </c>
      <c r="H232" s="3" t="s">
        <v>55</v>
      </c>
      <c r="I232" s="3" t="s">
        <v>33</v>
      </c>
      <c r="J232" s="3" t="s">
        <v>1071</v>
      </c>
      <c r="K232" s="3"/>
      <c r="L232" s="19"/>
      <c r="W232">
        <f t="shared" si="3"/>
        <v>2</v>
      </c>
    </row>
    <row r="233" spans="1:23">
      <c r="A233" s="3" t="s">
        <v>584</v>
      </c>
      <c r="B233" t="str">
        <f>IF(_xlfn.XLOOKUP(A233,PARAMETROS!A:A,PARAMETROS!B:B)=0,"",_xlfn.XLOOKUP(A233,PARAMETROS!A:A,PARAMETROS!B:B))</f>
        <v>012009006247</v>
      </c>
      <c r="C233">
        <f>IF(_xlfn.XLOOKUP(A233,PARAMETROS!A:A,PARAMETROS!C:C)=0,"",_xlfn.XLOOKUP(A233,PARAMETROS!A:A,PARAMETROS!C:C))</f>
        <v>12</v>
      </c>
      <c r="D233">
        <f>IF(_xlfn.XLOOKUP(A233,PARAMETROS!A:A,PARAMETROS!D:D)=0,"",_xlfn.XLOOKUP(A233,PARAMETROS!A:A,PARAMETROS!D:D))</f>
        <v>9</v>
      </c>
      <c r="E233" t="str">
        <f>IF(_xlfn.XLOOKUP('PREENCHIMENTO|LETIVAS'!A233,PARAMETROS!A:A,PARAMETROS!I:I)=0,"",_xlfn.XLOOKUP('PREENCHIMENTO|LETIVAS'!A233,PARAMETROS!A:A,PARAMETROS!I:I))</f>
        <v>PROFESSOR REGENTE</v>
      </c>
      <c r="F233" s="3" t="s">
        <v>31</v>
      </c>
      <c r="G233" s="3">
        <v>2</v>
      </c>
      <c r="H233" s="3" t="s">
        <v>55</v>
      </c>
      <c r="I233" s="3" t="s">
        <v>40</v>
      </c>
      <c r="J233" s="3" t="s">
        <v>1072</v>
      </c>
      <c r="K233" s="3"/>
      <c r="L233" s="19"/>
      <c r="W233">
        <f t="shared" si="3"/>
        <v>2</v>
      </c>
    </row>
    <row r="234" spans="1:23">
      <c r="A234" s="3" t="s">
        <v>294</v>
      </c>
      <c r="B234" t="str">
        <f>IF(_xlfn.XLOOKUP(A234,PARAMETROS!A:A,PARAMETROS!B:B)=0,"",_xlfn.XLOOKUP(A234,PARAMETROS!A:A,PARAMETROS!B:B))</f>
        <v>012009006191</v>
      </c>
      <c r="C234">
        <f>IF(_xlfn.XLOOKUP(A234,PARAMETROS!A:A,PARAMETROS!C:C)=0,"",_xlfn.XLOOKUP(A234,PARAMETROS!A:A,PARAMETROS!C:C))</f>
        <v>40</v>
      </c>
      <c r="D234">
        <f>IF(_xlfn.XLOOKUP(A234,PARAMETROS!A:A,PARAMETROS!D:D)=0,"",_xlfn.XLOOKUP(A234,PARAMETROS!A:A,PARAMETROS!D:D))</f>
        <v>20</v>
      </c>
      <c r="E234" t="str">
        <f>IF(_xlfn.XLOOKUP('PREENCHIMENTO|LETIVAS'!A234,PARAMETROS!A:A,PARAMETROS!I:I)=0,"",_xlfn.XLOOKUP('PREENCHIMENTO|LETIVAS'!A234,PARAMETROS!A:A,PARAMETROS!I:I))</f>
        <v>PROFESSOR REGENTE</v>
      </c>
      <c r="F234" s="3" t="s">
        <v>31</v>
      </c>
      <c r="G234" s="3">
        <v>1</v>
      </c>
      <c r="H234" s="3" t="s">
        <v>55</v>
      </c>
      <c r="I234" s="3" t="s">
        <v>33</v>
      </c>
      <c r="J234" s="3" t="s">
        <v>1067</v>
      </c>
      <c r="K234" s="3"/>
      <c r="L234" s="19"/>
      <c r="W234">
        <f t="shared" si="3"/>
        <v>2</v>
      </c>
    </row>
    <row r="235" spans="1:23">
      <c r="A235" s="3" t="s">
        <v>383</v>
      </c>
      <c r="B235" t="str">
        <f>IF(_xlfn.XLOOKUP(A235,PARAMETROS!A:A,PARAMETROS!B:B)=0,"",_xlfn.XLOOKUP(A235,PARAMETROS!A:A,PARAMETROS!B:B))</f>
        <v>012009003543</v>
      </c>
      <c r="C235">
        <f>IF(_xlfn.XLOOKUP(A235,PARAMETROS!A:A,PARAMETROS!C:C)=0,"",_xlfn.XLOOKUP(A235,PARAMETROS!A:A,PARAMETROS!C:C))</f>
        <v>20</v>
      </c>
      <c r="D235">
        <f>IF(_xlfn.XLOOKUP(A235,PARAMETROS!A:A,PARAMETROS!D:D)=0,"",_xlfn.XLOOKUP(A235,PARAMETROS!A:A,PARAMETROS!D:D))</f>
        <v>2</v>
      </c>
      <c r="E235" t="str">
        <f>IF(_xlfn.XLOOKUP('PREENCHIMENTO|LETIVAS'!A235,PARAMETROS!A:A,PARAMETROS!I:I)=0,"",_xlfn.XLOOKUP('PREENCHIMENTO|LETIVAS'!A235,PARAMETROS!A:A,PARAMETROS!I:I))</f>
        <v>PROFESSOR DE ENSINO SUPERIOR EAD</v>
      </c>
      <c r="F235" s="3" t="s">
        <v>31</v>
      </c>
      <c r="G235" s="3">
        <v>2</v>
      </c>
      <c r="H235" s="3" t="s">
        <v>55</v>
      </c>
      <c r="I235" s="3" t="s">
        <v>33</v>
      </c>
      <c r="J235" s="3" t="s">
        <v>1073</v>
      </c>
      <c r="K235" s="3"/>
      <c r="L235" s="19"/>
      <c r="W235">
        <f t="shared" si="3"/>
        <v>2</v>
      </c>
    </row>
    <row r="236" spans="1:23">
      <c r="A236" s="3" t="s">
        <v>520</v>
      </c>
      <c r="B236" t="str">
        <f>IF(_xlfn.XLOOKUP(A236,PARAMETROS!A:A,PARAMETROS!B:B)=0,"",_xlfn.XLOOKUP(A236,PARAMETROS!A:A,PARAMETROS!B:B))</f>
        <v>012009004226</v>
      </c>
      <c r="C236">
        <f>IF(_xlfn.XLOOKUP(A236,PARAMETROS!A:A,PARAMETROS!C:C)=0,"",_xlfn.XLOOKUP(A236,PARAMETROS!A:A,PARAMETROS!C:C))</f>
        <v>40</v>
      </c>
      <c r="D236">
        <f>IF(_xlfn.XLOOKUP(A236,PARAMETROS!A:A,PARAMETROS!D:D)=0,"",_xlfn.XLOOKUP(A236,PARAMETROS!A:A,PARAMETROS!D:D))</f>
        <v>4</v>
      </c>
      <c r="E236" t="str">
        <f>IF(_xlfn.XLOOKUP('PREENCHIMENTO|LETIVAS'!A236,PARAMETROS!A:A,PARAMETROS!I:I)=0,"",_xlfn.XLOOKUP('PREENCHIMENTO|LETIVAS'!A236,PARAMETROS!A:A,PARAMETROS!I:I))</f>
        <v>PROFESSOR DE ENSINO SUPERIOR EAD</v>
      </c>
      <c r="F236" s="3" t="s">
        <v>31</v>
      </c>
      <c r="G236" s="3" t="s">
        <v>54</v>
      </c>
      <c r="H236" s="3" t="s">
        <v>32</v>
      </c>
      <c r="I236" s="3" t="s">
        <v>33</v>
      </c>
      <c r="J236" s="3" t="s">
        <v>910</v>
      </c>
      <c r="K236" s="3"/>
      <c r="L236" s="19"/>
      <c r="W236">
        <f t="shared" si="3"/>
        <v>2</v>
      </c>
    </row>
    <row r="237" spans="1:23">
      <c r="A237" s="3" t="s">
        <v>86</v>
      </c>
      <c r="B237" t="str">
        <f>IF(_xlfn.XLOOKUP(A237,PARAMETROS!A:A,PARAMETROS!B:B)=0,"",_xlfn.XLOOKUP(A237,PARAMETROS!A:A,PARAMETROS!B:B))</f>
        <v>012009006176</v>
      </c>
      <c r="C237">
        <f>IF(_xlfn.XLOOKUP(A237,PARAMETROS!A:A,PARAMETROS!C:C)=0,"",_xlfn.XLOOKUP(A237,PARAMETROS!A:A,PARAMETROS!C:C))</f>
        <v>12</v>
      </c>
      <c r="D237">
        <f>IF(_xlfn.XLOOKUP(A237,PARAMETROS!A:A,PARAMETROS!D:D)=0,"",_xlfn.XLOOKUP(A237,PARAMETROS!A:A,PARAMETROS!D:D))</f>
        <v>9</v>
      </c>
      <c r="E237" t="str">
        <f>IF(_xlfn.XLOOKUP('PREENCHIMENTO|LETIVAS'!A237,PARAMETROS!A:A,PARAMETROS!I:I)=0,"",_xlfn.XLOOKUP('PREENCHIMENTO|LETIVAS'!A237,PARAMETROS!A:A,PARAMETROS!I:I))</f>
        <v>PROFESSOR REGENTE</v>
      </c>
      <c r="F237" s="3" t="s">
        <v>31</v>
      </c>
      <c r="G237" s="3">
        <v>2</v>
      </c>
      <c r="H237" s="3" t="s">
        <v>55</v>
      </c>
      <c r="I237" s="3" t="s">
        <v>40</v>
      </c>
      <c r="J237" s="3" t="s">
        <v>1074</v>
      </c>
      <c r="K237" s="3"/>
      <c r="L237" s="19"/>
      <c r="W237">
        <f t="shared" si="3"/>
        <v>2</v>
      </c>
    </row>
    <row r="238" spans="1:23">
      <c r="A238" s="3" t="s">
        <v>413</v>
      </c>
      <c r="B238" t="str">
        <f>IF(_xlfn.XLOOKUP(A238,PARAMETROS!A:A,PARAMETROS!B:B)=0,"",_xlfn.XLOOKUP(A238,PARAMETROS!A:A,PARAMETROS!B:B))</f>
        <v>012009006213</v>
      </c>
      <c r="C238">
        <f>IF(_xlfn.XLOOKUP(A238,PARAMETROS!A:A,PARAMETROS!C:C)=0,"",_xlfn.XLOOKUP(A238,PARAMETROS!A:A,PARAMETROS!C:C))</f>
        <v>12</v>
      </c>
      <c r="D238">
        <f>IF(_xlfn.XLOOKUP(A238,PARAMETROS!A:A,PARAMETROS!D:D)=0,"",_xlfn.XLOOKUP(A238,PARAMETROS!A:A,PARAMETROS!D:D))</f>
        <v>9</v>
      </c>
      <c r="E238" t="str">
        <f>IF(_xlfn.XLOOKUP('PREENCHIMENTO|LETIVAS'!A238,PARAMETROS!A:A,PARAMETROS!I:I)=0,"",_xlfn.XLOOKUP('PREENCHIMENTO|LETIVAS'!A238,PARAMETROS!A:A,PARAMETROS!I:I))</f>
        <v>PROFESSOR REGENTE</v>
      </c>
      <c r="F238" s="3" t="s">
        <v>31</v>
      </c>
      <c r="G238" s="3">
        <v>1</v>
      </c>
      <c r="H238" s="3" t="s">
        <v>32</v>
      </c>
      <c r="I238" s="3" t="s">
        <v>33</v>
      </c>
      <c r="J238" s="3" t="s">
        <v>1034</v>
      </c>
      <c r="K238" s="3"/>
      <c r="L238" s="19"/>
      <c r="W238">
        <f t="shared" si="3"/>
        <v>2</v>
      </c>
    </row>
    <row r="239" spans="1:23">
      <c r="A239" s="3" t="s">
        <v>413</v>
      </c>
      <c r="B239" t="str">
        <f>IF(_xlfn.XLOOKUP(A239,PARAMETROS!A:A,PARAMETROS!B:B)=0,"",_xlfn.XLOOKUP(A239,PARAMETROS!A:A,PARAMETROS!B:B))</f>
        <v>012009006213</v>
      </c>
      <c r="C239">
        <f>IF(_xlfn.XLOOKUP(A239,PARAMETROS!A:A,PARAMETROS!C:C)=0,"",_xlfn.XLOOKUP(A239,PARAMETROS!A:A,PARAMETROS!C:C))</f>
        <v>12</v>
      </c>
      <c r="D239">
        <f>IF(_xlfn.XLOOKUP(A239,PARAMETROS!A:A,PARAMETROS!D:D)=0,"",_xlfn.XLOOKUP(A239,PARAMETROS!A:A,PARAMETROS!D:D))</f>
        <v>9</v>
      </c>
      <c r="E239" t="str">
        <f>IF(_xlfn.XLOOKUP('PREENCHIMENTO|LETIVAS'!A239,PARAMETROS!A:A,PARAMETROS!I:I)=0,"",_xlfn.XLOOKUP('PREENCHIMENTO|LETIVAS'!A239,PARAMETROS!A:A,PARAMETROS!I:I))</f>
        <v>PROFESSOR REGENTE</v>
      </c>
      <c r="F239" s="3" t="s">
        <v>31</v>
      </c>
      <c r="G239" s="3">
        <v>2</v>
      </c>
      <c r="H239" s="3" t="s">
        <v>63</v>
      </c>
      <c r="I239" s="3"/>
      <c r="J239" s="3" t="s">
        <v>1075</v>
      </c>
      <c r="K239" s="3" t="s">
        <v>932</v>
      </c>
      <c r="L239" s="19"/>
      <c r="W239">
        <f t="shared" si="3"/>
        <v>0</v>
      </c>
    </row>
    <row r="240" spans="1:23">
      <c r="A240" s="3" t="s">
        <v>413</v>
      </c>
      <c r="B240" t="str">
        <f>IF(_xlfn.XLOOKUP(A240,PARAMETROS!A:A,PARAMETROS!B:B)=0,"",_xlfn.XLOOKUP(A240,PARAMETROS!A:A,PARAMETROS!B:B))</f>
        <v>012009006213</v>
      </c>
      <c r="C240">
        <f>IF(_xlfn.XLOOKUP(A240,PARAMETROS!A:A,PARAMETROS!C:C)=0,"",_xlfn.XLOOKUP(A240,PARAMETROS!A:A,PARAMETROS!C:C))</f>
        <v>12</v>
      </c>
      <c r="D240">
        <f>IF(_xlfn.XLOOKUP(A240,PARAMETROS!A:A,PARAMETROS!D:D)=0,"",_xlfn.XLOOKUP(A240,PARAMETROS!A:A,PARAMETROS!D:D))</f>
        <v>9</v>
      </c>
      <c r="E240" t="str">
        <f>IF(_xlfn.XLOOKUP('PREENCHIMENTO|LETIVAS'!A240,PARAMETROS!A:A,PARAMETROS!I:I)=0,"",_xlfn.XLOOKUP('PREENCHIMENTO|LETIVAS'!A240,PARAMETROS!A:A,PARAMETROS!I:I))</f>
        <v>PROFESSOR REGENTE</v>
      </c>
      <c r="F240" s="3" t="s">
        <v>31</v>
      </c>
      <c r="G240" s="3">
        <v>1</v>
      </c>
      <c r="H240" s="3" t="s">
        <v>63</v>
      </c>
      <c r="I240" s="3"/>
      <c r="J240" s="3" t="s">
        <v>1076</v>
      </c>
      <c r="K240" s="3" t="s">
        <v>932</v>
      </c>
      <c r="L240" s="19"/>
      <c r="W240">
        <f t="shared" si="3"/>
        <v>0</v>
      </c>
    </row>
    <row r="241" spans="1:23">
      <c r="A241" s="3" t="s">
        <v>398</v>
      </c>
      <c r="B241" t="str">
        <f>IF(_xlfn.XLOOKUP(A241,PARAMETROS!A:A,PARAMETROS!B:B)=0,"",_xlfn.XLOOKUP(A241,PARAMETROS!A:A,PARAMETROS!B:B))</f>
        <v>012009006236</v>
      </c>
      <c r="C241">
        <f>IF(_xlfn.XLOOKUP(A241,PARAMETROS!A:A,PARAMETROS!C:C)=0,"",_xlfn.XLOOKUP(A241,PARAMETROS!A:A,PARAMETROS!C:C))</f>
        <v>12</v>
      </c>
      <c r="D241">
        <f>IF(_xlfn.XLOOKUP(A241,PARAMETROS!A:A,PARAMETROS!D:D)=0,"",_xlfn.XLOOKUP(A241,PARAMETROS!A:A,PARAMETROS!D:D))</f>
        <v>9</v>
      </c>
      <c r="E241" t="str">
        <f>IF(_xlfn.XLOOKUP('PREENCHIMENTO|LETIVAS'!A241,PARAMETROS!A:A,PARAMETROS!I:I)=0,"",_xlfn.XLOOKUP('PREENCHIMENTO|LETIVAS'!A241,PARAMETROS!A:A,PARAMETROS!I:I))</f>
        <v>PROFESSOR REGENTE</v>
      </c>
      <c r="F241" s="3" t="s">
        <v>31</v>
      </c>
      <c r="G241" s="3" t="s">
        <v>54</v>
      </c>
      <c r="H241" s="3" t="s">
        <v>55</v>
      </c>
      <c r="I241" s="3" t="s">
        <v>33</v>
      </c>
      <c r="J241" s="3" t="s">
        <v>1075</v>
      </c>
      <c r="K241" s="3"/>
      <c r="L241" s="19"/>
      <c r="W241">
        <f t="shared" si="3"/>
        <v>2</v>
      </c>
    </row>
    <row r="242" spans="1:23">
      <c r="A242" s="3" t="s">
        <v>547</v>
      </c>
      <c r="B242" t="str">
        <f>IF(_xlfn.XLOOKUP(A242,PARAMETROS!A:A,PARAMETROS!B:B)=0,"",_xlfn.XLOOKUP(A242,PARAMETROS!A:A,PARAMETROS!B:B))</f>
        <v>012009004522</v>
      </c>
      <c r="C242">
        <f>IF(_xlfn.XLOOKUP(A242,PARAMETROS!A:A,PARAMETROS!C:C)=0,"",_xlfn.XLOOKUP(A242,PARAMETROS!A:A,PARAMETROS!C:C))</f>
        <v>40</v>
      </c>
      <c r="D242">
        <f>IF(_xlfn.XLOOKUP(A242,PARAMETROS!A:A,PARAMETROS!D:D)=0,"",_xlfn.XLOOKUP(A242,PARAMETROS!A:A,PARAMETROS!D:D))</f>
        <v>4</v>
      </c>
      <c r="E242" t="str">
        <f>IF(_xlfn.XLOOKUP('PREENCHIMENTO|LETIVAS'!A242,PARAMETROS!A:A,PARAMETROS!I:I)=0,"",_xlfn.XLOOKUP('PREENCHIMENTO|LETIVAS'!A242,PARAMETROS!A:A,PARAMETROS!I:I))</f>
        <v>PROFESSOR DE ENSINO SUPERIOR EAD</v>
      </c>
      <c r="F242" s="3" t="s">
        <v>31</v>
      </c>
      <c r="G242" s="3" t="s">
        <v>54</v>
      </c>
      <c r="H242" s="3" t="s">
        <v>55</v>
      </c>
      <c r="I242" s="3" t="s">
        <v>33</v>
      </c>
      <c r="J242" s="3" t="s">
        <v>1077</v>
      </c>
      <c r="K242" s="3"/>
      <c r="L242" s="19"/>
      <c r="W242">
        <f t="shared" si="3"/>
        <v>2</v>
      </c>
    </row>
    <row r="243" spans="1:23">
      <c r="A243" s="3" t="s">
        <v>688</v>
      </c>
      <c r="B243" t="str">
        <f>IF(_xlfn.XLOOKUP(A243,PARAMETROS!A:A,PARAMETROS!B:B)=0,"",_xlfn.XLOOKUP(A243,PARAMETROS!A:A,PARAMETROS!B:B))</f>
        <v>012009004010</v>
      </c>
      <c r="C243" t="str">
        <f>IF(_xlfn.XLOOKUP(A243,PARAMETROS!A:A,PARAMETROS!C:C)=0,"",_xlfn.XLOOKUP(A243,PARAMETROS!A:A,PARAMETROS!C:C))</f>
        <v/>
      </c>
      <c r="D243" t="str">
        <f>IF(_xlfn.XLOOKUP(A243,PARAMETROS!A:A,PARAMETROS!D:D)=0,"",_xlfn.XLOOKUP(A243,PARAMETROS!A:A,PARAMETROS!D:D))</f>
        <v/>
      </c>
      <c r="E243" t="str">
        <f>IF(_xlfn.XLOOKUP('PREENCHIMENTO|LETIVAS'!A243,PARAMETROS!A:A,PARAMETROS!I:I)=0,"",_xlfn.XLOOKUP('PREENCHIMENTO|LETIVAS'!A243,PARAMETROS!A:A,PARAMETROS!I:I))</f>
        <v>PROFESSOR DE ENSINO SUPERIOR PRESENCIAL</v>
      </c>
      <c r="F243" s="3" t="s">
        <v>31</v>
      </c>
      <c r="G243" s="3">
        <v>2</v>
      </c>
      <c r="H243" s="3" t="s">
        <v>39</v>
      </c>
      <c r="I243" s="3" t="s">
        <v>40</v>
      </c>
      <c r="J243" s="3" t="s">
        <v>897</v>
      </c>
      <c r="K243" s="3"/>
      <c r="L243" s="19"/>
      <c r="W243">
        <f t="shared" si="3"/>
        <v>2</v>
      </c>
    </row>
    <row r="244" spans="1:23">
      <c r="A244" s="3" t="s">
        <v>688</v>
      </c>
      <c r="B244" t="str">
        <f>IF(_xlfn.XLOOKUP(A244,PARAMETROS!A:A,PARAMETROS!B:B)=0,"",_xlfn.XLOOKUP(A244,PARAMETROS!A:A,PARAMETROS!B:B))</f>
        <v>012009004010</v>
      </c>
      <c r="C244" t="str">
        <f>IF(_xlfn.XLOOKUP(A244,PARAMETROS!A:A,PARAMETROS!C:C)=0,"",_xlfn.XLOOKUP(A244,PARAMETROS!A:A,PARAMETROS!C:C))</f>
        <v/>
      </c>
      <c r="D244" t="str">
        <f>IF(_xlfn.XLOOKUP(A244,PARAMETROS!A:A,PARAMETROS!D:D)=0,"",_xlfn.XLOOKUP(A244,PARAMETROS!A:A,PARAMETROS!D:D))</f>
        <v/>
      </c>
      <c r="E244" t="str">
        <f>IF(_xlfn.XLOOKUP('PREENCHIMENTO|LETIVAS'!A244,PARAMETROS!A:A,PARAMETROS!I:I)=0,"",_xlfn.XLOOKUP('PREENCHIMENTO|LETIVAS'!A244,PARAMETROS!A:A,PARAMETROS!I:I))</f>
        <v>PROFESSOR DE ENSINO SUPERIOR PRESENCIAL</v>
      </c>
      <c r="F244" s="3" t="s">
        <v>31</v>
      </c>
      <c r="G244" s="3">
        <v>2</v>
      </c>
      <c r="H244" s="3" t="s">
        <v>63</v>
      </c>
      <c r="I244" s="3" t="s">
        <v>40</v>
      </c>
      <c r="J244" s="3" t="s">
        <v>1078</v>
      </c>
      <c r="K244" s="3"/>
      <c r="L244" s="19"/>
      <c r="W244">
        <f t="shared" si="3"/>
        <v>2</v>
      </c>
    </row>
    <row r="245" spans="1:23">
      <c r="A245" s="3" t="s">
        <v>656</v>
      </c>
      <c r="B245" t="str">
        <f>IF(_xlfn.XLOOKUP(A245,PARAMETROS!A:A,PARAMETROS!B:B)=0,"",_xlfn.XLOOKUP(A245,PARAMETROS!A:A,PARAMETROS!B:B))</f>
        <v>012009005387</v>
      </c>
      <c r="C245">
        <f>IF(_xlfn.XLOOKUP(A245,PARAMETROS!A:A,PARAMETROS!C:C)=0,"",_xlfn.XLOOKUP(A245,PARAMETROS!A:A,PARAMETROS!C:C))</f>
        <v>40</v>
      </c>
      <c r="D245">
        <f>IF(_xlfn.XLOOKUP(A245,PARAMETROS!A:A,PARAMETROS!D:D)=0,"",_xlfn.XLOOKUP(A245,PARAMETROS!A:A,PARAMETROS!D:D))</f>
        <v>20</v>
      </c>
      <c r="E245" t="str">
        <f>IF(_xlfn.XLOOKUP('PREENCHIMENTO|LETIVAS'!A245,PARAMETROS!A:A,PARAMETROS!I:I)=0,"",_xlfn.XLOOKUP('PREENCHIMENTO|LETIVAS'!A245,PARAMETROS!A:A,PARAMETROS!I:I))</f>
        <v>PROFESSOR REGENTE</v>
      </c>
      <c r="F245" s="3" t="s">
        <v>31</v>
      </c>
      <c r="G245" s="3" t="s">
        <v>54</v>
      </c>
      <c r="H245" s="3" t="s">
        <v>55</v>
      </c>
      <c r="I245" s="3" t="s">
        <v>33</v>
      </c>
      <c r="J245" s="3" t="s">
        <v>1034</v>
      </c>
      <c r="K245" s="3"/>
      <c r="L245" s="19"/>
      <c r="W245">
        <f t="shared" si="3"/>
        <v>2</v>
      </c>
    </row>
    <row r="246" spans="1:23">
      <c r="A246" s="3" t="s">
        <v>656</v>
      </c>
      <c r="B246" t="str">
        <f>IF(_xlfn.XLOOKUP(A246,PARAMETROS!A:A,PARAMETROS!B:B)=0,"",_xlfn.XLOOKUP(A246,PARAMETROS!A:A,PARAMETROS!B:B))</f>
        <v>012009005387</v>
      </c>
      <c r="C246">
        <f>IF(_xlfn.XLOOKUP(A246,PARAMETROS!A:A,PARAMETROS!C:C)=0,"",_xlfn.XLOOKUP(A246,PARAMETROS!A:A,PARAMETROS!C:C))</f>
        <v>40</v>
      </c>
      <c r="D246">
        <f>IF(_xlfn.XLOOKUP(A246,PARAMETROS!A:A,PARAMETROS!D:D)=0,"",_xlfn.XLOOKUP(A246,PARAMETROS!A:A,PARAMETROS!D:D))</f>
        <v>20</v>
      </c>
      <c r="E246" t="str">
        <f>IF(_xlfn.XLOOKUP('PREENCHIMENTO|LETIVAS'!A246,PARAMETROS!A:A,PARAMETROS!I:I)=0,"",_xlfn.XLOOKUP('PREENCHIMENTO|LETIVAS'!A246,PARAMETROS!A:A,PARAMETROS!I:I))</f>
        <v>PROFESSOR REGENTE</v>
      </c>
      <c r="F246" s="3" t="s">
        <v>31</v>
      </c>
      <c r="G246" s="3">
        <v>2</v>
      </c>
      <c r="H246" s="3" t="s">
        <v>39</v>
      </c>
      <c r="I246" s="3" t="s">
        <v>40</v>
      </c>
      <c r="J246" s="3" t="s">
        <v>1079</v>
      </c>
      <c r="K246" s="3"/>
      <c r="L246" s="19"/>
      <c r="W246">
        <f t="shared" si="3"/>
        <v>2</v>
      </c>
    </row>
    <row r="247" spans="1:23">
      <c r="A247" s="3" t="s">
        <v>656</v>
      </c>
      <c r="B247" t="str">
        <f>IF(_xlfn.XLOOKUP(A247,PARAMETROS!A:A,PARAMETROS!B:B)=0,"",_xlfn.XLOOKUP(A247,PARAMETROS!A:A,PARAMETROS!B:B))</f>
        <v>012009005387</v>
      </c>
      <c r="C247">
        <f>IF(_xlfn.XLOOKUP(A247,PARAMETROS!A:A,PARAMETROS!C:C)=0,"",_xlfn.XLOOKUP(A247,PARAMETROS!A:A,PARAMETROS!C:C))</f>
        <v>40</v>
      </c>
      <c r="D247">
        <f>IF(_xlfn.XLOOKUP(A247,PARAMETROS!A:A,PARAMETROS!D:D)=0,"",_xlfn.XLOOKUP(A247,PARAMETROS!A:A,PARAMETROS!D:D))</f>
        <v>20</v>
      </c>
      <c r="E247" t="str">
        <f>IF(_xlfn.XLOOKUP('PREENCHIMENTO|LETIVAS'!A247,PARAMETROS!A:A,PARAMETROS!I:I)=0,"",_xlfn.XLOOKUP('PREENCHIMENTO|LETIVAS'!A247,PARAMETROS!A:A,PARAMETROS!I:I))</f>
        <v>PROFESSOR REGENTE</v>
      </c>
      <c r="F247" s="3" t="s">
        <v>31</v>
      </c>
      <c r="G247" s="3">
        <v>2</v>
      </c>
      <c r="H247" s="3" t="s">
        <v>55</v>
      </c>
      <c r="I247" s="3" t="s">
        <v>40</v>
      </c>
      <c r="J247" s="3" t="s">
        <v>1080</v>
      </c>
      <c r="K247" s="3"/>
      <c r="L247" s="19"/>
      <c r="W247">
        <f t="shared" si="3"/>
        <v>2</v>
      </c>
    </row>
    <row r="248" spans="1:23">
      <c r="A248" s="3" t="s">
        <v>561</v>
      </c>
      <c r="B248" t="str">
        <f>IF(_xlfn.XLOOKUP(A248,PARAMETROS!A:A,PARAMETROS!B:B)=0,"",_xlfn.XLOOKUP(A248,PARAMETROS!A:A,PARAMETROS!B:B))</f>
        <v>012009006244</v>
      </c>
      <c r="C248">
        <f>IF(_xlfn.XLOOKUP(A248,PARAMETROS!A:A,PARAMETROS!C:C)=0,"",_xlfn.XLOOKUP(A248,PARAMETROS!A:A,PARAMETROS!C:C))</f>
        <v>12</v>
      </c>
      <c r="D248">
        <f>IF(_xlfn.XLOOKUP(A248,PARAMETROS!A:A,PARAMETROS!D:D)=0,"",_xlfn.XLOOKUP(A248,PARAMETROS!A:A,PARAMETROS!D:D))</f>
        <v>9</v>
      </c>
      <c r="E248" t="str">
        <f>IF(_xlfn.XLOOKUP('PREENCHIMENTO|LETIVAS'!A248,PARAMETROS!A:A,PARAMETROS!I:I)=0,"",_xlfn.XLOOKUP('PREENCHIMENTO|LETIVAS'!A248,PARAMETROS!A:A,PARAMETROS!I:I))</f>
        <v>PROFESSOR REGENTE</v>
      </c>
      <c r="F248" s="3" t="s">
        <v>31</v>
      </c>
      <c r="G248" s="3">
        <v>2</v>
      </c>
      <c r="H248" s="3" t="s">
        <v>63</v>
      </c>
      <c r="I248" s="3" t="s">
        <v>33</v>
      </c>
      <c r="J248" s="3" t="s">
        <v>1081</v>
      </c>
      <c r="K248" s="3"/>
      <c r="L248" s="19"/>
      <c r="W248">
        <f t="shared" si="3"/>
        <v>2</v>
      </c>
    </row>
    <row r="249" spans="1:23">
      <c r="A249" s="3" t="s">
        <v>638</v>
      </c>
      <c r="B249" t="str">
        <f>IF(_xlfn.XLOOKUP(A249,PARAMETROS!A:A,PARAMETROS!B:B)=0,"",_xlfn.XLOOKUP(A249,PARAMETROS!A:A,PARAMETROS!B:B))</f>
        <v>012009006279</v>
      </c>
      <c r="C249">
        <f>IF(_xlfn.XLOOKUP(A249,PARAMETROS!A:A,PARAMETROS!C:C)=0,"",_xlfn.XLOOKUP(A249,PARAMETROS!A:A,PARAMETROS!C:C))</f>
        <v>40</v>
      </c>
      <c r="D249">
        <f>IF(_xlfn.XLOOKUP(A249,PARAMETROS!A:A,PARAMETROS!D:D)=0,"",_xlfn.XLOOKUP(A249,PARAMETROS!A:A,PARAMETROS!D:D))</f>
        <v>20</v>
      </c>
      <c r="E249" t="str">
        <f>IF(_xlfn.XLOOKUP('PREENCHIMENTO|LETIVAS'!A249,PARAMETROS!A:A,PARAMETROS!I:I)=0,"",_xlfn.XLOOKUP('PREENCHIMENTO|LETIVAS'!A249,PARAMETROS!A:A,PARAMETROS!I:I))</f>
        <v>PROFESSOR REGENTE</v>
      </c>
      <c r="F249" s="3" t="s">
        <v>31</v>
      </c>
      <c r="G249" s="3">
        <v>1</v>
      </c>
      <c r="H249" s="3" t="s">
        <v>39</v>
      </c>
      <c r="I249" s="3" t="s">
        <v>40</v>
      </c>
      <c r="J249" s="3" t="s">
        <v>1082</v>
      </c>
      <c r="K249" s="3"/>
      <c r="L249" s="19"/>
      <c r="W249">
        <f t="shared" si="3"/>
        <v>2</v>
      </c>
    </row>
    <row r="250" spans="1:23">
      <c r="A250" s="3" t="s">
        <v>665</v>
      </c>
      <c r="B250" t="str">
        <f>IF(_xlfn.XLOOKUP(A250,PARAMETROS!A:A,PARAMETROS!B:B)=0,"",_xlfn.XLOOKUP(A250,PARAMETROS!A:A,PARAMETROS!B:B))</f>
        <v>012009002461</v>
      </c>
      <c r="C250">
        <f>IF(_xlfn.XLOOKUP(A250,PARAMETROS!A:A,PARAMETROS!C:C)=0,"",_xlfn.XLOOKUP(A250,PARAMETROS!A:A,PARAMETROS!C:C))</f>
        <v>40</v>
      </c>
      <c r="D250">
        <f>IF(_xlfn.XLOOKUP(A250,PARAMETROS!A:A,PARAMETROS!D:D)=0,"",_xlfn.XLOOKUP(A250,PARAMETROS!A:A,PARAMETROS!D:D))</f>
        <v>20</v>
      </c>
      <c r="E250" t="str">
        <f>IF(_xlfn.XLOOKUP('PREENCHIMENTO|LETIVAS'!A250,PARAMETROS!A:A,PARAMETROS!I:I)=0,"",_xlfn.XLOOKUP('PREENCHIMENTO|LETIVAS'!A250,PARAMETROS!A:A,PARAMETROS!I:I))</f>
        <v>PROFESSOR REGENTE</v>
      </c>
      <c r="F250" s="3" t="s">
        <v>31</v>
      </c>
      <c r="G250" s="3">
        <v>2</v>
      </c>
      <c r="H250" s="3" t="s">
        <v>63</v>
      </c>
      <c r="I250" s="3" t="s">
        <v>33</v>
      </c>
      <c r="J250" s="3" t="s">
        <v>1083</v>
      </c>
      <c r="K250" s="3"/>
      <c r="L250" s="19"/>
      <c r="W250">
        <f t="shared" si="3"/>
        <v>2</v>
      </c>
    </row>
    <row r="251" spans="1:23">
      <c r="A251" s="3" t="s">
        <v>665</v>
      </c>
      <c r="B251" t="str">
        <f>IF(_xlfn.XLOOKUP(A251,PARAMETROS!A:A,PARAMETROS!B:B)=0,"",_xlfn.XLOOKUP(A251,PARAMETROS!A:A,PARAMETROS!B:B))</f>
        <v>012009002461</v>
      </c>
      <c r="C251">
        <f>IF(_xlfn.XLOOKUP(A251,PARAMETROS!A:A,PARAMETROS!C:C)=0,"",_xlfn.XLOOKUP(A251,PARAMETROS!A:A,PARAMETROS!C:C))</f>
        <v>40</v>
      </c>
      <c r="D251">
        <f>IF(_xlfn.XLOOKUP(A251,PARAMETROS!A:A,PARAMETROS!D:D)=0,"",_xlfn.XLOOKUP(A251,PARAMETROS!A:A,PARAMETROS!D:D))</f>
        <v>20</v>
      </c>
      <c r="E251" t="str">
        <f>IF(_xlfn.XLOOKUP('PREENCHIMENTO|LETIVAS'!A251,PARAMETROS!A:A,PARAMETROS!I:I)=0,"",_xlfn.XLOOKUP('PREENCHIMENTO|LETIVAS'!A251,PARAMETROS!A:A,PARAMETROS!I:I))</f>
        <v>PROFESSOR REGENTE</v>
      </c>
      <c r="F251" s="3" t="s">
        <v>31</v>
      </c>
      <c r="G251" s="3">
        <v>1</v>
      </c>
      <c r="H251" s="3" t="s">
        <v>39</v>
      </c>
      <c r="I251" s="3" t="s">
        <v>33</v>
      </c>
      <c r="J251" s="3" t="s">
        <v>1084</v>
      </c>
      <c r="K251" s="3"/>
      <c r="L251" s="19"/>
      <c r="W251">
        <f t="shared" si="3"/>
        <v>2</v>
      </c>
    </row>
    <row r="252" spans="1:23">
      <c r="A252" s="3" t="s">
        <v>665</v>
      </c>
      <c r="B252" t="str">
        <f>IF(_xlfn.XLOOKUP(A252,PARAMETROS!A:A,PARAMETROS!B:B)=0,"",_xlfn.XLOOKUP(A252,PARAMETROS!A:A,PARAMETROS!B:B))</f>
        <v>012009002461</v>
      </c>
      <c r="C252">
        <f>IF(_xlfn.XLOOKUP(A252,PARAMETROS!A:A,PARAMETROS!C:C)=0,"",_xlfn.XLOOKUP(A252,PARAMETROS!A:A,PARAMETROS!C:C))</f>
        <v>40</v>
      </c>
      <c r="D252">
        <f>IF(_xlfn.XLOOKUP(A252,PARAMETROS!A:A,PARAMETROS!D:D)=0,"",_xlfn.XLOOKUP(A252,PARAMETROS!A:A,PARAMETROS!D:D))</f>
        <v>20</v>
      </c>
      <c r="E252" t="str">
        <f>IF(_xlfn.XLOOKUP('PREENCHIMENTO|LETIVAS'!A252,PARAMETROS!A:A,PARAMETROS!I:I)=0,"",_xlfn.XLOOKUP('PREENCHIMENTO|LETIVAS'!A252,PARAMETROS!A:A,PARAMETROS!I:I))</f>
        <v>PROFESSOR REGENTE</v>
      </c>
      <c r="F252" s="3" t="s">
        <v>31</v>
      </c>
      <c r="G252" s="3">
        <v>1</v>
      </c>
      <c r="H252" s="3" t="s">
        <v>39</v>
      </c>
      <c r="I252" s="3" t="s">
        <v>33</v>
      </c>
      <c r="J252" s="3" t="s">
        <v>1085</v>
      </c>
      <c r="K252" s="3"/>
      <c r="L252" s="19"/>
      <c r="W252">
        <f t="shared" si="3"/>
        <v>2</v>
      </c>
    </row>
    <row r="253" spans="1:23">
      <c r="A253" s="3" t="s">
        <v>602</v>
      </c>
      <c r="B253" t="str">
        <f>IF(_xlfn.XLOOKUP(A253,PARAMETROS!A:A,PARAMETROS!B:B)=0,"",_xlfn.XLOOKUP(A253,PARAMETROS!A:A,PARAMETROS!B:B))</f>
        <v>012009006310</v>
      </c>
      <c r="C253">
        <f>IF(_xlfn.XLOOKUP(A253,PARAMETROS!A:A,PARAMETROS!C:C)=0,"",_xlfn.XLOOKUP(A253,PARAMETROS!A:A,PARAMETROS!C:C))</f>
        <v>12</v>
      </c>
      <c r="D253">
        <f>IF(_xlfn.XLOOKUP(A253,PARAMETROS!A:A,PARAMETROS!D:D)=0,"",_xlfn.XLOOKUP(A253,PARAMETROS!A:A,PARAMETROS!D:D))</f>
        <v>9</v>
      </c>
      <c r="E253" t="str">
        <f>IF(_xlfn.XLOOKUP('PREENCHIMENTO|LETIVAS'!A253,PARAMETROS!A:A,PARAMETROS!I:I)=0,"",_xlfn.XLOOKUP('PREENCHIMENTO|LETIVAS'!A253,PARAMETROS!A:A,PARAMETROS!I:I))</f>
        <v>PROFESSOR REGENTE</v>
      </c>
      <c r="F253" s="3" t="s">
        <v>31</v>
      </c>
      <c r="G253" s="3">
        <v>2</v>
      </c>
      <c r="H253" s="3" t="s">
        <v>63</v>
      </c>
      <c r="I253" s="3" t="s">
        <v>33</v>
      </c>
      <c r="J253" s="3" t="s">
        <v>894</v>
      </c>
      <c r="K253" s="3"/>
      <c r="L253" s="19"/>
      <c r="W253">
        <f t="shared" si="3"/>
        <v>2</v>
      </c>
    </row>
    <row r="254" spans="1:23">
      <c r="A254" s="3" t="s">
        <v>192</v>
      </c>
      <c r="B254" t="str">
        <f>IF(_xlfn.XLOOKUP(A254,PARAMETROS!A:A,PARAMETROS!B:B)=0,"",_xlfn.XLOOKUP(A254,PARAMETROS!A:A,PARAMETROS!B:B))</f>
        <v>012009006205</v>
      </c>
      <c r="C254">
        <f>IF(_xlfn.XLOOKUP(A254,PARAMETROS!A:A,PARAMETROS!C:C)=0,"",_xlfn.XLOOKUP(A254,PARAMETROS!A:A,PARAMETROS!C:C))</f>
        <v>12</v>
      </c>
      <c r="D254">
        <f>IF(_xlfn.XLOOKUP(A254,PARAMETROS!A:A,PARAMETROS!D:D)=0,"",_xlfn.XLOOKUP(A254,PARAMETROS!A:A,PARAMETROS!D:D))</f>
        <v>9</v>
      </c>
      <c r="E254" t="str">
        <f>IF(_xlfn.XLOOKUP('PREENCHIMENTO|LETIVAS'!A254,PARAMETROS!A:A,PARAMETROS!I:I)=0,"",_xlfn.XLOOKUP('PREENCHIMENTO|LETIVAS'!A254,PARAMETROS!A:A,PARAMETROS!I:I))</f>
        <v>PROFESSOR REGENTE</v>
      </c>
      <c r="F254" s="3" t="s">
        <v>31</v>
      </c>
      <c r="G254" s="3">
        <v>1</v>
      </c>
      <c r="H254" s="3" t="s">
        <v>63</v>
      </c>
      <c r="I254" s="3" t="s">
        <v>33</v>
      </c>
      <c r="J254" s="3" t="s">
        <v>1054</v>
      </c>
      <c r="K254" s="3"/>
      <c r="L254" s="19"/>
      <c r="W254">
        <f t="shared" si="3"/>
        <v>2</v>
      </c>
    </row>
    <row r="255" spans="1:23">
      <c r="A255" s="3" t="s">
        <v>192</v>
      </c>
      <c r="B255" t="str">
        <f>IF(_xlfn.XLOOKUP(A255,PARAMETROS!A:A,PARAMETROS!B:B)=0,"",_xlfn.XLOOKUP(A255,PARAMETROS!A:A,PARAMETROS!B:B))</f>
        <v>012009006205</v>
      </c>
      <c r="C255">
        <f>IF(_xlfn.XLOOKUP(A255,PARAMETROS!A:A,PARAMETROS!C:C)=0,"",_xlfn.XLOOKUP(A255,PARAMETROS!A:A,PARAMETROS!C:C))</f>
        <v>12</v>
      </c>
      <c r="D255">
        <f>IF(_xlfn.XLOOKUP(A255,PARAMETROS!A:A,PARAMETROS!D:D)=0,"",_xlfn.XLOOKUP(A255,PARAMETROS!A:A,PARAMETROS!D:D))</f>
        <v>9</v>
      </c>
      <c r="E255" t="str">
        <f>IF(_xlfn.XLOOKUP('PREENCHIMENTO|LETIVAS'!A255,PARAMETROS!A:A,PARAMETROS!I:I)=0,"",_xlfn.XLOOKUP('PREENCHIMENTO|LETIVAS'!A255,PARAMETROS!A:A,PARAMETROS!I:I))</f>
        <v>PROFESSOR REGENTE</v>
      </c>
      <c r="F255" s="3" t="s">
        <v>31</v>
      </c>
      <c r="G255" s="3">
        <v>2</v>
      </c>
      <c r="H255" s="3" t="s">
        <v>39</v>
      </c>
      <c r="I255" s="3" t="s">
        <v>40</v>
      </c>
      <c r="J255" s="3" t="s">
        <v>1055</v>
      </c>
      <c r="K255" s="3"/>
      <c r="L255" s="19"/>
      <c r="W255">
        <f t="shared" si="3"/>
        <v>2</v>
      </c>
    </row>
    <row r="256" spans="1:23">
      <c r="A256" s="3" t="s">
        <v>420</v>
      </c>
      <c r="B256" t="str">
        <f>IF(_xlfn.XLOOKUP(A256,PARAMETROS!A:A,PARAMETROS!B:B)=0,"",_xlfn.XLOOKUP(A256,PARAMETROS!A:A,PARAMETROS!B:B))</f>
        <v>012009006217</v>
      </c>
      <c r="C256">
        <f>IF(_xlfn.XLOOKUP(A256,PARAMETROS!A:A,PARAMETROS!C:C)=0,"",_xlfn.XLOOKUP(A256,PARAMETROS!A:A,PARAMETROS!C:C))</f>
        <v>12</v>
      </c>
      <c r="D256">
        <f>IF(_xlfn.XLOOKUP(A256,PARAMETROS!A:A,PARAMETROS!D:D)=0,"",_xlfn.XLOOKUP(A256,PARAMETROS!A:A,PARAMETROS!D:D))</f>
        <v>9</v>
      </c>
      <c r="E256" t="str">
        <f>IF(_xlfn.XLOOKUP('PREENCHIMENTO|LETIVAS'!A256,PARAMETROS!A:A,PARAMETROS!I:I)=0,"",_xlfn.XLOOKUP('PREENCHIMENTO|LETIVAS'!A256,PARAMETROS!A:A,PARAMETROS!I:I))</f>
        <v>PROFESSOR REGENTE</v>
      </c>
      <c r="F256" s="3" t="s">
        <v>31</v>
      </c>
      <c r="G256" s="3">
        <v>2</v>
      </c>
      <c r="H256" s="3" t="s">
        <v>63</v>
      </c>
      <c r="I256" s="3" t="s">
        <v>40</v>
      </c>
      <c r="J256" s="12" t="s">
        <v>1086</v>
      </c>
      <c r="K256" s="3"/>
      <c r="L256" s="19"/>
      <c r="W256">
        <f t="shared" si="3"/>
        <v>2</v>
      </c>
    </row>
    <row r="257" spans="1:23">
      <c r="A257" s="3" t="s">
        <v>566</v>
      </c>
      <c r="B257" t="str">
        <f>IF(_xlfn.XLOOKUP(A257,PARAMETROS!A:A,PARAMETROS!B:B)=0,"",_xlfn.XLOOKUP(A257,PARAMETROS!A:A,PARAMETROS!B:B))</f>
        <v>012009006250</v>
      </c>
      <c r="C257">
        <f>IF(_xlfn.XLOOKUP(A257,PARAMETROS!A:A,PARAMETROS!C:C)=0,"",_xlfn.XLOOKUP(A257,PARAMETROS!A:A,PARAMETROS!C:C))</f>
        <v>12</v>
      </c>
      <c r="D257">
        <f>IF(_xlfn.XLOOKUP(A257,PARAMETROS!A:A,PARAMETROS!D:D)=0,"",_xlfn.XLOOKUP(A257,PARAMETROS!A:A,PARAMETROS!D:D))</f>
        <v>9</v>
      </c>
      <c r="E257" t="str">
        <f>IF(_xlfn.XLOOKUP('PREENCHIMENTO|LETIVAS'!A257,PARAMETROS!A:A,PARAMETROS!I:I)=0,"",_xlfn.XLOOKUP('PREENCHIMENTO|LETIVAS'!A257,PARAMETROS!A:A,PARAMETROS!I:I))</f>
        <v>PROFESSOR REGENTE</v>
      </c>
      <c r="F257" s="3" t="s">
        <v>31</v>
      </c>
      <c r="G257" s="3">
        <v>2</v>
      </c>
      <c r="H257" s="3" t="s">
        <v>63</v>
      </c>
      <c r="I257" s="3" t="s">
        <v>33</v>
      </c>
      <c r="J257" s="3" t="s">
        <v>999</v>
      </c>
      <c r="K257" s="3"/>
      <c r="L257" s="19"/>
      <c r="W257">
        <f t="shared" si="3"/>
        <v>2</v>
      </c>
    </row>
    <row r="258" spans="1:23">
      <c r="A258" s="3" t="s">
        <v>566</v>
      </c>
      <c r="B258" t="str">
        <f>IF(_xlfn.XLOOKUP(A258,PARAMETROS!A:A,PARAMETROS!B:B)=0,"",_xlfn.XLOOKUP(A258,PARAMETROS!A:A,PARAMETROS!B:B))</f>
        <v>012009006250</v>
      </c>
      <c r="C258">
        <f>IF(_xlfn.XLOOKUP(A258,PARAMETROS!A:A,PARAMETROS!C:C)=0,"",_xlfn.XLOOKUP(A258,PARAMETROS!A:A,PARAMETROS!C:C))</f>
        <v>12</v>
      </c>
      <c r="D258">
        <f>IF(_xlfn.XLOOKUP(A258,PARAMETROS!A:A,PARAMETROS!D:D)=0,"",_xlfn.XLOOKUP(A258,PARAMETROS!A:A,PARAMETROS!D:D))</f>
        <v>9</v>
      </c>
      <c r="E258" t="str">
        <f>IF(_xlfn.XLOOKUP('PREENCHIMENTO|LETIVAS'!A258,PARAMETROS!A:A,PARAMETROS!I:I)=0,"",_xlfn.XLOOKUP('PREENCHIMENTO|LETIVAS'!A258,PARAMETROS!A:A,PARAMETROS!I:I))</f>
        <v>PROFESSOR REGENTE</v>
      </c>
      <c r="F258" s="3" t="s">
        <v>31</v>
      </c>
      <c r="G258" s="3">
        <v>2</v>
      </c>
      <c r="H258" s="3" t="s">
        <v>63</v>
      </c>
      <c r="I258" s="3" t="s">
        <v>40</v>
      </c>
      <c r="J258" s="3" t="s">
        <v>1087</v>
      </c>
      <c r="K258" s="3"/>
      <c r="L258" s="19"/>
      <c r="W258">
        <f t="shared" si="3"/>
        <v>2</v>
      </c>
    </row>
    <row r="259" spans="1:23">
      <c r="A259" s="3" t="s">
        <v>566</v>
      </c>
      <c r="B259" t="str">
        <f>IF(_xlfn.XLOOKUP(A259,PARAMETROS!A:A,PARAMETROS!B:B)=0,"",_xlfn.XLOOKUP(A259,PARAMETROS!A:A,PARAMETROS!B:B))</f>
        <v>012009006250</v>
      </c>
      <c r="C259">
        <f>IF(_xlfn.XLOOKUP(A259,PARAMETROS!A:A,PARAMETROS!C:C)=0,"",_xlfn.XLOOKUP(A259,PARAMETROS!A:A,PARAMETROS!C:C))</f>
        <v>12</v>
      </c>
      <c r="D259">
        <f>IF(_xlfn.XLOOKUP(A259,PARAMETROS!A:A,PARAMETROS!D:D)=0,"",_xlfn.XLOOKUP(A259,PARAMETROS!A:A,PARAMETROS!D:D))</f>
        <v>9</v>
      </c>
      <c r="E259" t="str">
        <f>IF(_xlfn.XLOOKUP('PREENCHIMENTO|LETIVAS'!A259,PARAMETROS!A:A,PARAMETROS!I:I)=0,"",_xlfn.XLOOKUP('PREENCHIMENTO|LETIVAS'!A259,PARAMETROS!A:A,PARAMETROS!I:I))</f>
        <v>PROFESSOR REGENTE</v>
      </c>
      <c r="F259" s="3" t="s">
        <v>31</v>
      </c>
      <c r="G259" s="3">
        <v>2</v>
      </c>
      <c r="H259" s="3" t="s">
        <v>55</v>
      </c>
      <c r="I259" s="3" t="s">
        <v>40</v>
      </c>
      <c r="J259" s="3" t="s">
        <v>1088</v>
      </c>
      <c r="K259" s="3"/>
      <c r="L259" s="19"/>
      <c r="W259">
        <f t="shared" si="3"/>
        <v>2</v>
      </c>
    </row>
    <row r="260" spans="1:23">
      <c r="A260" s="3" t="s">
        <v>566</v>
      </c>
      <c r="B260" t="str">
        <f>IF(_xlfn.XLOOKUP(A260,PARAMETROS!A:A,PARAMETROS!B:B)=0,"",_xlfn.XLOOKUP(A260,PARAMETROS!A:A,PARAMETROS!B:B))</f>
        <v>012009006250</v>
      </c>
      <c r="C260">
        <f>IF(_xlfn.XLOOKUP(A260,PARAMETROS!A:A,PARAMETROS!C:C)=0,"",_xlfn.XLOOKUP(A260,PARAMETROS!A:A,PARAMETROS!C:C))</f>
        <v>12</v>
      </c>
      <c r="D260">
        <f>IF(_xlfn.XLOOKUP(A260,PARAMETROS!A:A,PARAMETROS!D:D)=0,"",_xlfn.XLOOKUP(A260,PARAMETROS!A:A,PARAMETROS!D:D))</f>
        <v>9</v>
      </c>
      <c r="E260" t="str">
        <f>IF(_xlfn.XLOOKUP('PREENCHIMENTO|LETIVAS'!A260,PARAMETROS!A:A,PARAMETROS!I:I)=0,"",_xlfn.XLOOKUP('PREENCHIMENTO|LETIVAS'!A260,PARAMETROS!A:A,PARAMETROS!I:I))</f>
        <v>PROFESSOR REGENTE</v>
      </c>
      <c r="F260" s="3" t="s">
        <v>31</v>
      </c>
      <c r="G260" s="3">
        <v>2</v>
      </c>
      <c r="H260" s="3" t="s">
        <v>39</v>
      </c>
      <c r="I260" s="3" t="s">
        <v>33</v>
      </c>
      <c r="J260" s="3" t="s">
        <v>1089</v>
      </c>
      <c r="K260" s="3"/>
      <c r="L260" s="19"/>
      <c r="W260">
        <f t="shared" si="3"/>
        <v>2</v>
      </c>
    </row>
    <row r="261" spans="1:23">
      <c r="A261" s="3" t="s">
        <v>566</v>
      </c>
      <c r="B261" t="str">
        <f>IF(_xlfn.XLOOKUP(A261,PARAMETROS!A:A,PARAMETROS!B:B)=0,"",_xlfn.XLOOKUP(A261,PARAMETROS!A:A,PARAMETROS!B:B))</f>
        <v>012009006250</v>
      </c>
      <c r="C261">
        <f>IF(_xlfn.XLOOKUP(A261,PARAMETROS!A:A,PARAMETROS!C:C)=0,"",_xlfn.XLOOKUP(A261,PARAMETROS!A:A,PARAMETROS!C:C))</f>
        <v>12</v>
      </c>
      <c r="D261">
        <f>IF(_xlfn.XLOOKUP(A261,PARAMETROS!A:A,PARAMETROS!D:D)=0,"",_xlfn.XLOOKUP(A261,PARAMETROS!A:A,PARAMETROS!D:D))</f>
        <v>9</v>
      </c>
      <c r="E261" t="str">
        <f>IF(_xlfn.XLOOKUP('PREENCHIMENTO|LETIVAS'!A261,PARAMETROS!A:A,PARAMETROS!I:I)=0,"",_xlfn.XLOOKUP('PREENCHIMENTO|LETIVAS'!A261,PARAMETROS!A:A,PARAMETROS!I:I))</f>
        <v>PROFESSOR REGENTE</v>
      </c>
      <c r="F261" s="3" t="s">
        <v>31</v>
      </c>
      <c r="G261" s="3">
        <v>2</v>
      </c>
      <c r="H261" s="3" t="s">
        <v>39</v>
      </c>
      <c r="I261" s="3" t="s">
        <v>33</v>
      </c>
      <c r="J261" s="3" t="s">
        <v>1088</v>
      </c>
      <c r="K261" s="3"/>
      <c r="L261" s="19"/>
      <c r="W261">
        <f t="shared" si="3"/>
        <v>2</v>
      </c>
    </row>
    <row r="262" spans="1:23">
      <c r="A262" s="3" t="s">
        <v>447</v>
      </c>
      <c r="B262" t="str">
        <f>IF(_xlfn.XLOOKUP(A262,PARAMETROS!A:A,PARAMETROS!B:B)=0,"",_xlfn.XLOOKUP(A262,PARAMETROS!A:A,PARAMETROS!B:B))</f>
        <v>012009005844</v>
      </c>
      <c r="C262">
        <f>IF(_xlfn.XLOOKUP(A262,PARAMETROS!A:A,PARAMETROS!C:C)=0,"",_xlfn.XLOOKUP(A262,PARAMETROS!A:A,PARAMETROS!C:C))</f>
        <v>20</v>
      </c>
      <c r="D262">
        <f>IF(_xlfn.XLOOKUP(A262,PARAMETROS!A:A,PARAMETROS!D:D)=0,"",_xlfn.XLOOKUP(A262,PARAMETROS!A:A,PARAMETROS!D:D))</f>
        <v>2</v>
      </c>
      <c r="E262" t="str">
        <f>IF(_xlfn.XLOOKUP('PREENCHIMENTO|LETIVAS'!A262,PARAMETROS!A:A,PARAMETROS!I:I)=0,"",_xlfn.XLOOKUP('PREENCHIMENTO|LETIVAS'!A262,PARAMETROS!A:A,PARAMETROS!I:I))</f>
        <v>PROFESSOR DE ENSINO SUPERIOR EAD</v>
      </c>
      <c r="F262" s="3" t="s">
        <v>31</v>
      </c>
      <c r="G262" s="3">
        <v>2</v>
      </c>
      <c r="H262" s="3" t="s">
        <v>39</v>
      </c>
      <c r="I262" s="3" t="s">
        <v>40</v>
      </c>
      <c r="J262" s="3" t="s">
        <v>1090</v>
      </c>
      <c r="K262" s="3"/>
      <c r="L262" s="19"/>
      <c r="W262">
        <f t="shared" si="3"/>
        <v>2</v>
      </c>
    </row>
    <row r="263" spans="1:23">
      <c r="A263" s="3" t="s">
        <v>682</v>
      </c>
      <c r="B263" t="str">
        <f>IF(_xlfn.XLOOKUP(A263,PARAMETROS!A:A,PARAMETROS!B:B)=0,"",_xlfn.XLOOKUP(A263,PARAMETROS!A:A,PARAMETROS!B:B))</f>
        <v>012009004482</v>
      </c>
      <c r="C263" t="str">
        <f>IF(_xlfn.XLOOKUP(A263,PARAMETROS!A:A,PARAMETROS!C:C)=0,"",_xlfn.XLOOKUP(A263,PARAMETROS!A:A,PARAMETROS!C:C))</f>
        <v/>
      </c>
      <c r="D263" t="str">
        <f>IF(_xlfn.XLOOKUP(A263,PARAMETROS!A:A,PARAMETROS!D:D)=0,"",_xlfn.XLOOKUP(A263,PARAMETROS!A:A,PARAMETROS!D:D))</f>
        <v/>
      </c>
      <c r="E263" t="str">
        <f>IF(_xlfn.XLOOKUP('PREENCHIMENTO|LETIVAS'!A263,PARAMETROS!A:A,PARAMETROS!I:I)=0,"",_xlfn.XLOOKUP('PREENCHIMENTO|LETIVAS'!A263,PARAMETROS!A:A,PARAMETROS!I:I))</f>
        <v>PROFESSOR DE ENSINO SUPERIOR PRESENCIAL</v>
      </c>
      <c r="F263" s="3" t="s">
        <v>31</v>
      </c>
      <c r="G263" s="3">
        <v>1</v>
      </c>
      <c r="H263" s="3" t="s">
        <v>63</v>
      </c>
      <c r="I263" s="3"/>
      <c r="J263" s="3" t="s">
        <v>1091</v>
      </c>
      <c r="K263" s="3"/>
      <c r="L263" s="19"/>
      <c r="W263">
        <f t="shared" si="3"/>
        <v>0</v>
      </c>
    </row>
    <row r="264" spans="1:23">
      <c r="A264" s="3" t="s">
        <v>682</v>
      </c>
      <c r="B264" t="str">
        <f>IF(_xlfn.XLOOKUP(A264,PARAMETROS!A:A,PARAMETROS!B:B)=0,"",_xlfn.XLOOKUP(A264,PARAMETROS!A:A,PARAMETROS!B:B))</f>
        <v>012009004482</v>
      </c>
      <c r="C264" t="str">
        <f>IF(_xlfn.XLOOKUP(A264,PARAMETROS!A:A,PARAMETROS!C:C)=0,"",_xlfn.XLOOKUP(A264,PARAMETROS!A:A,PARAMETROS!C:C))</f>
        <v/>
      </c>
      <c r="D264" t="str">
        <f>IF(_xlfn.XLOOKUP(A264,PARAMETROS!A:A,PARAMETROS!D:D)=0,"",_xlfn.XLOOKUP(A264,PARAMETROS!A:A,PARAMETROS!D:D))</f>
        <v/>
      </c>
      <c r="E264" t="str">
        <f>IF(_xlfn.XLOOKUP('PREENCHIMENTO|LETIVAS'!A264,PARAMETROS!A:A,PARAMETROS!I:I)=0,"",_xlfn.XLOOKUP('PREENCHIMENTO|LETIVAS'!A264,PARAMETROS!A:A,PARAMETROS!I:I))</f>
        <v>PROFESSOR DE ENSINO SUPERIOR PRESENCIAL</v>
      </c>
      <c r="F264" s="3" t="s">
        <v>31</v>
      </c>
      <c r="G264" s="3">
        <v>2</v>
      </c>
      <c r="H264" s="3" t="s">
        <v>32</v>
      </c>
      <c r="I264" s="3" t="s">
        <v>33</v>
      </c>
      <c r="J264" s="3" t="s">
        <v>1092</v>
      </c>
      <c r="K264" s="3"/>
      <c r="L264" s="19"/>
      <c r="W264">
        <f t="shared" si="3"/>
        <v>2</v>
      </c>
    </row>
    <row r="265" spans="1:23">
      <c r="A265" s="3" t="s">
        <v>410</v>
      </c>
      <c r="B265" t="str">
        <f>IF(_xlfn.XLOOKUP(A265,PARAMETROS!A:A,PARAMETROS!B:B)=0,"",_xlfn.XLOOKUP(A265,PARAMETROS!A:A,PARAMETROS!B:B))</f>
        <v>012009003848</v>
      </c>
      <c r="C265">
        <f>IF(_xlfn.XLOOKUP(A265,PARAMETROS!A:A,PARAMETROS!C:C)=0,"",_xlfn.XLOOKUP(A265,PARAMETROS!A:A,PARAMETROS!C:C))</f>
        <v>40</v>
      </c>
      <c r="D265">
        <f>IF(_xlfn.XLOOKUP(A265,PARAMETROS!A:A,PARAMETROS!D:D)=0,"",_xlfn.XLOOKUP(A265,PARAMETROS!A:A,PARAMETROS!D:D))</f>
        <v>4</v>
      </c>
      <c r="E265" t="str">
        <f>IF(_xlfn.XLOOKUP('PREENCHIMENTO|LETIVAS'!A265,PARAMETROS!A:A,PARAMETROS!I:I)=0,"",_xlfn.XLOOKUP('PREENCHIMENTO|LETIVAS'!A265,PARAMETROS!A:A,PARAMETROS!I:I))</f>
        <v>PROFESSOR DE ENSINO SUPERIOR EAD</v>
      </c>
      <c r="F265" s="3" t="s">
        <v>31</v>
      </c>
      <c r="G265" s="3">
        <v>1</v>
      </c>
      <c r="H265" s="3" t="s">
        <v>32</v>
      </c>
      <c r="I265" s="3" t="s">
        <v>33</v>
      </c>
      <c r="J265" s="3" t="s">
        <v>1093</v>
      </c>
      <c r="K265" s="3"/>
      <c r="L265" s="19"/>
      <c r="W265">
        <f t="shared" si="3"/>
        <v>2</v>
      </c>
    </row>
    <row r="266" spans="1:23">
      <c r="A266" s="3" t="s">
        <v>410</v>
      </c>
      <c r="B266" t="str">
        <f>IF(_xlfn.XLOOKUP(A266,PARAMETROS!A:A,PARAMETROS!B:B)=0,"",_xlfn.XLOOKUP(A266,PARAMETROS!A:A,PARAMETROS!B:B))</f>
        <v>012009003848</v>
      </c>
      <c r="C266">
        <f>IF(_xlfn.XLOOKUP(A266,PARAMETROS!A:A,PARAMETROS!C:C)=0,"",_xlfn.XLOOKUP(A266,PARAMETROS!A:A,PARAMETROS!C:C))</f>
        <v>40</v>
      </c>
      <c r="D266">
        <f>IF(_xlfn.XLOOKUP(A266,PARAMETROS!A:A,PARAMETROS!D:D)=0,"",_xlfn.XLOOKUP(A266,PARAMETROS!A:A,PARAMETROS!D:D))</f>
        <v>4</v>
      </c>
      <c r="E266" t="str">
        <f>IF(_xlfn.XLOOKUP('PREENCHIMENTO|LETIVAS'!A266,PARAMETROS!A:A,PARAMETROS!I:I)=0,"",_xlfn.XLOOKUP('PREENCHIMENTO|LETIVAS'!A266,PARAMETROS!A:A,PARAMETROS!I:I))</f>
        <v>PROFESSOR DE ENSINO SUPERIOR EAD</v>
      </c>
      <c r="F266" s="3" t="s">
        <v>31</v>
      </c>
      <c r="G266" s="3">
        <v>2</v>
      </c>
      <c r="H266" s="3" t="s">
        <v>32</v>
      </c>
      <c r="I266" s="3" t="s">
        <v>33</v>
      </c>
      <c r="J266" s="3" t="s">
        <v>1094</v>
      </c>
      <c r="K266" s="3"/>
      <c r="L266" s="19"/>
      <c r="W266">
        <f t="shared" si="3"/>
        <v>2</v>
      </c>
    </row>
    <row r="267" spans="1:23">
      <c r="A267" s="3" t="s">
        <v>410</v>
      </c>
      <c r="B267" t="str">
        <f>IF(_xlfn.XLOOKUP(A267,PARAMETROS!A:A,PARAMETROS!B:B)=0,"",_xlfn.XLOOKUP(A267,PARAMETROS!A:A,PARAMETROS!B:B))</f>
        <v>012009003848</v>
      </c>
      <c r="C267">
        <f>IF(_xlfn.XLOOKUP(A267,PARAMETROS!A:A,PARAMETROS!C:C)=0,"",_xlfn.XLOOKUP(A267,PARAMETROS!A:A,PARAMETROS!C:C))</f>
        <v>40</v>
      </c>
      <c r="D267">
        <f>IF(_xlfn.XLOOKUP(A267,PARAMETROS!A:A,PARAMETROS!D:D)=0,"",_xlfn.XLOOKUP(A267,PARAMETROS!A:A,PARAMETROS!D:D))</f>
        <v>4</v>
      </c>
      <c r="E267" t="str">
        <f>IF(_xlfn.XLOOKUP('PREENCHIMENTO|LETIVAS'!A267,PARAMETROS!A:A,PARAMETROS!I:I)=0,"",_xlfn.XLOOKUP('PREENCHIMENTO|LETIVAS'!A267,PARAMETROS!A:A,PARAMETROS!I:I))</f>
        <v>PROFESSOR DE ENSINO SUPERIOR EAD</v>
      </c>
      <c r="F267" s="3" t="s">
        <v>31</v>
      </c>
      <c r="G267" s="3">
        <v>2</v>
      </c>
      <c r="H267" s="3" t="s">
        <v>32</v>
      </c>
      <c r="I267" s="3" t="s">
        <v>33</v>
      </c>
      <c r="J267" s="3" t="s">
        <v>1095</v>
      </c>
      <c r="K267" s="3"/>
      <c r="L267" s="19"/>
      <c r="W267">
        <f t="shared" ref="W267:W330" si="4">IF(I267&lt;&gt;"",2,0)</f>
        <v>2</v>
      </c>
    </row>
    <row r="268" spans="1:23">
      <c r="A268" s="3" t="s">
        <v>736</v>
      </c>
      <c r="B268" t="str">
        <f>IF(_xlfn.XLOOKUP(A268,PARAMETROS!A:A,PARAMETROS!B:B)=0,"",_xlfn.XLOOKUP(A268,PARAMETROS!A:A,PARAMETROS!B:B))</f>
        <v>012009006373</v>
      </c>
      <c r="C268">
        <f>IF(_xlfn.XLOOKUP(A268,PARAMETROS!A:A,PARAMETROS!C:C)=0,"",_xlfn.XLOOKUP(A268,PARAMETROS!A:A,PARAMETROS!C:C))</f>
        <v>12</v>
      </c>
      <c r="D268">
        <f>IF(_xlfn.XLOOKUP(A268,PARAMETROS!A:A,PARAMETROS!D:D)=0,"",_xlfn.XLOOKUP(A268,PARAMETROS!A:A,PARAMETROS!D:D))</f>
        <v>9</v>
      </c>
      <c r="E268" t="str">
        <f>IF(_xlfn.XLOOKUP('PREENCHIMENTO|LETIVAS'!A268,PARAMETROS!A:A,PARAMETROS!I:I)=0,"",_xlfn.XLOOKUP('PREENCHIMENTO|LETIVAS'!A268,PARAMETROS!A:A,PARAMETROS!I:I))</f>
        <v>PROFESSOR REGENTE</v>
      </c>
      <c r="F268" s="3" t="s">
        <v>31</v>
      </c>
      <c r="G268" s="3">
        <v>1</v>
      </c>
      <c r="H268" s="3" t="s">
        <v>39</v>
      </c>
      <c r="I268" s="3" t="s">
        <v>33</v>
      </c>
      <c r="J268" s="3" t="s">
        <v>1096</v>
      </c>
      <c r="K268" s="3" t="s">
        <v>1036</v>
      </c>
      <c r="L268" s="19" t="s">
        <v>1097</v>
      </c>
      <c r="W268">
        <f t="shared" si="4"/>
        <v>2</v>
      </c>
    </row>
    <row r="269" spans="1:23">
      <c r="A269" s="3" t="s">
        <v>697</v>
      </c>
      <c r="B269" t="str">
        <f>IF(_xlfn.XLOOKUP(A269,PARAMETROS!A:A,PARAMETROS!B:B)=0,"",_xlfn.XLOOKUP(A269,PARAMETROS!A:A,PARAMETROS!B:B))</f>
        <v>012009006359</v>
      </c>
      <c r="C269">
        <f>IF(_xlfn.XLOOKUP(A269,PARAMETROS!A:A,PARAMETROS!C:C)=0,"",_xlfn.XLOOKUP(A269,PARAMETROS!A:A,PARAMETROS!C:C))</f>
        <v>40</v>
      </c>
      <c r="D269">
        <f>IF(_xlfn.XLOOKUP(A269,PARAMETROS!A:A,PARAMETROS!D:D)=0,"",_xlfn.XLOOKUP(A269,PARAMETROS!A:A,PARAMETROS!D:D))</f>
        <v>20</v>
      </c>
      <c r="E269" t="str">
        <f>IF(_xlfn.XLOOKUP('PREENCHIMENTO|LETIVAS'!A269,PARAMETROS!A:A,PARAMETROS!I:I)=0,"",_xlfn.XLOOKUP('PREENCHIMENTO|LETIVAS'!A269,PARAMETROS!A:A,PARAMETROS!I:I))</f>
        <v>PROFESSOR REGENTE</v>
      </c>
      <c r="F269" s="3" t="s">
        <v>31</v>
      </c>
      <c r="G269" s="3" t="s">
        <v>54</v>
      </c>
      <c r="H269" s="3" t="s">
        <v>32</v>
      </c>
      <c r="I269" s="3" t="s">
        <v>40</v>
      </c>
      <c r="J269" s="3" t="s">
        <v>873</v>
      </c>
      <c r="K269" s="3"/>
      <c r="L269" s="19"/>
      <c r="W269">
        <f t="shared" si="4"/>
        <v>2</v>
      </c>
    </row>
    <row r="270" spans="1:23">
      <c r="A270" s="3" t="s">
        <v>697</v>
      </c>
      <c r="B270" t="str">
        <f>IF(_xlfn.XLOOKUP(A270,PARAMETROS!A:A,PARAMETROS!B:B)=0,"",_xlfn.XLOOKUP(A270,PARAMETROS!A:A,PARAMETROS!B:B))</f>
        <v>012009006359</v>
      </c>
      <c r="C270">
        <f>IF(_xlfn.XLOOKUP(A270,PARAMETROS!A:A,PARAMETROS!C:C)=0,"",_xlfn.XLOOKUP(A270,PARAMETROS!A:A,PARAMETROS!C:C))</f>
        <v>40</v>
      </c>
      <c r="D270">
        <f>IF(_xlfn.XLOOKUP(A270,PARAMETROS!A:A,PARAMETROS!D:D)=0,"",_xlfn.XLOOKUP(A270,PARAMETROS!A:A,PARAMETROS!D:D))</f>
        <v>20</v>
      </c>
      <c r="E270" t="str">
        <f>IF(_xlfn.XLOOKUP('PREENCHIMENTO|LETIVAS'!A270,PARAMETROS!A:A,PARAMETROS!I:I)=0,"",_xlfn.XLOOKUP('PREENCHIMENTO|LETIVAS'!A270,PARAMETROS!A:A,PARAMETROS!I:I))</f>
        <v>PROFESSOR REGENTE</v>
      </c>
      <c r="F270" s="3" t="s">
        <v>31</v>
      </c>
      <c r="G270" s="3" t="s">
        <v>54</v>
      </c>
      <c r="H270" s="3" t="s">
        <v>55</v>
      </c>
      <c r="I270" s="3" t="s">
        <v>40</v>
      </c>
      <c r="J270" s="3" t="s">
        <v>873</v>
      </c>
      <c r="K270" s="3"/>
      <c r="L270" s="19"/>
      <c r="W270">
        <f t="shared" si="4"/>
        <v>2</v>
      </c>
    </row>
    <row r="271" spans="1:23">
      <c r="A271" s="3" t="s">
        <v>697</v>
      </c>
      <c r="B271" t="str">
        <f>IF(_xlfn.XLOOKUP(A271,PARAMETROS!A:A,PARAMETROS!B:B)=0,"",_xlfn.XLOOKUP(A271,PARAMETROS!A:A,PARAMETROS!B:B))</f>
        <v>012009006359</v>
      </c>
      <c r="C271">
        <f>IF(_xlfn.XLOOKUP(A271,PARAMETROS!A:A,PARAMETROS!C:C)=0,"",_xlfn.XLOOKUP(A271,PARAMETROS!A:A,PARAMETROS!C:C))</f>
        <v>40</v>
      </c>
      <c r="D271">
        <f>IF(_xlfn.XLOOKUP(A271,PARAMETROS!A:A,PARAMETROS!D:D)=0,"",_xlfn.XLOOKUP(A271,PARAMETROS!A:A,PARAMETROS!D:D))</f>
        <v>20</v>
      </c>
      <c r="E271" t="str">
        <f>IF(_xlfn.XLOOKUP('PREENCHIMENTO|LETIVAS'!A271,PARAMETROS!A:A,PARAMETROS!I:I)=0,"",_xlfn.XLOOKUP('PREENCHIMENTO|LETIVAS'!A271,PARAMETROS!A:A,PARAMETROS!I:I))</f>
        <v>PROFESSOR REGENTE</v>
      </c>
      <c r="F271" s="3" t="s">
        <v>31</v>
      </c>
      <c r="G271" s="3" t="s">
        <v>54</v>
      </c>
      <c r="H271" s="3" t="s">
        <v>63</v>
      </c>
      <c r="I271" s="3" t="s">
        <v>40</v>
      </c>
      <c r="J271" s="3" t="s">
        <v>873</v>
      </c>
      <c r="K271" s="3"/>
      <c r="L271" s="19"/>
      <c r="W271">
        <f t="shared" si="4"/>
        <v>2</v>
      </c>
    </row>
    <row r="272" spans="1:23">
      <c r="A272" s="3" t="s">
        <v>596</v>
      </c>
      <c r="B272" t="str">
        <f>IF(_xlfn.XLOOKUP(A272,PARAMETROS!A:A,PARAMETROS!B:B)=0,"",_xlfn.XLOOKUP(A272,PARAMETROS!A:A,PARAMETROS!B:B))</f>
        <v>012009006304</v>
      </c>
      <c r="C272">
        <f>IF(_xlfn.XLOOKUP(A272,PARAMETROS!A:A,PARAMETROS!C:C)=0,"",_xlfn.XLOOKUP(A272,PARAMETROS!A:A,PARAMETROS!C:C))</f>
        <v>12</v>
      </c>
      <c r="D272">
        <f>IF(_xlfn.XLOOKUP(A272,PARAMETROS!A:A,PARAMETROS!D:D)=0,"",_xlfn.XLOOKUP(A272,PARAMETROS!A:A,PARAMETROS!D:D))</f>
        <v>9</v>
      </c>
      <c r="E272" t="str">
        <f>IF(_xlfn.XLOOKUP('PREENCHIMENTO|LETIVAS'!A272,PARAMETROS!A:A,PARAMETROS!I:I)=0,"",_xlfn.XLOOKUP('PREENCHIMENTO|LETIVAS'!A272,PARAMETROS!A:A,PARAMETROS!I:I))</f>
        <v>PROFESSOR REGENTE</v>
      </c>
      <c r="F272" s="3" t="s">
        <v>31</v>
      </c>
      <c r="G272" s="3">
        <v>1</v>
      </c>
      <c r="H272" s="3" t="s">
        <v>63</v>
      </c>
      <c r="I272" s="3" t="s">
        <v>33</v>
      </c>
      <c r="J272" s="3" t="s">
        <v>1098</v>
      </c>
      <c r="K272" s="3"/>
      <c r="L272" s="19"/>
      <c r="W272">
        <f t="shared" si="4"/>
        <v>2</v>
      </c>
    </row>
    <row r="273" spans="1:23">
      <c r="A273" s="3" t="s">
        <v>703</v>
      </c>
      <c r="B273" t="str">
        <f>IF(_xlfn.XLOOKUP(A273,PARAMETROS!A:A,PARAMETROS!B:B)=0,"",_xlfn.XLOOKUP(A273,PARAMETROS!A:A,PARAMETROS!B:B))</f>
        <v>012009006333</v>
      </c>
      <c r="C273">
        <f>IF(_xlfn.XLOOKUP(A273,PARAMETROS!A:A,PARAMETROS!C:C)=0,"",_xlfn.XLOOKUP(A273,PARAMETROS!A:A,PARAMETROS!C:C))</f>
        <v>12</v>
      </c>
      <c r="D273">
        <f>IF(_xlfn.XLOOKUP(A273,PARAMETROS!A:A,PARAMETROS!D:D)=0,"",_xlfn.XLOOKUP(A273,PARAMETROS!A:A,PARAMETROS!D:D))</f>
        <v>9</v>
      </c>
      <c r="E273" t="str">
        <f>IF(_xlfn.XLOOKUP('PREENCHIMENTO|LETIVAS'!A273,PARAMETROS!A:A,PARAMETROS!I:I)=0,"",_xlfn.XLOOKUP('PREENCHIMENTO|LETIVAS'!A273,PARAMETROS!A:A,PARAMETROS!I:I))</f>
        <v>PROFESSOR REGENTE</v>
      </c>
      <c r="F273" s="3" t="s">
        <v>31</v>
      </c>
      <c r="G273" s="3" t="s">
        <v>54</v>
      </c>
      <c r="H273" s="3" t="s">
        <v>32</v>
      </c>
      <c r="I273" s="3" t="s">
        <v>33</v>
      </c>
      <c r="J273" s="3" t="s">
        <v>1099</v>
      </c>
      <c r="K273" s="3"/>
      <c r="L273" s="19"/>
      <c r="W273">
        <f t="shared" si="4"/>
        <v>2</v>
      </c>
    </row>
    <row r="274" spans="1:23">
      <c r="A274" s="3" t="s">
        <v>703</v>
      </c>
      <c r="B274" t="str">
        <f>IF(_xlfn.XLOOKUP(A274,PARAMETROS!A:A,PARAMETROS!B:B)=0,"",_xlfn.XLOOKUP(A274,PARAMETROS!A:A,PARAMETROS!B:B))</f>
        <v>012009006333</v>
      </c>
      <c r="C274">
        <f>IF(_xlfn.XLOOKUP(A274,PARAMETROS!A:A,PARAMETROS!C:C)=0,"",_xlfn.XLOOKUP(A274,PARAMETROS!A:A,PARAMETROS!C:C))</f>
        <v>12</v>
      </c>
      <c r="D274">
        <f>IF(_xlfn.XLOOKUP(A274,PARAMETROS!A:A,PARAMETROS!D:D)=0,"",_xlfn.XLOOKUP(A274,PARAMETROS!A:A,PARAMETROS!D:D))</f>
        <v>9</v>
      </c>
      <c r="E274" t="str">
        <f>IF(_xlfn.XLOOKUP('PREENCHIMENTO|LETIVAS'!A274,PARAMETROS!A:A,PARAMETROS!I:I)=0,"",_xlfn.XLOOKUP('PREENCHIMENTO|LETIVAS'!A274,PARAMETROS!A:A,PARAMETROS!I:I))</f>
        <v>PROFESSOR REGENTE</v>
      </c>
      <c r="F274" s="3" t="s">
        <v>31</v>
      </c>
      <c r="G274" s="3">
        <v>2</v>
      </c>
      <c r="H274" s="3" t="s">
        <v>63</v>
      </c>
      <c r="I274" s="3" t="s">
        <v>40</v>
      </c>
      <c r="J274" s="3" t="s">
        <v>1100</v>
      </c>
      <c r="K274" s="3"/>
      <c r="L274" s="19"/>
      <c r="W274">
        <f t="shared" si="4"/>
        <v>2</v>
      </c>
    </row>
    <row r="275" spans="1:23">
      <c r="A275" s="3" t="s">
        <v>703</v>
      </c>
      <c r="B275" t="str">
        <f>IF(_xlfn.XLOOKUP(A275,PARAMETROS!A:A,PARAMETROS!B:B)=0,"",_xlfn.XLOOKUP(A275,PARAMETROS!A:A,PARAMETROS!B:B))</f>
        <v>012009006333</v>
      </c>
      <c r="C275">
        <f>IF(_xlfn.XLOOKUP(A275,PARAMETROS!A:A,PARAMETROS!C:C)=0,"",_xlfn.XLOOKUP(A275,PARAMETROS!A:A,PARAMETROS!C:C))</f>
        <v>12</v>
      </c>
      <c r="D275">
        <f>IF(_xlfn.XLOOKUP(A275,PARAMETROS!A:A,PARAMETROS!D:D)=0,"",_xlfn.XLOOKUP(A275,PARAMETROS!A:A,PARAMETROS!D:D))</f>
        <v>9</v>
      </c>
      <c r="E275" t="str">
        <f>IF(_xlfn.XLOOKUP('PREENCHIMENTO|LETIVAS'!A275,PARAMETROS!A:A,PARAMETROS!I:I)=0,"",_xlfn.XLOOKUP('PREENCHIMENTO|LETIVAS'!A275,PARAMETROS!A:A,PARAMETROS!I:I))</f>
        <v>PROFESSOR REGENTE</v>
      </c>
      <c r="F275" s="3" t="s">
        <v>31</v>
      </c>
      <c r="G275" s="3">
        <v>1</v>
      </c>
      <c r="H275" s="3" t="s">
        <v>63</v>
      </c>
      <c r="I275" s="3" t="s">
        <v>40</v>
      </c>
      <c r="J275" s="3" t="s">
        <v>1101</v>
      </c>
      <c r="K275" s="3"/>
      <c r="L275" s="19"/>
      <c r="W275">
        <f t="shared" si="4"/>
        <v>2</v>
      </c>
    </row>
    <row r="276" spans="1:23">
      <c r="A276" s="3" t="s">
        <v>380</v>
      </c>
      <c r="B276" t="str">
        <f>IF(_xlfn.XLOOKUP(A276,PARAMETROS!A:A,PARAMETROS!B:B)=0,"",_xlfn.XLOOKUP(A276,PARAMETROS!A:A,PARAMETROS!B:B))</f>
        <v>012009005324</v>
      </c>
      <c r="C276">
        <f>IF(_xlfn.XLOOKUP(A276,PARAMETROS!A:A,PARAMETROS!C:C)=0,"",_xlfn.XLOOKUP(A276,PARAMETROS!A:A,PARAMETROS!C:C))</f>
        <v>20</v>
      </c>
      <c r="D276">
        <f>IF(_xlfn.XLOOKUP(A276,PARAMETROS!A:A,PARAMETROS!D:D)=0,"",_xlfn.XLOOKUP(A276,PARAMETROS!A:A,PARAMETROS!D:D))</f>
        <v>2</v>
      </c>
      <c r="E276" t="str">
        <f>IF(_xlfn.XLOOKUP('PREENCHIMENTO|LETIVAS'!A276,PARAMETROS!A:A,PARAMETROS!I:I)=0,"",_xlfn.XLOOKUP('PREENCHIMENTO|LETIVAS'!A276,PARAMETROS!A:A,PARAMETROS!I:I))</f>
        <v>PROFESSOR DE ENSINO SUPERIOR EAD</v>
      </c>
      <c r="F276" s="3" t="s">
        <v>31</v>
      </c>
      <c r="G276" s="3" t="s">
        <v>54</v>
      </c>
      <c r="H276" s="3" t="s">
        <v>55</v>
      </c>
      <c r="I276" s="3" t="s">
        <v>40</v>
      </c>
      <c r="J276" s="3" t="s">
        <v>972</v>
      </c>
      <c r="K276" s="3"/>
      <c r="L276" s="19"/>
      <c r="W276">
        <f t="shared" si="4"/>
        <v>2</v>
      </c>
    </row>
    <row r="277" spans="1:23">
      <c r="A277" s="3" t="s">
        <v>141</v>
      </c>
      <c r="B277" t="str">
        <f>IF(_xlfn.XLOOKUP(A277,PARAMETROS!A:A,PARAMETROS!B:B)=0,"",_xlfn.XLOOKUP(A277,PARAMETROS!A:A,PARAMETROS!B:B))</f>
        <v>012009005339</v>
      </c>
      <c r="C277">
        <f>IF(_xlfn.XLOOKUP(A277,PARAMETROS!A:A,PARAMETROS!C:C)=0,"",_xlfn.XLOOKUP(A277,PARAMETROS!A:A,PARAMETROS!C:C))</f>
        <v>40</v>
      </c>
      <c r="D277">
        <f>IF(_xlfn.XLOOKUP(A277,PARAMETROS!A:A,PARAMETROS!D:D)=0,"",_xlfn.XLOOKUP(A277,PARAMETROS!A:A,PARAMETROS!D:D))</f>
        <v>4</v>
      </c>
      <c r="E277" t="str">
        <f>IF(_xlfn.XLOOKUP('PREENCHIMENTO|LETIVAS'!A277,PARAMETROS!A:A,PARAMETROS!I:I)=0,"",_xlfn.XLOOKUP('PREENCHIMENTO|LETIVAS'!A277,PARAMETROS!A:A,PARAMETROS!I:I))</f>
        <v>PROFESSOR DE ENSINO SUPERIOR EAD</v>
      </c>
      <c r="F277" s="3" t="s">
        <v>31</v>
      </c>
      <c r="G277" s="3" t="s">
        <v>54</v>
      </c>
      <c r="H277" s="3" t="s">
        <v>55</v>
      </c>
      <c r="I277" s="3" t="s">
        <v>33</v>
      </c>
      <c r="J277" s="3" t="s">
        <v>973</v>
      </c>
      <c r="K277" s="3"/>
      <c r="L277" s="19"/>
      <c r="W277">
        <f t="shared" si="4"/>
        <v>2</v>
      </c>
    </row>
    <row r="278" spans="1:23">
      <c r="A278" s="3" t="s">
        <v>435</v>
      </c>
      <c r="B278" t="str">
        <f>IF(_xlfn.XLOOKUP(A278,PARAMETROS!A:A,PARAMETROS!B:B)=0,"",_xlfn.XLOOKUP(A278,PARAMETROS!A:A,PARAMETROS!B:B))</f>
        <v>012009006219</v>
      </c>
      <c r="C278">
        <f>IF(_xlfn.XLOOKUP(A278,PARAMETROS!A:A,PARAMETROS!C:C)=0,"",_xlfn.XLOOKUP(A278,PARAMETROS!A:A,PARAMETROS!C:C))</f>
        <v>12</v>
      </c>
      <c r="D278">
        <f>IF(_xlfn.XLOOKUP(A278,PARAMETROS!A:A,PARAMETROS!D:D)=0,"",_xlfn.XLOOKUP(A278,PARAMETROS!A:A,PARAMETROS!D:D))</f>
        <v>9</v>
      </c>
      <c r="E278" t="str">
        <f>IF(_xlfn.XLOOKUP('PREENCHIMENTO|LETIVAS'!A278,PARAMETROS!A:A,PARAMETROS!I:I)=0,"",_xlfn.XLOOKUP('PREENCHIMENTO|LETIVAS'!A278,PARAMETROS!A:A,PARAMETROS!I:I))</f>
        <v>PROFESSOR REGENTE</v>
      </c>
      <c r="F278" s="3" t="s">
        <v>31</v>
      </c>
      <c r="G278" s="3">
        <v>2</v>
      </c>
      <c r="H278" s="3" t="s">
        <v>39</v>
      </c>
      <c r="I278" s="3" t="s">
        <v>33</v>
      </c>
      <c r="J278" s="3" t="s">
        <v>994</v>
      </c>
      <c r="K278" s="3"/>
      <c r="L278" s="19"/>
      <c r="W278">
        <f t="shared" si="4"/>
        <v>2</v>
      </c>
    </row>
    <row r="279" spans="1:23">
      <c r="A279" s="3" t="s">
        <v>156</v>
      </c>
      <c r="B279" t="str">
        <f>IF(_xlfn.XLOOKUP(A279,PARAMETROS!A:A,PARAMETROS!B:B)=0,"",_xlfn.XLOOKUP(A279,PARAMETROS!A:A,PARAMETROS!B:B))</f>
        <v>012009006181</v>
      </c>
      <c r="C279">
        <f>IF(_xlfn.XLOOKUP(A279,PARAMETROS!A:A,PARAMETROS!C:C)=0,"",_xlfn.XLOOKUP(A279,PARAMETROS!A:A,PARAMETROS!C:C))</f>
        <v>12</v>
      </c>
      <c r="D279">
        <f>IF(_xlfn.XLOOKUP(A279,PARAMETROS!A:A,PARAMETROS!D:D)=0,"",_xlfn.XLOOKUP(A279,PARAMETROS!A:A,PARAMETROS!D:D))</f>
        <v>9</v>
      </c>
      <c r="E279" t="str">
        <f>IF(_xlfn.XLOOKUP('PREENCHIMENTO|LETIVAS'!A279,PARAMETROS!A:A,PARAMETROS!I:I)=0,"",_xlfn.XLOOKUP('PREENCHIMENTO|LETIVAS'!A279,PARAMETROS!A:A,PARAMETROS!I:I))</f>
        <v>PROFESSOR REGENTE</v>
      </c>
      <c r="F279" s="3" t="s">
        <v>31</v>
      </c>
      <c r="G279" s="3">
        <v>2</v>
      </c>
      <c r="H279" s="3" t="s">
        <v>63</v>
      </c>
      <c r="I279" s="3" t="s">
        <v>40</v>
      </c>
      <c r="J279" s="3" t="s">
        <v>1102</v>
      </c>
      <c r="K279" s="3"/>
      <c r="L279" s="19"/>
      <c r="W279">
        <f t="shared" si="4"/>
        <v>2</v>
      </c>
    </row>
    <row r="280" spans="1:23">
      <c r="A280" s="3" t="s">
        <v>156</v>
      </c>
      <c r="B280" t="str">
        <f>IF(_xlfn.XLOOKUP(A280,PARAMETROS!A:A,PARAMETROS!B:B)=0,"",_xlfn.XLOOKUP(A280,PARAMETROS!A:A,PARAMETROS!B:B))</f>
        <v>012009006181</v>
      </c>
      <c r="C280">
        <f>IF(_xlfn.XLOOKUP(A280,PARAMETROS!A:A,PARAMETROS!C:C)=0,"",_xlfn.XLOOKUP(A280,PARAMETROS!A:A,PARAMETROS!C:C))</f>
        <v>12</v>
      </c>
      <c r="D280">
        <f>IF(_xlfn.XLOOKUP(A280,PARAMETROS!A:A,PARAMETROS!D:D)=0,"",_xlfn.XLOOKUP(A280,PARAMETROS!A:A,PARAMETROS!D:D))</f>
        <v>9</v>
      </c>
      <c r="E280" t="str">
        <f>IF(_xlfn.XLOOKUP('PREENCHIMENTO|LETIVAS'!A280,PARAMETROS!A:A,PARAMETROS!I:I)=0,"",_xlfn.XLOOKUP('PREENCHIMENTO|LETIVAS'!A280,PARAMETROS!A:A,PARAMETROS!I:I))</f>
        <v>PROFESSOR REGENTE</v>
      </c>
      <c r="F280" s="3" t="s">
        <v>31</v>
      </c>
      <c r="G280" s="3">
        <v>2</v>
      </c>
      <c r="H280" s="3" t="s">
        <v>63</v>
      </c>
      <c r="I280" s="3" t="s">
        <v>33</v>
      </c>
      <c r="J280" s="3" t="s">
        <v>1103</v>
      </c>
      <c r="K280" s="3"/>
      <c r="L280" s="19"/>
      <c r="W280">
        <f t="shared" si="4"/>
        <v>2</v>
      </c>
    </row>
    <row r="281" spans="1:23">
      <c r="A281" s="3" t="s">
        <v>59</v>
      </c>
      <c r="B281" t="str">
        <f>IF(_xlfn.XLOOKUP(A281,PARAMETROS!A:A,PARAMETROS!B:B)=0,"",_xlfn.XLOOKUP(A281,PARAMETROS!A:A,PARAMETROS!B:B))</f>
        <v>012009003713</v>
      </c>
      <c r="C281">
        <f>IF(_xlfn.XLOOKUP(A281,PARAMETROS!A:A,PARAMETROS!C:C)=0,"",_xlfn.XLOOKUP(A281,PARAMETROS!A:A,PARAMETROS!C:C))</f>
        <v>20</v>
      </c>
      <c r="D281">
        <f>IF(_xlfn.XLOOKUP(A281,PARAMETROS!A:A,PARAMETROS!D:D)=0,"",_xlfn.XLOOKUP(A281,PARAMETROS!A:A,PARAMETROS!D:D))</f>
        <v>2</v>
      </c>
      <c r="E281" t="str">
        <f>IF(_xlfn.XLOOKUP('PREENCHIMENTO|LETIVAS'!A281,PARAMETROS!A:A,PARAMETROS!I:I)=0,"",_xlfn.XLOOKUP('PREENCHIMENTO|LETIVAS'!A281,PARAMETROS!A:A,PARAMETROS!I:I))</f>
        <v>PROFESSOR DE ENSINO SUPERIOR EAD</v>
      </c>
      <c r="F281" s="3" t="s">
        <v>31</v>
      </c>
      <c r="G281" s="3">
        <v>1</v>
      </c>
      <c r="H281" s="3" t="s">
        <v>63</v>
      </c>
      <c r="I281" s="3" t="s">
        <v>40</v>
      </c>
      <c r="J281" s="3" t="s">
        <v>1104</v>
      </c>
      <c r="K281" s="3"/>
      <c r="L281" s="19"/>
      <c r="W281">
        <f t="shared" si="4"/>
        <v>2</v>
      </c>
    </row>
    <row r="282" spans="1:23">
      <c r="A282" s="3" t="s">
        <v>679</v>
      </c>
      <c r="B282" t="str">
        <f>IF(_xlfn.XLOOKUP(A282,PARAMETROS!A:A,PARAMETROS!B:B)=0,"",_xlfn.XLOOKUP(A282,PARAMETROS!A:A,PARAMETROS!B:B))</f>
        <v>012009005440</v>
      </c>
      <c r="C282" t="str">
        <f>IF(_xlfn.XLOOKUP(A282,PARAMETROS!A:A,PARAMETROS!C:C)=0,"",_xlfn.XLOOKUP(A282,PARAMETROS!A:A,PARAMETROS!C:C))</f>
        <v/>
      </c>
      <c r="D282" t="str">
        <f>IF(_xlfn.XLOOKUP(A282,PARAMETROS!A:A,PARAMETROS!D:D)=0,"",_xlfn.XLOOKUP(A282,PARAMETROS!A:A,PARAMETROS!D:D))</f>
        <v/>
      </c>
      <c r="E282" t="str">
        <f>IF(_xlfn.XLOOKUP('PREENCHIMENTO|LETIVAS'!A282,PARAMETROS!A:A,PARAMETROS!I:I)=0,"",_xlfn.XLOOKUP('PREENCHIMENTO|LETIVAS'!A282,PARAMETROS!A:A,PARAMETROS!I:I))</f>
        <v>PROFESSOR DE ENSINO SUPERIOR PRESENCIAL</v>
      </c>
      <c r="F282" s="3" t="s">
        <v>31</v>
      </c>
      <c r="G282" s="3">
        <v>1</v>
      </c>
      <c r="H282" s="3" t="s">
        <v>32</v>
      </c>
      <c r="I282" s="3" t="s">
        <v>33</v>
      </c>
      <c r="J282" s="3" t="s">
        <v>1105</v>
      </c>
      <c r="K282" s="3"/>
      <c r="L282" s="19"/>
      <c r="W282">
        <f t="shared" si="4"/>
        <v>2</v>
      </c>
    </row>
    <row r="283" spans="1:23">
      <c r="A283" s="3" t="s">
        <v>679</v>
      </c>
      <c r="B283" t="str">
        <f>IF(_xlfn.XLOOKUP(A283,PARAMETROS!A:A,PARAMETROS!B:B)=0,"",_xlfn.XLOOKUP(A283,PARAMETROS!A:A,PARAMETROS!B:B))</f>
        <v>012009005440</v>
      </c>
      <c r="C283" t="str">
        <f>IF(_xlfn.XLOOKUP(A283,PARAMETROS!A:A,PARAMETROS!C:C)=0,"",_xlfn.XLOOKUP(A283,PARAMETROS!A:A,PARAMETROS!C:C))</f>
        <v/>
      </c>
      <c r="D283" t="str">
        <f>IF(_xlfn.XLOOKUP(A283,PARAMETROS!A:A,PARAMETROS!D:D)=0,"",_xlfn.XLOOKUP(A283,PARAMETROS!A:A,PARAMETROS!D:D))</f>
        <v/>
      </c>
      <c r="E283" t="str">
        <f>IF(_xlfn.XLOOKUP('PREENCHIMENTO|LETIVAS'!A283,PARAMETROS!A:A,PARAMETROS!I:I)=0,"",_xlfn.XLOOKUP('PREENCHIMENTO|LETIVAS'!A283,PARAMETROS!A:A,PARAMETROS!I:I))</f>
        <v>PROFESSOR DE ENSINO SUPERIOR PRESENCIAL</v>
      </c>
      <c r="F283" s="3" t="s">
        <v>31</v>
      </c>
      <c r="G283" s="3">
        <v>1</v>
      </c>
      <c r="H283" s="3" t="s">
        <v>63</v>
      </c>
      <c r="I283" s="3" t="s">
        <v>33</v>
      </c>
      <c r="J283" s="3" t="s">
        <v>1106</v>
      </c>
      <c r="K283" s="3"/>
      <c r="L283" s="19"/>
      <c r="W283">
        <f t="shared" si="4"/>
        <v>2</v>
      </c>
    </row>
    <row r="284" spans="1:23">
      <c r="A284" s="3" t="s">
        <v>71</v>
      </c>
      <c r="B284" t="str">
        <f>IF(_xlfn.XLOOKUP(A284,PARAMETROS!A:A,PARAMETROS!B:B)=0,"",_xlfn.XLOOKUP(A284,PARAMETROS!A:A,PARAMETROS!B:B))</f>
        <v>012009004457</v>
      </c>
      <c r="C284">
        <f>IF(_xlfn.XLOOKUP(A284,PARAMETROS!A:A,PARAMETROS!C:C)=0,"",_xlfn.XLOOKUP(A284,PARAMETROS!A:A,PARAMETROS!C:C))</f>
        <v>20</v>
      </c>
      <c r="D284">
        <f>IF(_xlfn.XLOOKUP(A284,PARAMETROS!A:A,PARAMETROS!D:D)=0,"",_xlfn.XLOOKUP(A284,PARAMETROS!A:A,PARAMETROS!D:D))</f>
        <v>2</v>
      </c>
      <c r="E284" t="str">
        <f>IF(_xlfn.XLOOKUP('PREENCHIMENTO|LETIVAS'!A284,PARAMETROS!A:A,PARAMETROS!I:I)=0,"",_xlfn.XLOOKUP('PREENCHIMENTO|LETIVAS'!A284,PARAMETROS!A:A,PARAMETROS!I:I))</f>
        <v>PROFESSOR DE ENSINO SUPERIOR EAD</v>
      </c>
      <c r="F284" s="3" t="s">
        <v>31</v>
      </c>
      <c r="G284" s="3">
        <v>2</v>
      </c>
      <c r="H284" s="3" t="s">
        <v>63</v>
      </c>
      <c r="I284" s="3" t="s">
        <v>33</v>
      </c>
      <c r="J284" s="3" t="s">
        <v>1107</v>
      </c>
      <c r="K284" s="3"/>
      <c r="L284" s="19"/>
      <c r="W284">
        <f t="shared" si="4"/>
        <v>2</v>
      </c>
    </row>
    <row r="285" spans="1:23">
      <c r="A285" s="3" t="s">
        <v>71</v>
      </c>
      <c r="B285" t="str">
        <f>IF(_xlfn.XLOOKUP(A285,PARAMETROS!A:A,PARAMETROS!B:B)=0,"",_xlfn.XLOOKUP(A285,PARAMETROS!A:A,PARAMETROS!B:B))</f>
        <v>012009004457</v>
      </c>
      <c r="C285">
        <f>IF(_xlfn.XLOOKUP(A285,PARAMETROS!A:A,PARAMETROS!C:C)=0,"",_xlfn.XLOOKUP(A285,PARAMETROS!A:A,PARAMETROS!C:C))</f>
        <v>20</v>
      </c>
      <c r="D285">
        <f>IF(_xlfn.XLOOKUP(A285,PARAMETROS!A:A,PARAMETROS!D:D)=0,"",_xlfn.XLOOKUP(A285,PARAMETROS!A:A,PARAMETROS!D:D))</f>
        <v>2</v>
      </c>
      <c r="E285" t="str">
        <f>IF(_xlfn.XLOOKUP('PREENCHIMENTO|LETIVAS'!A285,PARAMETROS!A:A,PARAMETROS!I:I)=0,"",_xlfn.XLOOKUP('PREENCHIMENTO|LETIVAS'!A285,PARAMETROS!A:A,PARAMETROS!I:I))</f>
        <v>PROFESSOR DE ENSINO SUPERIOR EAD</v>
      </c>
      <c r="F285" s="3" t="s">
        <v>31</v>
      </c>
      <c r="G285" s="3">
        <v>2</v>
      </c>
      <c r="H285" s="3" t="s">
        <v>63</v>
      </c>
      <c r="I285" s="3" t="s">
        <v>40</v>
      </c>
      <c r="J285" s="3" t="s">
        <v>1108</v>
      </c>
      <c r="K285" s="3"/>
      <c r="L285" s="19"/>
      <c r="W285">
        <f t="shared" si="4"/>
        <v>2</v>
      </c>
    </row>
    <row r="286" spans="1:23">
      <c r="A286" s="3" t="s">
        <v>611</v>
      </c>
      <c r="B286" t="str">
        <f>IF(_xlfn.XLOOKUP(A286,PARAMETROS!A:A,PARAMETROS!B:B)=0,"",_xlfn.XLOOKUP(A286,PARAMETROS!A:A,PARAMETROS!B:B))</f>
        <v>012009006314</v>
      </c>
      <c r="C286">
        <f>IF(_xlfn.XLOOKUP(A286,PARAMETROS!A:A,PARAMETROS!C:C)=0,"",_xlfn.XLOOKUP(A286,PARAMETROS!A:A,PARAMETROS!C:C))</f>
        <v>12</v>
      </c>
      <c r="D286">
        <f>IF(_xlfn.XLOOKUP(A286,PARAMETROS!A:A,PARAMETROS!D:D)=0,"",_xlfn.XLOOKUP(A286,PARAMETROS!A:A,PARAMETROS!D:D))</f>
        <v>9</v>
      </c>
      <c r="E286" t="str">
        <f>IF(_xlfn.XLOOKUP('PREENCHIMENTO|LETIVAS'!A286,PARAMETROS!A:A,PARAMETROS!I:I)=0,"",_xlfn.XLOOKUP('PREENCHIMENTO|LETIVAS'!A286,PARAMETROS!A:A,PARAMETROS!I:I))</f>
        <v>PROFESSOR REGENTE</v>
      </c>
      <c r="F286" s="3" t="s">
        <v>31</v>
      </c>
      <c r="G286" s="3">
        <v>2</v>
      </c>
      <c r="H286" s="3" t="s">
        <v>39</v>
      </c>
      <c r="I286" s="3" t="s">
        <v>40</v>
      </c>
      <c r="J286" s="3" t="s">
        <v>1109</v>
      </c>
      <c r="K286" s="3"/>
      <c r="L286" s="19"/>
      <c r="W286">
        <f t="shared" si="4"/>
        <v>2</v>
      </c>
    </row>
    <row r="287" spans="1:23">
      <c r="A287" s="3" t="s">
        <v>685</v>
      </c>
      <c r="B287" t="str">
        <f>IF(_xlfn.XLOOKUP(A287,PARAMETROS!A:A,PARAMETROS!B:B)=0,"",_xlfn.XLOOKUP(A287,PARAMETROS!A:A,PARAMETROS!B:B))</f>
        <v>012009004012</v>
      </c>
      <c r="C287" t="str">
        <f>IF(_xlfn.XLOOKUP(A287,PARAMETROS!A:A,PARAMETROS!C:C)=0,"",_xlfn.XLOOKUP(A287,PARAMETROS!A:A,PARAMETROS!C:C))</f>
        <v/>
      </c>
      <c r="D287" t="str">
        <f>IF(_xlfn.XLOOKUP(A287,PARAMETROS!A:A,PARAMETROS!D:D)=0,"",_xlfn.XLOOKUP(A287,PARAMETROS!A:A,PARAMETROS!D:D))</f>
        <v/>
      </c>
      <c r="E287" t="str">
        <f>IF(_xlfn.XLOOKUP('PREENCHIMENTO|LETIVAS'!A287,PARAMETROS!A:A,PARAMETROS!I:I)=0,"",_xlfn.XLOOKUP('PREENCHIMENTO|LETIVAS'!A287,PARAMETROS!A:A,PARAMETROS!I:I))</f>
        <v>PROFESSOR DE ENSINO SUPERIOR PRESENCIAL</v>
      </c>
      <c r="F287" s="3" t="s">
        <v>31</v>
      </c>
      <c r="G287" s="3">
        <v>2</v>
      </c>
      <c r="H287" s="3" t="s">
        <v>55</v>
      </c>
      <c r="I287" s="3" t="s">
        <v>33</v>
      </c>
      <c r="J287" s="3" t="s">
        <v>1110</v>
      </c>
      <c r="K287" s="3"/>
      <c r="L287" s="19"/>
      <c r="W287">
        <f t="shared" si="4"/>
        <v>2</v>
      </c>
    </row>
    <row r="288" spans="1:23">
      <c r="A288" s="3" t="s">
        <v>110</v>
      </c>
      <c r="B288" t="str">
        <f>IF(_xlfn.XLOOKUP(A288,PARAMETROS!A:A,PARAMETROS!B:B)=0,"",_xlfn.XLOOKUP(A288,PARAMETROS!A:A,PARAMETROS!B:B))</f>
        <v>012009003558</v>
      </c>
      <c r="C288">
        <f>IF(_xlfn.XLOOKUP(A288,PARAMETROS!A:A,PARAMETROS!C:C)=0,"",_xlfn.XLOOKUP(A288,PARAMETROS!A:A,PARAMETROS!C:C))</f>
        <v>20</v>
      </c>
      <c r="D288">
        <f>IF(_xlfn.XLOOKUP(A288,PARAMETROS!A:A,PARAMETROS!D:D)=0,"",_xlfn.XLOOKUP(A288,PARAMETROS!A:A,PARAMETROS!D:D))</f>
        <v>2</v>
      </c>
      <c r="E288" t="str">
        <f>IF(_xlfn.XLOOKUP('PREENCHIMENTO|LETIVAS'!A288,PARAMETROS!A:A,PARAMETROS!I:I)=0,"",_xlfn.XLOOKUP('PREENCHIMENTO|LETIVAS'!A288,PARAMETROS!A:A,PARAMETROS!I:I))</f>
        <v>PROFESSOR DE ENSINO SUPERIOR EAD</v>
      </c>
      <c r="F288" s="3" t="s">
        <v>31</v>
      </c>
      <c r="G288" s="3">
        <v>1</v>
      </c>
      <c r="H288" s="3" t="s">
        <v>63</v>
      </c>
      <c r="I288" s="3" t="s">
        <v>40</v>
      </c>
      <c r="J288" s="3" t="s">
        <v>1111</v>
      </c>
      <c r="K288" s="3"/>
      <c r="L288" s="19"/>
      <c r="W288">
        <f t="shared" si="4"/>
        <v>2</v>
      </c>
    </row>
    <row r="289" spans="1:23">
      <c r="A289" s="3" t="s">
        <v>110</v>
      </c>
      <c r="B289" t="str">
        <f>IF(_xlfn.XLOOKUP(A289,PARAMETROS!A:A,PARAMETROS!B:B)=0,"",_xlfn.XLOOKUP(A289,PARAMETROS!A:A,PARAMETROS!B:B))</f>
        <v>012009003558</v>
      </c>
      <c r="C289">
        <f>IF(_xlfn.XLOOKUP(A289,PARAMETROS!A:A,PARAMETROS!C:C)=0,"",_xlfn.XLOOKUP(A289,PARAMETROS!A:A,PARAMETROS!C:C))</f>
        <v>20</v>
      </c>
      <c r="D289">
        <f>IF(_xlfn.XLOOKUP(A289,PARAMETROS!A:A,PARAMETROS!D:D)=0,"",_xlfn.XLOOKUP(A289,PARAMETROS!A:A,PARAMETROS!D:D))</f>
        <v>2</v>
      </c>
      <c r="E289" t="str">
        <f>IF(_xlfn.XLOOKUP('PREENCHIMENTO|LETIVAS'!A289,PARAMETROS!A:A,PARAMETROS!I:I)=0,"",_xlfn.XLOOKUP('PREENCHIMENTO|LETIVAS'!A289,PARAMETROS!A:A,PARAMETROS!I:I))</f>
        <v>PROFESSOR DE ENSINO SUPERIOR EAD</v>
      </c>
      <c r="F289" s="3" t="s">
        <v>31</v>
      </c>
      <c r="G289" s="3">
        <v>2</v>
      </c>
      <c r="H289" s="3" t="s">
        <v>63</v>
      </c>
      <c r="I289" s="3" t="s">
        <v>40</v>
      </c>
      <c r="J289" s="3" t="s">
        <v>1112</v>
      </c>
      <c r="K289" s="3"/>
      <c r="L289" s="19"/>
      <c r="W289">
        <f t="shared" si="4"/>
        <v>2</v>
      </c>
    </row>
    <row r="290" spans="1:23">
      <c r="A290" s="3" t="s">
        <v>162</v>
      </c>
      <c r="B290" t="str">
        <f>IF(_xlfn.XLOOKUP(A290,PARAMETROS!A:A,PARAMETROS!B:B)=0,"",_xlfn.XLOOKUP(A290,PARAMETROS!A:A,PARAMETROS!B:B))</f>
        <v>012009003638</v>
      </c>
      <c r="C290">
        <f>IF(_xlfn.XLOOKUP(A290,PARAMETROS!A:A,PARAMETROS!C:C)=0,"",_xlfn.XLOOKUP(A290,PARAMETROS!A:A,PARAMETROS!C:C))</f>
        <v>20</v>
      </c>
      <c r="D290">
        <f>IF(_xlfn.XLOOKUP(A290,PARAMETROS!A:A,PARAMETROS!D:D)=0,"",_xlfn.XLOOKUP(A290,PARAMETROS!A:A,PARAMETROS!D:D))</f>
        <v>2</v>
      </c>
      <c r="E290" t="str">
        <f>IF(_xlfn.XLOOKUP('PREENCHIMENTO|LETIVAS'!A290,PARAMETROS!A:A,PARAMETROS!I:I)=0,"",_xlfn.XLOOKUP('PREENCHIMENTO|LETIVAS'!A290,PARAMETROS!A:A,PARAMETROS!I:I))</f>
        <v>PROFESSOR DE ENSINO SUPERIOR EAD</v>
      </c>
      <c r="F290" s="3" t="s">
        <v>31</v>
      </c>
      <c r="G290" s="3">
        <v>1</v>
      </c>
      <c r="H290" s="3" t="s">
        <v>63</v>
      </c>
      <c r="I290" s="3" t="s">
        <v>33</v>
      </c>
      <c r="J290" s="3" t="s">
        <v>1113</v>
      </c>
      <c r="K290" s="3"/>
      <c r="L290" s="19"/>
      <c r="W290">
        <f t="shared" si="4"/>
        <v>2</v>
      </c>
    </row>
    <row r="291" spans="1:23">
      <c r="A291" s="3" t="s">
        <v>162</v>
      </c>
      <c r="B291" t="str">
        <f>IF(_xlfn.XLOOKUP(A291,PARAMETROS!A:A,PARAMETROS!B:B)=0,"",_xlfn.XLOOKUP(A291,PARAMETROS!A:A,PARAMETROS!B:B))</f>
        <v>012009003638</v>
      </c>
      <c r="C291">
        <f>IF(_xlfn.XLOOKUP(A291,PARAMETROS!A:A,PARAMETROS!C:C)=0,"",_xlfn.XLOOKUP(A291,PARAMETROS!A:A,PARAMETROS!C:C))</f>
        <v>20</v>
      </c>
      <c r="D291">
        <f>IF(_xlfn.XLOOKUP(A291,PARAMETROS!A:A,PARAMETROS!D:D)=0,"",_xlfn.XLOOKUP(A291,PARAMETROS!A:A,PARAMETROS!D:D))</f>
        <v>2</v>
      </c>
      <c r="E291" t="str">
        <f>IF(_xlfn.XLOOKUP('PREENCHIMENTO|LETIVAS'!A291,PARAMETROS!A:A,PARAMETROS!I:I)=0,"",_xlfn.XLOOKUP('PREENCHIMENTO|LETIVAS'!A291,PARAMETROS!A:A,PARAMETROS!I:I))</f>
        <v>PROFESSOR DE ENSINO SUPERIOR EAD</v>
      </c>
      <c r="F291" s="3" t="s">
        <v>31</v>
      </c>
      <c r="G291" s="3">
        <v>2</v>
      </c>
      <c r="H291" s="3" t="s">
        <v>63</v>
      </c>
      <c r="I291" s="3" t="s">
        <v>33</v>
      </c>
      <c r="J291" s="3" t="s">
        <v>1114</v>
      </c>
      <c r="K291" s="3"/>
      <c r="L291" s="19"/>
      <c r="W291">
        <f t="shared" si="4"/>
        <v>2</v>
      </c>
    </row>
    <row r="292" spans="1:23">
      <c r="A292" s="3" t="s">
        <v>423</v>
      </c>
      <c r="B292" t="str">
        <f>IF(_xlfn.XLOOKUP(A292,PARAMETROS!A:A,PARAMETROS!B:B)=0,"",_xlfn.XLOOKUP(A292,PARAMETROS!A:A,PARAMETROS!B:B))</f>
        <v>012009006132</v>
      </c>
      <c r="C292">
        <f>IF(_xlfn.XLOOKUP(A292,PARAMETROS!A:A,PARAMETROS!C:C)=0,"",_xlfn.XLOOKUP(A292,PARAMETROS!A:A,PARAMETROS!C:C))</f>
        <v>40</v>
      </c>
      <c r="D292">
        <f>IF(_xlfn.XLOOKUP(A292,PARAMETROS!A:A,PARAMETROS!D:D)=0,"",_xlfn.XLOOKUP(A292,PARAMETROS!A:A,PARAMETROS!D:D))</f>
        <v>4</v>
      </c>
      <c r="E292" t="str">
        <f>IF(_xlfn.XLOOKUP('PREENCHIMENTO|LETIVAS'!A292,PARAMETROS!A:A,PARAMETROS!I:I)=0,"",_xlfn.XLOOKUP('PREENCHIMENTO|LETIVAS'!A292,PARAMETROS!A:A,PARAMETROS!I:I))</f>
        <v>PROFESSOR DE ENSINO SUPERIOR EAD</v>
      </c>
      <c r="F292" s="3" t="s">
        <v>31</v>
      </c>
      <c r="G292" s="3">
        <v>2</v>
      </c>
      <c r="H292" s="3" t="s">
        <v>39</v>
      </c>
      <c r="I292" s="3" t="s">
        <v>40</v>
      </c>
      <c r="J292" s="3" t="s">
        <v>1016</v>
      </c>
      <c r="K292" s="3"/>
      <c r="L292" s="19"/>
      <c r="W292">
        <f t="shared" si="4"/>
        <v>2</v>
      </c>
    </row>
    <row r="293" spans="1:23">
      <c r="A293" s="3" t="s">
        <v>309</v>
      </c>
      <c r="B293" t="str">
        <f>IF(_xlfn.XLOOKUP(A293,PARAMETROS!A:A,PARAMETROS!B:B)=0,"",_xlfn.XLOOKUP(A293,PARAMETROS!A:A,PARAMETROS!B:B))</f>
        <v>012009003528</v>
      </c>
      <c r="C293">
        <f>IF(_xlfn.XLOOKUP(A293,PARAMETROS!A:A,PARAMETROS!C:C)=0,"",_xlfn.XLOOKUP(A293,PARAMETROS!A:A,PARAMETROS!C:C))</f>
        <v>20</v>
      </c>
      <c r="D293">
        <f>IF(_xlfn.XLOOKUP(A293,PARAMETROS!A:A,PARAMETROS!D:D)=0,"",_xlfn.XLOOKUP(A293,PARAMETROS!A:A,PARAMETROS!D:D))</f>
        <v>2</v>
      </c>
      <c r="E293" t="str">
        <f>IF(_xlfn.XLOOKUP('PREENCHIMENTO|LETIVAS'!A293,PARAMETROS!A:A,PARAMETROS!I:I)=0,"",_xlfn.XLOOKUP('PREENCHIMENTO|LETIVAS'!A293,PARAMETROS!A:A,PARAMETROS!I:I))</f>
        <v>PROFESSOR DE ENSINO SUPERIOR EAD</v>
      </c>
      <c r="F293" s="3" t="s">
        <v>31</v>
      </c>
      <c r="G293" s="3">
        <v>1</v>
      </c>
      <c r="H293" s="3" t="s">
        <v>63</v>
      </c>
      <c r="I293" s="3" t="s">
        <v>40</v>
      </c>
      <c r="J293" s="3" t="s">
        <v>1115</v>
      </c>
      <c r="K293" s="3"/>
      <c r="L293" s="19"/>
      <c r="W293">
        <f t="shared" si="4"/>
        <v>2</v>
      </c>
    </row>
    <row r="294" spans="1:23">
      <c r="A294" s="3" t="s">
        <v>659</v>
      </c>
      <c r="B294" t="str">
        <f>IF(_xlfn.XLOOKUP(A294,PARAMETROS!A:A,PARAMETROS!B:B)=0,"",_xlfn.XLOOKUP(A294,PARAMETROS!A:A,PARAMETROS!B:B))</f>
        <v>012009002566</v>
      </c>
      <c r="C294">
        <f>IF(_xlfn.XLOOKUP(A294,PARAMETROS!A:A,PARAMETROS!C:C)=0,"",_xlfn.XLOOKUP(A294,PARAMETROS!A:A,PARAMETROS!C:C))</f>
        <v>40</v>
      </c>
      <c r="D294">
        <f>IF(_xlfn.XLOOKUP(A294,PARAMETROS!A:A,PARAMETROS!D:D)=0,"",_xlfn.XLOOKUP(A294,PARAMETROS!A:A,PARAMETROS!D:D))</f>
        <v>20</v>
      </c>
      <c r="E294" t="str">
        <f>IF(_xlfn.XLOOKUP('PREENCHIMENTO|LETIVAS'!A294,PARAMETROS!A:A,PARAMETROS!I:I)=0,"",_xlfn.XLOOKUP('PREENCHIMENTO|LETIVAS'!A294,PARAMETROS!A:A,PARAMETROS!I:I))</f>
        <v>PROFESSOR REGENTE</v>
      </c>
      <c r="F294" s="3" t="s">
        <v>31</v>
      </c>
      <c r="G294" s="3" t="s">
        <v>54</v>
      </c>
      <c r="H294" s="3" t="s">
        <v>55</v>
      </c>
      <c r="I294" s="3" t="s">
        <v>40</v>
      </c>
      <c r="J294" s="3" t="s">
        <v>1116</v>
      </c>
      <c r="K294" s="3"/>
      <c r="L294" s="19"/>
      <c r="W294">
        <f t="shared" si="4"/>
        <v>2</v>
      </c>
    </row>
    <row r="295" spans="1:23">
      <c r="A295" s="3" t="s">
        <v>659</v>
      </c>
      <c r="B295" t="str">
        <f>IF(_xlfn.XLOOKUP(A295,PARAMETROS!A:A,PARAMETROS!B:B)=0,"",_xlfn.XLOOKUP(A295,PARAMETROS!A:A,PARAMETROS!B:B))</f>
        <v>012009002566</v>
      </c>
      <c r="C295">
        <f>IF(_xlfn.XLOOKUP(A295,PARAMETROS!A:A,PARAMETROS!C:C)=0,"",_xlfn.XLOOKUP(A295,PARAMETROS!A:A,PARAMETROS!C:C))</f>
        <v>40</v>
      </c>
      <c r="D295">
        <f>IF(_xlfn.XLOOKUP(A295,PARAMETROS!A:A,PARAMETROS!D:D)=0,"",_xlfn.XLOOKUP(A295,PARAMETROS!A:A,PARAMETROS!D:D))</f>
        <v>20</v>
      </c>
      <c r="E295" t="str">
        <f>IF(_xlfn.XLOOKUP('PREENCHIMENTO|LETIVAS'!A295,PARAMETROS!A:A,PARAMETROS!I:I)=0,"",_xlfn.XLOOKUP('PREENCHIMENTO|LETIVAS'!A295,PARAMETROS!A:A,PARAMETROS!I:I))</f>
        <v>PROFESSOR REGENTE</v>
      </c>
      <c r="F295" s="3" t="s">
        <v>31</v>
      </c>
      <c r="G295" s="3">
        <v>1</v>
      </c>
      <c r="H295" s="3" t="s">
        <v>32</v>
      </c>
      <c r="I295" s="3" t="s">
        <v>33</v>
      </c>
      <c r="J295" s="3" t="s">
        <v>1034</v>
      </c>
      <c r="K295" s="3"/>
      <c r="L295" s="19"/>
      <c r="W295">
        <f t="shared" si="4"/>
        <v>2</v>
      </c>
    </row>
    <row r="296" spans="1:23">
      <c r="A296" s="3" t="s">
        <v>659</v>
      </c>
      <c r="B296" t="str">
        <f>IF(_xlfn.XLOOKUP(A296,PARAMETROS!A:A,PARAMETROS!B:B)=0,"",_xlfn.XLOOKUP(A296,PARAMETROS!A:A,PARAMETROS!B:B))</f>
        <v>012009002566</v>
      </c>
      <c r="C296">
        <f>IF(_xlfn.XLOOKUP(A296,PARAMETROS!A:A,PARAMETROS!C:C)=0,"",_xlfn.XLOOKUP(A296,PARAMETROS!A:A,PARAMETROS!C:C))</f>
        <v>40</v>
      </c>
      <c r="D296">
        <f>IF(_xlfn.XLOOKUP(A296,PARAMETROS!A:A,PARAMETROS!D:D)=0,"",_xlfn.XLOOKUP(A296,PARAMETROS!A:A,PARAMETROS!D:D))</f>
        <v>20</v>
      </c>
      <c r="E296" t="str">
        <f>IF(_xlfn.XLOOKUP('PREENCHIMENTO|LETIVAS'!A296,PARAMETROS!A:A,PARAMETROS!I:I)=0,"",_xlfn.XLOOKUP('PREENCHIMENTO|LETIVAS'!A296,PARAMETROS!A:A,PARAMETROS!I:I))</f>
        <v>PROFESSOR REGENTE</v>
      </c>
      <c r="F296" s="3" t="s">
        <v>31</v>
      </c>
      <c r="G296" s="3">
        <v>2</v>
      </c>
      <c r="H296" s="3" t="s">
        <v>32</v>
      </c>
      <c r="I296" s="3" t="s">
        <v>33</v>
      </c>
      <c r="J296" s="3" t="s">
        <v>974</v>
      </c>
      <c r="K296" s="3"/>
      <c r="L296" s="19"/>
      <c r="W296">
        <f t="shared" si="4"/>
        <v>2</v>
      </c>
    </row>
    <row r="297" spans="1:23">
      <c r="A297" s="3" t="s">
        <v>659</v>
      </c>
      <c r="B297" t="str">
        <f>IF(_xlfn.XLOOKUP(A297,PARAMETROS!A:A,PARAMETROS!B:B)=0,"",_xlfn.XLOOKUP(A297,PARAMETROS!A:A,PARAMETROS!B:B))</f>
        <v>012009002566</v>
      </c>
      <c r="C297">
        <f>IF(_xlfn.XLOOKUP(A297,PARAMETROS!A:A,PARAMETROS!C:C)=0,"",_xlfn.XLOOKUP(A297,PARAMETROS!A:A,PARAMETROS!C:C))</f>
        <v>40</v>
      </c>
      <c r="D297">
        <f>IF(_xlfn.XLOOKUP(A297,PARAMETROS!A:A,PARAMETROS!D:D)=0,"",_xlfn.XLOOKUP(A297,PARAMETROS!A:A,PARAMETROS!D:D))</f>
        <v>20</v>
      </c>
      <c r="E297" t="str">
        <f>IF(_xlfn.XLOOKUP('PREENCHIMENTO|LETIVAS'!A297,PARAMETROS!A:A,PARAMETROS!I:I)=0,"",_xlfn.XLOOKUP('PREENCHIMENTO|LETIVAS'!A297,PARAMETROS!A:A,PARAMETROS!I:I))</f>
        <v>PROFESSOR REGENTE</v>
      </c>
      <c r="F297" s="3" t="s">
        <v>31</v>
      </c>
      <c r="G297" s="3">
        <v>1</v>
      </c>
      <c r="H297" s="3" t="s">
        <v>32</v>
      </c>
      <c r="I297" s="3" t="s">
        <v>40</v>
      </c>
      <c r="J297" s="3" t="s">
        <v>1117</v>
      </c>
      <c r="K297" s="3"/>
      <c r="L297" s="19"/>
      <c r="W297">
        <f t="shared" si="4"/>
        <v>2</v>
      </c>
    </row>
    <row r="298" spans="1:23">
      <c r="A298" s="3" t="s">
        <v>659</v>
      </c>
      <c r="B298" t="str">
        <f>IF(_xlfn.XLOOKUP(A298,PARAMETROS!A:A,PARAMETROS!B:B)=0,"",_xlfn.XLOOKUP(A298,PARAMETROS!A:A,PARAMETROS!B:B))</f>
        <v>012009002566</v>
      </c>
      <c r="C298">
        <f>IF(_xlfn.XLOOKUP(A298,PARAMETROS!A:A,PARAMETROS!C:C)=0,"",_xlfn.XLOOKUP(A298,PARAMETROS!A:A,PARAMETROS!C:C))</f>
        <v>40</v>
      </c>
      <c r="D298">
        <f>IF(_xlfn.XLOOKUP(A298,PARAMETROS!A:A,PARAMETROS!D:D)=0,"",_xlfn.XLOOKUP(A298,PARAMETROS!A:A,PARAMETROS!D:D))</f>
        <v>20</v>
      </c>
      <c r="E298" t="str">
        <f>IF(_xlfn.XLOOKUP('PREENCHIMENTO|LETIVAS'!A298,PARAMETROS!A:A,PARAMETROS!I:I)=0,"",_xlfn.XLOOKUP('PREENCHIMENTO|LETIVAS'!A298,PARAMETROS!A:A,PARAMETROS!I:I))</f>
        <v>PROFESSOR REGENTE</v>
      </c>
      <c r="F298" s="3" t="s">
        <v>31</v>
      </c>
      <c r="G298" s="3">
        <v>1</v>
      </c>
      <c r="H298" s="3" t="s">
        <v>39</v>
      </c>
      <c r="I298" s="3" t="s">
        <v>33</v>
      </c>
      <c r="J298" s="3" t="s">
        <v>1034</v>
      </c>
      <c r="K298" s="3"/>
      <c r="L298" s="19"/>
      <c r="W298">
        <f t="shared" si="4"/>
        <v>2</v>
      </c>
    </row>
    <row r="299" spans="1:23">
      <c r="A299" s="3" t="s">
        <v>691</v>
      </c>
      <c r="B299" t="str">
        <f>IF(_xlfn.XLOOKUP(A299,PARAMETROS!A:A,PARAMETROS!B:B)=0,"",_xlfn.XLOOKUP(A299,PARAMETROS!A:A,PARAMETROS!B:B))</f>
        <v>012009003655</v>
      </c>
      <c r="C299" t="str">
        <f>IF(_xlfn.XLOOKUP(A299,PARAMETROS!A:A,PARAMETROS!C:C)=0,"",_xlfn.XLOOKUP(A299,PARAMETROS!A:A,PARAMETROS!C:C))</f>
        <v/>
      </c>
      <c r="D299" t="str">
        <f>IF(_xlfn.XLOOKUP(A299,PARAMETROS!A:A,PARAMETROS!D:D)=0,"",_xlfn.XLOOKUP(A299,PARAMETROS!A:A,PARAMETROS!D:D))</f>
        <v/>
      </c>
      <c r="E299" t="str">
        <f>IF(_xlfn.XLOOKUP('PREENCHIMENTO|LETIVAS'!A299,PARAMETROS!A:A,PARAMETROS!I:I)=0,"",_xlfn.XLOOKUP('PREENCHIMENTO|LETIVAS'!A299,PARAMETROS!A:A,PARAMETROS!I:I))</f>
        <v>PROFESSOR DE ENSINO SUPERIOR PRESENCIAL</v>
      </c>
      <c r="F299" s="3" t="s">
        <v>31</v>
      </c>
      <c r="G299" s="3">
        <v>1</v>
      </c>
      <c r="H299" s="3" t="s">
        <v>63</v>
      </c>
      <c r="I299" s="3" t="s">
        <v>40</v>
      </c>
      <c r="J299" s="3" t="s">
        <v>1118</v>
      </c>
      <c r="K299" s="3"/>
      <c r="L299" s="19"/>
      <c r="W299">
        <f t="shared" si="4"/>
        <v>2</v>
      </c>
    </row>
    <row r="300" spans="1:23">
      <c r="A300" s="3" t="s">
        <v>691</v>
      </c>
      <c r="B300" t="str">
        <f>IF(_xlfn.XLOOKUP(A300,PARAMETROS!A:A,PARAMETROS!B:B)=0,"",_xlfn.XLOOKUP(A300,PARAMETROS!A:A,PARAMETROS!B:B))</f>
        <v>012009003655</v>
      </c>
      <c r="C300" t="str">
        <f>IF(_xlfn.XLOOKUP(A300,PARAMETROS!A:A,PARAMETROS!C:C)=0,"",_xlfn.XLOOKUP(A300,PARAMETROS!A:A,PARAMETROS!C:C))</f>
        <v/>
      </c>
      <c r="D300" t="str">
        <f>IF(_xlfn.XLOOKUP(A300,PARAMETROS!A:A,PARAMETROS!D:D)=0,"",_xlfn.XLOOKUP(A300,PARAMETROS!A:A,PARAMETROS!D:D))</f>
        <v/>
      </c>
      <c r="E300" t="str">
        <f>IF(_xlfn.XLOOKUP('PREENCHIMENTO|LETIVAS'!A300,PARAMETROS!A:A,PARAMETROS!I:I)=0,"",_xlfn.XLOOKUP('PREENCHIMENTO|LETIVAS'!A300,PARAMETROS!A:A,PARAMETROS!I:I))</f>
        <v>PROFESSOR DE ENSINO SUPERIOR PRESENCIAL</v>
      </c>
      <c r="F300" s="3" t="s">
        <v>31</v>
      </c>
      <c r="G300" s="3">
        <v>2</v>
      </c>
      <c r="H300" s="3" t="s">
        <v>63</v>
      </c>
      <c r="I300" s="3" t="s">
        <v>40</v>
      </c>
      <c r="J300" s="3" t="s">
        <v>1119</v>
      </c>
      <c r="K300" s="3"/>
      <c r="L300" s="19"/>
      <c r="W300">
        <f t="shared" si="4"/>
        <v>2</v>
      </c>
    </row>
    <row r="301" spans="1:23">
      <c r="A301" s="3" t="s">
        <v>444</v>
      </c>
      <c r="B301" t="str">
        <f>IF(_xlfn.XLOOKUP(A301,PARAMETROS!A:A,PARAMETROS!B:B)=0,"",_xlfn.XLOOKUP(A301,PARAMETROS!A:A,PARAMETROS!B:B))</f>
        <v>012009004318</v>
      </c>
      <c r="C301">
        <f>IF(_xlfn.XLOOKUP(A301,PARAMETROS!A:A,PARAMETROS!C:C)=0,"",_xlfn.XLOOKUP(A301,PARAMETROS!A:A,PARAMETROS!C:C))</f>
        <v>20</v>
      </c>
      <c r="D301">
        <f>IF(_xlfn.XLOOKUP(A301,PARAMETROS!A:A,PARAMETROS!D:D)=0,"",_xlfn.XLOOKUP(A301,PARAMETROS!A:A,PARAMETROS!D:D))</f>
        <v>2</v>
      </c>
      <c r="E301" t="str">
        <f>IF(_xlfn.XLOOKUP('PREENCHIMENTO|LETIVAS'!A301,PARAMETROS!A:A,PARAMETROS!I:I)=0,"",_xlfn.XLOOKUP('PREENCHIMENTO|LETIVAS'!A301,PARAMETROS!A:A,PARAMETROS!I:I))</f>
        <v>PROFESSOR DE ENSINO SUPERIOR EAD</v>
      </c>
      <c r="F301" s="3" t="s">
        <v>31</v>
      </c>
      <c r="G301" s="3">
        <v>2</v>
      </c>
      <c r="H301" s="3" t="s">
        <v>39</v>
      </c>
      <c r="I301" s="3" t="s">
        <v>40</v>
      </c>
      <c r="J301" s="3" t="s">
        <v>1120</v>
      </c>
      <c r="K301" s="3"/>
      <c r="L301" s="19"/>
      <c r="W301">
        <f t="shared" si="4"/>
        <v>2</v>
      </c>
    </row>
    <row r="302" spans="1:23">
      <c r="A302" s="3" t="s">
        <v>444</v>
      </c>
      <c r="B302" t="str">
        <f>IF(_xlfn.XLOOKUP(A302,PARAMETROS!A:A,PARAMETROS!B:B)=0,"",_xlfn.XLOOKUP(A302,PARAMETROS!A:A,PARAMETROS!B:B))</f>
        <v>012009004318</v>
      </c>
      <c r="C302">
        <f>IF(_xlfn.XLOOKUP(A302,PARAMETROS!A:A,PARAMETROS!C:C)=0,"",_xlfn.XLOOKUP(A302,PARAMETROS!A:A,PARAMETROS!C:C))</f>
        <v>20</v>
      </c>
      <c r="D302">
        <f>IF(_xlfn.XLOOKUP(A302,PARAMETROS!A:A,PARAMETROS!D:D)=0,"",_xlfn.XLOOKUP(A302,PARAMETROS!A:A,PARAMETROS!D:D))</f>
        <v>2</v>
      </c>
      <c r="E302" t="str">
        <f>IF(_xlfn.XLOOKUP('PREENCHIMENTO|LETIVAS'!A302,PARAMETROS!A:A,PARAMETROS!I:I)=0,"",_xlfn.XLOOKUP('PREENCHIMENTO|LETIVAS'!A302,PARAMETROS!A:A,PARAMETROS!I:I))</f>
        <v>PROFESSOR DE ENSINO SUPERIOR EAD</v>
      </c>
      <c r="F302" s="3" t="s">
        <v>31</v>
      </c>
      <c r="G302" s="3">
        <v>1</v>
      </c>
      <c r="H302" s="3" t="s">
        <v>39</v>
      </c>
      <c r="I302" s="3" t="s">
        <v>33</v>
      </c>
      <c r="J302" s="3" t="s">
        <v>1121</v>
      </c>
      <c r="K302" s="3"/>
      <c r="L302" s="19"/>
      <c r="W302">
        <f t="shared" si="4"/>
        <v>2</v>
      </c>
    </row>
    <row r="303" spans="1:23">
      <c r="A303" s="3" t="s">
        <v>444</v>
      </c>
      <c r="B303" t="str">
        <f>IF(_xlfn.XLOOKUP(A303,PARAMETROS!A:A,PARAMETROS!B:B)=0,"",_xlfn.XLOOKUP(A303,PARAMETROS!A:A,PARAMETROS!B:B))</f>
        <v>012009004318</v>
      </c>
      <c r="C303">
        <f>IF(_xlfn.XLOOKUP(A303,PARAMETROS!A:A,PARAMETROS!C:C)=0,"",_xlfn.XLOOKUP(A303,PARAMETROS!A:A,PARAMETROS!C:C))</f>
        <v>20</v>
      </c>
      <c r="D303">
        <f>IF(_xlfn.XLOOKUP(A303,PARAMETROS!A:A,PARAMETROS!D:D)=0,"",_xlfn.XLOOKUP(A303,PARAMETROS!A:A,PARAMETROS!D:D))</f>
        <v>2</v>
      </c>
      <c r="E303" t="str">
        <f>IF(_xlfn.XLOOKUP('PREENCHIMENTO|LETIVAS'!A303,PARAMETROS!A:A,PARAMETROS!I:I)=0,"",_xlfn.XLOOKUP('PREENCHIMENTO|LETIVAS'!A303,PARAMETROS!A:A,PARAMETROS!I:I))</f>
        <v>PROFESSOR DE ENSINO SUPERIOR EAD</v>
      </c>
      <c r="F303" s="3" t="s">
        <v>31</v>
      </c>
      <c r="G303" s="3" t="s">
        <v>54</v>
      </c>
      <c r="H303" s="3" t="s">
        <v>39</v>
      </c>
      <c r="I303" s="3" t="s">
        <v>33</v>
      </c>
      <c r="J303" s="3" t="s">
        <v>1122</v>
      </c>
      <c r="K303" s="3"/>
      <c r="L303" s="19"/>
      <c r="W303">
        <f t="shared" si="4"/>
        <v>2</v>
      </c>
    </row>
    <row r="304" spans="1:23">
      <c r="A304" s="3" t="s">
        <v>644</v>
      </c>
      <c r="B304" t="str">
        <f>IF(_xlfn.XLOOKUP(A304,PARAMETROS!A:A,PARAMETROS!B:B)=0,"",_xlfn.XLOOKUP(A304,PARAMETROS!A:A,PARAMETROS!B:B))</f>
        <v>012009006281</v>
      </c>
      <c r="C304">
        <f>IF(_xlfn.XLOOKUP(A304,PARAMETROS!A:A,PARAMETROS!C:C)=0,"",_xlfn.XLOOKUP(A304,PARAMETROS!A:A,PARAMETROS!C:C))</f>
        <v>12</v>
      </c>
      <c r="D304">
        <f>IF(_xlfn.XLOOKUP(A304,PARAMETROS!A:A,PARAMETROS!D:D)=0,"",_xlfn.XLOOKUP(A304,PARAMETROS!A:A,PARAMETROS!D:D))</f>
        <v>9</v>
      </c>
      <c r="E304" t="str">
        <f>IF(_xlfn.XLOOKUP('PREENCHIMENTO|LETIVAS'!A304,PARAMETROS!A:A,PARAMETROS!I:I)=0,"",_xlfn.XLOOKUP('PREENCHIMENTO|LETIVAS'!A304,PARAMETROS!A:A,PARAMETROS!I:I))</f>
        <v>PROFESSOR REGENTE</v>
      </c>
      <c r="F304" s="3" t="s">
        <v>31</v>
      </c>
      <c r="G304" s="3">
        <v>2</v>
      </c>
      <c r="H304" s="3" t="s">
        <v>39</v>
      </c>
      <c r="I304" s="3" t="s">
        <v>33</v>
      </c>
      <c r="J304" s="3" t="s">
        <v>974</v>
      </c>
      <c r="K304" s="3"/>
      <c r="L304" s="19"/>
      <c r="W304">
        <f t="shared" si="4"/>
        <v>2</v>
      </c>
    </row>
    <row r="305" spans="1:23">
      <c r="A305" s="3" t="s">
        <v>273</v>
      </c>
      <c r="B305" t="str">
        <f>IF(_xlfn.XLOOKUP(A305,PARAMETROS!A:A,PARAMETROS!B:B)=0,"",_xlfn.XLOOKUP(A305,PARAMETROS!A:A,PARAMETROS!B:B))</f>
        <v>012009006187</v>
      </c>
      <c r="C305">
        <f>IF(_xlfn.XLOOKUP(A305,PARAMETROS!A:A,PARAMETROS!C:C)=0,"",_xlfn.XLOOKUP(A305,PARAMETROS!A:A,PARAMETROS!C:C))</f>
        <v>12</v>
      </c>
      <c r="D305">
        <f>IF(_xlfn.XLOOKUP(A305,PARAMETROS!A:A,PARAMETROS!D:D)=0,"",_xlfn.XLOOKUP(A305,PARAMETROS!A:A,PARAMETROS!D:D))</f>
        <v>9</v>
      </c>
      <c r="E305" t="str">
        <f>IF(_xlfn.XLOOKUP('PREENCHIMENTO|LETIVAS'!A305,PARAMETROS!A:A,PARAMETROS!I:I)=0,"",_xlfn.XLOOKUP('PREENCHIMENTO|LETIVAS'!A305,PARAMETROS!A:A,PARAMETROS!I:I))</f>
        <v>PROFESSOR REGENTE</v>
      </c>
      <c r="F305" s="3" t="s">
        <v>31</v>
      </c>
      <c r="G305" s="3">
        <v>2</v>
      </c>
      <c r="H305" s="3" t="s">
        <v>63</v>
      </c>
      <c r="I305" s="3" t="s">
        <v>33</v>
      </c>
      <c r="J305" s="3" t="s">
        <v>1123</v>
      </c>
      <c r="K305" s="3"/>
      <c r="L305" s="19"/>
      <c r="W305">
        <f t="shared" si="4"/>
        <v>2</v>
      </c>
    </row>
    <row r="306" spans="1:23">
      <c r="A306" s="3" t="s">
        <v>315</v>
      </c>
      <c r="B306" t="str">
        <f>IF(_xlfn.XLOOKUP(A306,PARAMETROS!A:A,PARAMETROS!B:B)=0,"",_xlfn.XLOOKUP(A306,PARAMETROS!A:A,PARAMETROS!B:B))</f>
        <v>012009004198</v>
      </c>
      <c r="C306">
        <f>IF(_xlfn.XLOOKUP(A306,PARAMETROS!A:A,PARAMETROS!C:C)=0,"",_xlfn.XLOOKUP(A306,PARAMETROS!A:A,PARAMETROS!C:C))</f>
        <v>20</v>
      </c>
      <c r="D306">
        <f>IF(_xlfn.XLOOKUP(A306,PARAMETROS!A:A,PARAMETROS!D:D)=0,"",_xlfn.XLOOKUP(A306,PARAMETROS!A:A,PARAMETROS!D:D))</f>
        <v>2</v>
      </c>
      <c r="E306" t="str">
        <f>IF(_xlfn.XLOOKUP('PREENCHIMENTO|LETIVAS'!A306,PARAMETROS!A:A,PARAMETROS!I:I)=0,"",_xlfn.XLOOKUP('PREENCHIMENTO|LETIVAS'!A306,PARAMETROS!A:A,PARAMETROS!I:I))</f>
        <v>PROFESSOR DE ENSINO SUPERIOR EAD</v>
      </c>
      <c r="F306" s="3" t="s">
        <v>31</v>
      </c>
      <c r="G306" s="3">
        <v>2</v>
      </c>
      <c r="H306" s="3" t="s">
        <v>63</v>
      </c>
      <c r="I306" s="3" t="s">
        <v>33</v>
      </c>
      <c r="J306" s="3" t="s">
        <v>1124</v>
      </c>
      <c r="K306" s="3"/>
      <c r="L306" s="19"/>
      <c r="W306">
        <f t="shared" si="4"/>
        <v>2</v>
      </c>
    </row>
    <row r="307" spans="1:23">
      <c r="A307" s="3" t="s">
        <v>315</v>
      </c>
      <c r="B307" t="str">
        <f>IF(_xlfn.XLOOKUP(A307,PARAMETROS!A:A,PARAMETROS!B:B)=0,"",_xlfn.XLOOKUP(A307,PARAMETROS!A:A,PARAMETROS!B:B))</f>
        <v>012009004198</v>
      </c>
      <c r="C307">
        <f>IF(_xlfn.XLOOKUP(A307,PARAMETROS!A:A,PARAMETROS!C:C)=0,"",_xlfn.XLOOKUP(A307,PARAMETROS!A:A,PARAMETROS!C:C))</f>
        <v>20</v>
      </c>
      <c r="D307">
        <f>IF(_xlfn.XLOOKUP(A307,PARAMETROS!A:A,PARAMETROS!D:D)=0,"",_xlfn.XLOOKUP(A307,PARAMETROS!A:A,PARAMETROS!D:D))</f>
        <v>2</v>
      </c>
      <c r="E307" t="str">
        <f>IF(_xlfn.XLOOKUP('PREENCHIMENTO|LETIVAS'!A307,PARAMETROS!A:A,PARAMETROS!I:I)=0,"",_xlfn.XLOOKUP('PREENCHIMENTO|LETIVAS'!A307,PARAMETROS!A:A,PARAMETROS!I:I))</f>
        <v>PROFESSOR DE ENSINO SUPERIOR EAD</v>
      </c>
      <c r="F307" s="3" t="s">
        <v>31</v>
      </c>
      <c r="G307" s="3">
        <v>1</v>
      </c>
      <c r="H307" s="3" t="s">
        <v>63</v>
      </c>
      <c r="I307" s="3" t="s">
        <v>40</v>
      </c>
      <c r="J307" s="3" t="s">
        <v>1125</v>
      </c>
      <c r="K307" s="3"/>
      <c r="L307" s="19"/>
      <c r="W307">
        <f t="shared" si="4"/>
        <v>2</v>
      </c>
    </row>
    <row r="308" spans="1:23">
      <c r="A308" s="3" t="s">
        <v>653</v>
      </c>
      <c r="B308" t="str">
        <f>IF(_xlfn.XLOOKUP(A308,PARAMETROS!A:A,PARAMETROS!B:B)=0,"",_xlfn.XLOOKUP(A308,PARAMETROS!A:A,PARAMETROS!B:B))</f>
        <v>012009002882</v>
      </c>
      <c r="C308">
        <f>IF(_xlfn.XLOOKUP(A308,PARAMETROS!A:A,PARAMETROS!C:C)=0,"",_xlfn.XLOOKUP(A308,PARAMETROS!A:A,PARAMETROS!C:C))</f>
        <v>24</v>
      </c>
      <c r="D308">
        <f>IF(_xlfn.XLOOKUP(A308,PARAMETROS!A:A,PARAMETROS!D:D)=0,"",_xlfn.XLOOKUP(A308,PARAMETROS!A:A,PARAMETROS!D:D))</f>
        <v>18</v>
      </c>
      <c r="E308" t="str">
        <f>IF(_xlfn.XLOOKUP('PREENCHIMENTO|LETIVAS'!A308,PARAMETROS!A:A,PARAMETROS!I:I)=0,"",_xlfn.XLOOKUP('PREENCHIMENTO|LETIVAS'!A308,PARAMETROS!A:A,PARAMETROS!I:I))</f>
        <v>PROFESSOR REGENTE</v>
      </c>
      <c r="F308" s="3" t="s">
        <v>31</v>
      </c>
      <c r="G308" s="3">
        <v>2</v>
      </c>
      <c r="H308" s="3" t="s">
        <v>39</v>
      </c>
      <c r="I308" s="3" t="s">
        <v>33</v>
      </c>
      <c r="J308" s="3" t="s">
        <v>1126</v>
      </c>
      <c r="K308" s="3"/>
      <c r="L308" s="19"/>
      <c r="W308">
        <f t="shared" si="4"/>
        <v>2</v>
      </c>
    </row>
    <row r="309" spans="1:23">
      <c r="A309" s="3" t="s">
        <v>653</v>
      </c>
      <c r="B309" t="str">
        <f>IF(_xlfn.XLOOKUP(A309,PARAMETROS!A:A,PARAMETROS!B:B)=0,"",_xlfn.XLOOKUP(A309,PARAMETROS!A:A,PARAMETROS!B:B))</f>
        <v>012009002882</v>
      </c>
      <c r="C309">
        <f>IF(_xlfn.XLOOKUP(A309,PARAMETROS!A:A,PARAMETROS!C:C)=0,"",_xlfn.XLOOKUP(A309,PARAMETROS!A:A,PARAMETROS!C:C))</f>
        <v>24</v>
      </c>
      <c r="D309">
        <f>IF(_xlfn.XLOOKUP(A309,PARAMETROS!A:A,PARAMETROS!D:D)=0,"",_xlfn.XLOOKUP(A309,PARAMETROS!A:A,PARAMETROS!D:D))</f>
        <v>18</v>
      </c>
      <c r="E309" t="str">
        <f>IF(_xlfn.XLOOKUP('PREENCHIMENTO|LETIVAS'!A309,PARAMETROS!A:A,PARAMETROS!I:I)=0,"",_xlfn.XLOOKUP('PREENCHIMENTO|LETIVAS'!A309,PARAMETROS!A:A,PARAMETROS!I:I))</f>
        <v>PROFESSOR REGENTE</v>
      </c>
      <c r="F309" s="3" t="s">
        <v>31</v>
      </c>
      <c r="G309" s="3">
        <v>1</v>
      </c>
      <c r="H309" s="3" t="s">
        <v>39</v>
      </c>
      <c r="I309" s="3" t="s">
        <v>33</v>
      </c>
      <c r="J309" s="3" t="s">
        <v>1127</v>
      </c>
      <c r="K309" s="3"/>
      <c r="L309" s="19"/>
      <c r="W309">
        <f t="shared" si="4"/>
        <v>2</v>
      </c>
    </row>
    <row r="310" spans="1:23">
      <c r="A310" s="3" t="s">
        <v>653</v>
      </c>
      <c r="B310" t="str">
        <f>IF(_xlfn.XLOOKUP(A310,PARAMETROS!A:A,PARAMETROS!B:B)=0,"",_xlfn.XLOOKUP(A310,PARAMETROS!A:A,PARAMETROS!B:B))</f>
        <v>012009002882</v>
      </c>
      <c r="C310">
        <f>IF(_xlfn.XLOOKUP(A310,PARAMETROS!A:A,PARAMETROS!C:C)=0,"",_xlfn.XLOOKUP(A310,PARAMETROS!A:A,PARAMETROS!C:C))</f>
        <v>24</v>
      </c>
      <c r="D310">
        <f>IF(_xlfn.XLOOKUP(A310,PARAMETROS!A:A,PARAMETROS!D:D)=0,"",_xlfn.XLOOKUP(A310,PARAMETROS!A:A,PARAMETROS!D:D))</f>
        <v>18</v>
      </c>
      <c r="E310" t="str">
        <f>IF(_xlfn.XLOOKUP('PREENCHIMENTO|LETIVAS'!A310,PARAMETROS!A:A,PARAMETROS!I:I)=0,"",_xlfn.XLOOKUP('PREENCHIMENTO|LETIVAS'!A310,PARAMETROS!A:A,PARAMETROS!I:I))</f>
        <v>PROFESSOR REGENTE</v>
      </c>
      <c r="F310" s="3" t="s">
        <v>31</v>
      </c>
      <c r="G310" s="3">
        <v>1</v>
      </c>
      <c r="H310" s="3" t="s">
        <v>39</v>
      </c>
      <c r="I310" s="3" t="s">
        <v>40</v>
      </c>
      <c r="J310" s="3" t="s">
        <v>1128</v>
      </c>
      <c r="K310" s="3"/>
      <c r="L310" s="19"/>
      <c r="W310">
        <f t="shared" si="4"/>
        <v>2</v>
      </c>
    </row>
    <row r="311" spans="1:23">
      <c r="A311" s="3" t="s">
        <v>523</v>
      </c>
      <c r="B311" t="str">
        <f>IF(_xlfn.XLOOKUP(A311,PARAMETROS!A:A,PARAMETROS!B:B)=0,"",_xlfn.XLOOKUP(A311,PARAMETROS!A:A,PARAMETROS!B:B))</f>
        <v>012009005681</v>
      </c>
      <c r="C311">
        <f>IF(_xlfn.XLOOKUP(A311,PARAMETROS!A:A,PARAMETROS!C:C)=0,"",_xlfn.XLOOKUP(A311,PARAMETROS!A:A,PARAMETROS!C:C))</f>
        <v>20</v>
      </c>
      <c r="D311">
        <f>IF(_xlfn.XLOOKUP(A311,PARAMETROS!A:A,PARAMETROS!D:D)=0,"",_xlfn.XLOOKUP(A311,PARAMETROS!A:A,PARAMETROS!D:D))</f>
        <v>2</v>
      </c>
      <c r="E311" t="str">
        <f>IF(_xlfn.XLOOKUP('PREENCHIMENTO|LETIVAS'!A311,PARAMETROS!A:A,PARAMETROS!I:I)=0,"",_xlfn.XLOOKUP('PREENCHIMENTO|LETIVAS'!A311,PARAMETROS!A:A,PARAMETROS!I:I))</f>
        <v>PROFESSOR DE ENSINO SUPERIOR EAD</v>
      </c>
      <c r="F311" s="3" t="s">
        <v>31</v>
      </c>
      <c r="G311" s="3">
        <v>2</v>
      </c>
      <c r="H311" s="3" t="s">
        <v>63</v>
      </c>
      <c r="I311" s="3" t="s">
        <v>40</v>
      </c>
      <c r="J311" s="3" t="s">
        <v>1129</v>
      </c>
      <c r="K311" s="3"/>
      <c r="L311" s="19"/>
      <c r="W311">
        <f t="shared" si="4"/>
        <v>2</v>
      </c>
    </row>
    <row r="312" spans="1:23">
      <c r="A312" s="3" t="s">
        <v>561</v>
      </c>
      <c r="B312" t="str">
        <f>IF(_xlfn.XLOOKUP(A312,PARAMETROS!A:A,PARAMETROS!B:B)=0,"",_xlfn.XLOOKUP(A312,PARAMETROS!A:A,PARAMETROS!B:B))</f>
        <v>012009006244</v>
      </c>
      <c r="C312">
        <f>IF(_xlfn.XLOOKUP(A312,PARAMETROS!A:A,PARAMETROS!C:C)=0,"",_xlfn.XLOOKUP(A312,PARAMETROS!A:A,PARAMETROS!C:C))</f>
        <v>12</v>
      </c>
      <c r="D312">
        <f>IF(_xlfn.XLOOKUP(A312,PARAMETROS!A:A,PARAMETROS!D:D)=0,"",_xlfn.XLOOKUP(A312,PARAMETROS!A:A,PARAMETROS!D:D))</f>
        <v>9</v>
      </c>
      <c r="E312" t="str">
        <f>IF(_xlfn.XLOOKUP('PREENCHIMENTO|LETIVAS'!A312,PARAMETROS!A:A,PARAMETROS!I:I)=0,"",_xlfn.XLOOKUP('PREENCHIMENTO|LETIVAS'!A312,PARAMETROS!A:A,PARAMETROS!I:I))</f>
        <v>PROFESSOR REGENTE</v>
      </c>
      <c r="F312" s="3" t="s">
        <v>31</v>
      </c>
      <c r="G312" s="3" t="s">
        <v>54</v>
      </c>
      <c r="H312" s="3" t="s">
        <v>63</v>
      </c>
      <c r="I312" s="3" t="s">
        <v>40</v>
      </c>
      <c r="J312" s="3" t="s">
        <v>1130</v>
      </c>
      <c r="K312" s="3"/>
      <c r="L312" s="19"/>
      <c r="W312">
        <f t="shared" si="4"/>
        <v>2</v>
      </c>
    </row>
    <row r="313" spans="1:23">
      <c r="A313" s="3" t="s">
        <v>267</v>
      </c>
      <c r="B313" t="str">
        <f>IF(_xlfn.XLOOKUP(A313,PARAMETROS!A:A,PARAMETROS!B:B)=0,"",_xlfn.XLOOKUP(A313,PARAMETROS!A:A,PARAMETROS!B:B))</f>
        <v>012009006198</v>
      </c>
      <c r="C313">
        <f>IF(_xlfn.XLOOKUP(A313,PARAMETROS!A:A,PARAMETROS!C:C)=0,"",_xlfn.XLOOKUP(A313,PARAMETROS!A:A,PARAMETROS!C:C))</f>
        <v>12</v>
      </c>
      <c r="D313">
        <f>IF(_xlfn.XLOOKUP(A313,PARAMETROS!A:A,PARAMETROS!D:D)=0,"",_xlfn.XLOOKUP(A313,PARAMETROS!A:A,PARAMETROS!D:D))</f>
        <v>9</v>
      </c>
      <c r="E313" t="str">
        <f>IF(_xlfn.XLOOKUP('PREENCHIMENTO|LETIVAS'!A313,PARAMETROS!A:A,PARAMETROS!I:I)=0,"",_xlfn.XLOOKUP('PREENCHIMENTO|LETIVAS'!A313,PARAMETROS!A:A,PARAMETROS!I:I))</f>
        <v>PROFESSOR REGENTE</v>
      </c>
      <c r="F313" s="3" t="s">
        <v>31</v>
      </c>
      <c r="G313" s="3">
        <v>2</v>
      </c>
      <c r="H313" s="3" t="s">
        <v>63</v>
      </c>
      <c r="I313" s="3" t="s">
        <v>33</v>
      </c>
      <c r="J313" s="3" t="s">
        <v>1131</v>
      </c>
      <c r="K313" s="3"/>
      <c r="L313" s="19"/>
      <c r="W313">
        <f t="shared" si="4"/>
        <v>2</v>
      </c>
    </row>
    <row r="314" spans="1:23">
      <c r="A314" s="3" t="s">
        <v>700</v>
      </c>
      <c r="B314" t="str">
        <f>IF(_xlfn.XLOOKUP(A314,PARAMETROS!A:A,PARAMETROS!B:B)=0,"",_xlfn.XLOOKUP(A314,PARAMETROS!A:A,PARAMETROS!B:B))</f>
        <v>012009006356</v>
      </c>
      <c r="C314">
        <f>IF(_xlfn.XLOOKUP(A314,PARAMETROS!A:A,PARAMETROS!C:C)=0,"",_xlfn.XLOOKUP(A314,PARAMETROS!A:A,PARAMETROS!C:C))</f>
        <v>12</v>
      </c>
      <c r="D314">
        <f>IF(_xlfn.XLOOKUP(A314,PARAMETROS!A:A,PARAMETROS!D:D)=0,"",_xlfn.XLOOKUP(A314,PARAMETROS!A:A,PARAMETROS!D:D))</f>
        <v>9</v>
      </c>
      <c r="E314" t="str">
        <f>IF(_xlfn.XLOOKUP('PREENCHIMENTO|LETIVAS'!A314,PARAMETROS!A:A,PARAMETROS!I:I)=0,"",_xlfn.XLOOKUP('PREENCHIMENTO|LETIVAS'!A314,PARAMETROS!A:A,PARAMETROS!I:I))</f>
        <v>PROFESSOR REGENTE</v>
      </c>
      <c r="F314" s="3" t="s">
        <v>31</v>
      </c>
      <c r="G314" s="3" t="s">
        <v>54</v>
      </c>
      <c r="H314" s="3" t="s">
        <v>55</v>
      </c>
      <c r="I314" s="3" t="s">
        <v>33</v>
      </c>
      <c r="J314" s="3" t="s">
        <v>1132</v>
      </c>
      <c r="K314" s="3"/>
      <c r="L314" s="19"/>
      <c r="W314">
        <f t="shared" si="4"/>
        <v>2</v>
      </c>
    </row>
    <row r="315" spans="1:23">
      <c r="A315" s="3" t="s">
        <v>727</v>
      </c>
      <c r="B315" t="str">
        <f>IF(_xlfn.XLOOKUP(A315,PARAMETROS!A:A,PARAMETROS!B:B)=0,"",_xlfn.XLOOKUP(A315,PARAMETROS!A:A,PARAMETROS!B:B))</f>
        <v>012009006370</v>
      </c>
      <c r="C315">
        <f>IF(_xlfn.XLOOKUP(A315,PARAMETROS!A:A,PARAMETROS!C:C)=0,"",_xlfn.XLOOKUP(A315,PARAMETROS!A:A,PARAMETROS!C:C))</f>
        <v>12</v>
      </c>
      <c r="D315">
        <f>IF(_xlfn.XLOOKUP(A315,PARAMETROS!A:A,PARAMETROS!D:D)=0,"",_xlfn.XLOOKUP(A315,PARAMETROS!A:A,PARAMETROS!D:D))</f>
        <v>9</v>
      </c>
      <c r="E315" t="str">
        <f>IF(_xlfn.XLOOKUP('PREENCHIMENTO|LETIVAS'!A315,PARAMETROS!A:A,PARAMETROS!I:I)=0,"",_xlfn.XLOOKUP('PREENCHIMENTO|LETIVAS'!A315,PARAMETROS!A:A,PARAMETROS!I:I))</f>
        <v>PROFESSOR REGENTE</v>
      </c>
      <c r="F315" s="3" t="s">
        <v>31</v>
      </c>
      <c r="G315" s="3">
        <v>2</v>
      </c>
      <c r="H315" s="3" t="s">
        <v>63</v>
      </c>
      <c r="I315" s="3" t="s">
        <v>33</v>
      </c>
      <c r="J315" s="3" t="s">
        <v>1133</v>
      </c>
      <c r="K315" s="3"/>
      <c r="L315" s="19"/>
      <c r="W315">
        <f t="shared" si="4"/>
        <v>2</v>
      </c>
    </row>
    <row r="316" spans="1:23">
      <c r="A316" s="3" t="s">
        <v>727</v>
      </c>
      <c r="B316" t="str">
        <f>IF(_xlfn.XLOOKUP(A316,PARAMETROS!A:A,PARAMETROS!B:B)=0,"",_xlfn.XLOOKUP(A316,PARAMETROS!A:A,PARAMETROS!B:B))</f>
        <v>012009006370</v>
      </c>
      <c r="C316">
        <f>IF(_xlfn.XLOOKUP(A316,PARAMETROS!A:A,PARAMETROS!C:C)=0,"",_xlfn.XLOOKUP(A316,PARAMETROS!A:A,PARAMETROS!C:C))</f>
        <v>12</v>
      </c>
      <c r="D316">
        <f>IF(_xlfn.XLOOKUP(A316,PARAMETROS!A:A,PARAMETROS!D:D)=0,"",_xlfn.XLOOKUP(A316,PARAMETROS!A:A,PARAMETROS!D:D))</f>
        <v>9</v>
      </c>
      <c r="E316" t="str">
        <f>IF(_xlfn.XLOOKUP('PREENCHIMENTO|LETIVAS'!A316,PARAMETROS!A:A,PARAMETROS!I:I)=0,"",_xlfn.XLOOKUP('PREENCHIMENTO|LETIVAS'!A316,PARAMETROS!A:A,PARAMETROS!I:I))</f>
        <v>PROFESSOR REGENTE</v>
      </c>
      <c r="F316" s="3" t="s">
        <v>31</v>
      </c>
      <c r="G316" s="3">
        <v>2</v>
      </c>
      <c r="H316" s="3" t="s">
        <v>39</v>
      </c>
      <c r="I316" s="3" t="s">
        <v>40</v>
      </c>
      <c r="J316" s="12" t="s">
        <v>1134</v>
      </c>
      <c r="K316" s="3"/>
      <c r="L316" s="19"/>
      <c r="W316">
        <f t="shared" si="4"/>
        <v>2</v>
      </c>
    </row>
    <row r="317" spans="1:23">
      <c r="A317" s="3" t="s">
        <v>733</v>
      </c>
      <c r="B317" t="str">
        <f>IF(_xlfn.XLOOKUP(A317,PARAMETROS!A:A,PARAMETROS!B:B)=0,"",_xlfn.XLOOKUP(A317,PARAMETROS!A:A,PARAMETROS!B:B))</f>
        <v>012009006367</v>
      </c>
      <c r="C317">
        <f>IF(_xlfn.XLOOKUP(A317,PARAMETROS!A:A,PARAMETROS!C:C)=0,"",_xlfn.XLOOKUP(A317,PARAMETROS!A:A,PARAMETROS!C:C))</f>
        <v>12</v>
      </c>
      <c r="D317">
        <f>IF(_xlfn.XLOOKUP(A317,PARAMETROS!A:A,PARAMETROS!D:D)=0,"",_xlfn.XLOOKUP(A317,PARAMETROS!A:A,PARAMETROS!D:D))</f>
        <v>9</v>
      </c>
      <c r="E317" t="str">
        <f>IF(_xlfn.XLOOKUP('PREENCHIMENTO|LETIVAS'!A317,PARAMETROS!A:A,PARAMETROS!I:I)=0,"",_xlfn.XLOOKUP('PREENCHIMENTO|LETIVAS'!A317,PARAMETROS!A:A,PARAMETROS!I:I))</f>
        <v>PROFESSOR REGENTE</v>
      </c>
      <c r="F317" s="3" t="s">
        <v>31</v>
      </c>
      <c r="G317" s="3">
        <v>2</v>
      </c>
      <c r="H317" s="3" t="s">
        <v>32</v>
      </c>
      <c r="I317" s="3" t="s">
        <v>33</v>
      </c>
      <c r="J317" s="3" t="s">
        <v>911</v>
      </c>
      <c r="K317" s="3"/>
      <c r="L317" s="19"/>
      <c r="W317">
        <f t="shared" si="4"/>
        <v>2</v>
      </c>
    </row>
    <row r="318" spans="1:23">
      <c r="A318" s="3" t="s">
        <v>742</v>
      </c>
      <c r="B318" t="str">
        <f>IF(_xlfn.XLOOKUP(A318,PARAMETROS!A:A,PARAMETROS!B:B)=0,"",_xlfn.XLOOKUP(A318,PARAMETROS!A:A,PARAMETROS!B:B))</f>
        <v>012009004271</v>
      </c>
      <c r="C318" t="str">
        <f>IF(_xlfn.XLOOKUP(A318,PARAMETROS!A:A,PARAMETROS!C:C)=0,"",_xlfn.XLOOKUP(A318,PARAMETROS!A:A,PARAMETROS!C:C))</f>
        <v/>
      </c>
      <c r="D318" t="str">
        <f>IF(_xlfn.XLOOKUP(A318,PARAMETROS!A:A,PARAMETROS!D:D)=0,"",_xlfn.XLOOKUP(A318,PARAMETROS!A:A,PARAMETROS!D:D))</f>
        <v/>
      </c>
      <c r="E318" t="str">
        <f>IF(_xlfn.XLOOKUP('PREENCHIMENTO|LETIVAS'!A318,PARAMETROS!A:A,PARAMETROS!I:I)=0,"",_xlfn.XLOOKUP('PREENCHIMENTO|LETIVAS'!A318,PARAMETROS!A:A,PARAMETROS!I:I))</f>
        <v>PROFESSOR DE ENSINO SUPERIOR PRESENCIAL</v>
      </c>
      <c r="F318" s="3" t="s">
        <v>31</v>
      </c>
      <c r="G318" s="3">
        <v>1</v>
      </c>
      <c r="H318" s="3" t="s">
        <v>55</v>
      </c>
      <c r="I318" s="3" t="s">
        <v>33</v>
      </c>
      <c r="J318" s="3" t="s">
        <v>1135</v>
      </c>
      <c r="K318" s="3"/>
      <c r="L318" s="19"/>
      <c r="W318">
        <f t="shared" si="4"/>
        <v>2</v>
      </c>
    </row>
    <row r="319" spans="1:23">
      <c r="A319" s="3" t="s">
        <v>745</v>
      </c>
      <c r="B319" t="str">
        <f>IF(_xlfn.XLOOKUP(A319,PARAMETROS!A:A,PARAMETROS!B:B)=0,"",_xlfn.XLOOKUP(A319,PARAMETROS!A:A,PARAMETROS!B:B))</f>
        <v>012009003771</v>
      </c>
      <c r="C319" t="str">
        <f>IF(_xlfn.XLOOKUP(A319,PARAMETROS!A:A,PARAMETROS!C:C)=0,"",_xlfn.XLOOKUP(A319,PARAMETROS!A:A,PARAMETROS!C:C))</f>
        <v/>
      </c>
      <c r="D319" t="str">
        <f>IF(_xlfn.XLOOKUP(A319,PARAMETROS!A:A,PARAMETROS!D:D)=0,"",_xlfn.XLOOKUP(A319,PARAMETROS!A:A,PARAMETROS!D:D))</f>
        <v/>
      </c>
      <c r="E319" t="str">
        <f>IF(_xlfn.XLOOKUP('PREENCHIMENTO|LETIVAS'!A319,PARAMETROS!A:A,PARAMETROS!I:I)=0,"",_xlfn.XLOOKUP('PREENCHIMENTO|LETIVAS'!A319,PARAMETROS!A:A,PARAMETROS!I:I))</f>
        <v>PROFESSOR DE ENSINO SUPERIOR PRESENCIAL</v>
      </c>
      <c r="F319" s="3" t="s">
        <v>31</v>
      </c>
      <c r="G319" s="3" t="s">
        <v>54</v>
      </c>
      <c r="H319" s="3" t="s">
        <v>55</v>
      </c>
      <c r="I319" s="3" t="s">
        <v>33</v>
      </c>
      <c r="J319" s="3" t="s">
        <v>1136</v>
      </c>
      <c r="K319" s="3"/>
      <c r="L319" s="19"/>
      <c r="W319">
        <f t="shared" si="4"/>
        <v>2</v>
      </c>
    </row>
    <row r="320" spans="1:23">
      <c r="A320" s="3" t="s">
        <v>739</v>
      </c>
      <c r="B320" t="str">
        <f>IF(_xlfn.XLOOKUP(A320,PARAMETROS!A:A,PARAMETROS!B:B)=0,"",_xlfn.XLOOKUP(A320,PARAMETROS!A:A,PARAMETROS!B:B))</f>
        <v>012009003703</v>
      </c>
      <c r="C320" t="str">
        <f>IF(_xlfn.XLOOKUP(A320,PARAMETROS!A:A,PARAMETROS!C:C)=0,"",_xlfn.XLOOKUP(A320,PARAMETROS!A:A,PARAMETROS!C:C))</f>
        <v/>
      </c>
      <c r="D320" t="str">
        <f>IF(_xlfn.XLOOKUP(A320,PARAMETROS!A:A,PARAMETROS!D:D)=0,"",_xlfn.XLOOKUP(A320,PARAMETROS!A:A,PARAMETROS!D:D))</f>
        <v/>
      </c>
      <c r="E320" t="str">
        <f>IF(_xlfn.XLOOKUP('PREENCHIMENTO|LETIVAS'!A320,PARAMETROS!A:A,PARAMETROS!I:I)=0,"",_xlfn.XLOOKUP('PREENCHIMENTO|LETIVAS'!A320,PARAMETROS!A:A,PARAMETROS!I:I))</f>
        <v>PROFESSOR DE ENSINO SUPERIOR PRESENCIAL</v>
      </c>
      <c r="F320" s="3" t="s">
        <v>31</v>
      </c>
      <c r="G320" s="3" t="s">
        <v>54</v>
      </c>
      <c r="H320" s="3" t="s">
        <v>55</v>
      </c>
      <c r="I320" s="3" t="s">
        <v>40</v>
      </c>
      <c r="J320" s="3" t="s">
        <v>1137</v>
      </c>
      <c r="K320" s="3"/>
      <c r="L320" s="19"/>
      <c r="W320">
        <f t="shared" si="4"/>
        <v>2</v>
      </c>
    </row>
    <row r="321" spans="1:23">
      <c r="A321" s="3" t="s">
        <v>748</v>
      </c>
      <c r="B321" t="str">
        <f>IF(_xlfn.XLOOKUP(A321,PARAMETROS!A:A,PARAMETROS!B:B)=0,"",_xlfn.XLOOKUP(A321,PARAMETROS!A:A,PARAMETROS!B:B))</f>
        <v>012009003896</v>
      </c>
      <c r="C321" t="str">
        <f>IF(_xlfn.XLOOKUP(A321,PARAMETROS!A:A,PARAMETROS!C:C)=0,"",_xlfn.XLOOKUP(A321,PARAMETROS!A:A,PARAMETROS!C:C))</f>
        <v/>
      </c>
      <c r="D321" t="str">
        <f>IF(_xlfn.XLOOKUP(A321,PARAMETROS!A:A,PARAMETROS!D:D)=0,"",_xlfn.XLOOKUP(A321,PARAMETROS!A:A,PARAMETROS!D:D))</f>
        <v/>
      </c>
      <c r="E321" t="str">
        <f>IF(_xlfn.XLOOKUP('PREENCHIMENTO|LETIVAS'!A321,PARAMETROS!A:A,PARAMETROS!I:I)=0,"",_xlfn.XLOOKUP('PREENCHIMENTO|LETIVAS'!A321,PARAMETROS!A:A,PARAMETROS!I:I))</f>
        <v>PROFESSOR DE ENSINO SUPERIOR PRESENCIAL</v>
      </c>
      <c r="F321" s="3" t="s">
        <v>31</v>
      </c>
      <c r="G321" s="3">
        <v>2</v>
      </c>
      <c r="H321" s="3" t="s">
        <v>63</v>
      </c>
      <c r="I321" s="3" t="s">
        <v>40</v>
      </c>
      <c r="J321" s="3" t="s">
        <v>1138</v>
      </c>
      <c r="K321" s="3"/>
      <c r="L321" s="19"/>
      <c r="W321">
        <f t="shared" si="4"/>
        <v>2</v>
      </c>
    </row>
    <row r="322" spans="1:23">
      <c r="A322" s="3" t="s">
        <v>856</v>
      </c>
      <c r="B322" t="str">
        <f>IF(_xlfn.XLOOKUP(A322,PARAMETROS!A:A,PARAMETROS!B:B)=0,"",_xlfn.XLOOKUP(A322,PARAMETROS!A:A,PARAMETROS!B:B))</f>
        <v>000000000000</v>
      </c>
      <c r="C322" t="str">
        <f>IF(_xlfn.XLOOKUP(A322,PARAMETROS!A:A,PARAMETROS!C:C)=0,"",_xlfn.XLOOKUP(A322,PARAMETROS!A:A,PARAMETROS!C:C))</f>
        <v/>
      </c>
      <c r="D322" t="str">
        <f>IF(_xlfn.XLOOKUP(A322,PARAMETROS!A:A,PARAMETROS!D:D)=0,"",_xlfn.XLOOKUP(A322,PARAMETROS!A:A,PARAMETROS!D:D))</f>
        <v/>
      </c>
      <c r="E322" t="str">
        <f>IF(_xlfn.XLOOKUP('PREENCHIMENTO|LETIVAS'!A322,PARAMETROS!A:A,PARAMETROS!I:I)=0,"",_xlfn.XLOOKUP('PREENCHIMENTO|LETIVAS'!A322,PARAMETROS!A:A,PARAMETROS!I:I))</f>
        <v>RPA</v>
      </c>
      <c r="F322" s="3" t="s">
        <v>31</v>
      </c>
      <c r="G322" s="3">
        <v>1</v>
      </c>
      <c r="H322" s="3" t="s">
        <v>39</v>
      </c>
      <c r="I322" s="3" t="s">
        <v>33</v>
      </c>
      <c r="J322" s="3" t="s">
        <v>1139</v>
      </c>
      <c r="K322" s="3" t="s">
        <v>1140</v>
      </c>
      <c r="L322" s="19" t="s">
        <v>1141</v>
      </c>
      <c r="W322">
        <f t="shared" si="4"/>
        <v>2</v>
      </c>
    </row>
    <row r="323" spans="1:23">
      <c r="A323" s="3" t="s">
        <v>856</v>
      </c>
      <c r="B323" t="str">
        <f>IF(_xlfn.XLOOKUP(A323,PARAMETROS!A:A,PARAMETROS!B:B)=0,"",_xlfn.XLOOKUP(A323,PARAMETROS!A:A,PARAMETROS!B:B))</f>
        <v>000000000000</v>
      </c>
      <c r="C323" t="str">
        <f>IF(_xlfn.XLOOKUP(A323,PARAMETROS!A:A,PARAMETROS!C:C)=0,"",_xlfn.XLOOKUP(A323,PARAMETROS!A:A,PARAMETROS!C:C))</f>
        <v/>
      </c>
      <c r="D323" t="str">
        <f>IF(_xlfn.XLOOKUP(A323,PARAMETROS!A:A,PARAMETROS!D:D)=0,"",_xlfn.XLOOKUP(A323,PARAMETROS!A:A,PARAMETROS!D:D))</f>
        <v/>
      </c>
      <c r="E323" t="str">
        <f>IF(_xlfn.XLOOKUP('PREENCHIMENTO|LETIVAS'!A323,PARAMETROS!A:A,PARAMETROS!I:I)=0,"",_xlfn.XLOOKUP('PREENCHIMENTO|LETIVAS'!A323,PARAMETROS!A:A,PARAMETROS!I:I))</f>
        <v>RPA</v>
      </c>
      <c r="F323" s="3" t="s">
        <v>31</v>
      </c>
      <c r="G323" s="3">
        <v>1</v>
      </c>
      <c r="H323" s="3" t="s">
        <v>39</v>
      </c>
      <c r="I323" s="3" t="s">
        <v>40</v>
      </c>
      <c r="J323" s="3" t="s">
        <v>1142</v>
      </c>
      <c r="K323" s="17" t="s">
        <v>825</v>
      </c>
      <c r="L323" s="19" t="s">
        <v>1141</v>
      </c>
      <c r="W323">
        <f t="shared" si="4"/>
        <v>2</v>
      </c>
    </row>
    <row r="324" spans="1:23">
      <c r="A324" s="3" t="s">
        <v>733</v>
      </c>
      <c r="B324" t="str">
        <f>IF(_xlfn.XLOOKUP(A324,PARAMETROS!A:A,PARAMETROS!B:B)=0,"",_xlfn.XLOOKUP(A324,PARAMETROS!A:A,PARAMETROS!B:B))</f>
        <v>012009006367</v>
      </c>
      <c r="C324">
        <f>IF(_xlfn.XLOOKUP(A324,PARAMETROS!A:A,PARAMETROS!C:C)=0,"",_xlfn.XLOOKUP(A324,PARAMETROS!A:A,PARAMETROS!C:C))</f>
        <v>12</v>
      </c>
      <c r="D324">
        <f>IF(_xlfn.XLOOKUP(A324,PARAMETROS!A:A,PARAMETROS!D:D)=0,"",_xlfn.XLOOKUP(A324,PARAMETROS!A:A,PARAMETROS!D:D))</f>
        <v>9</v>
      </c>
      <c r="E324" t="str">
        <f>IF(_xlfn.XLOOKUP('PREENCHIMENTO|LETIVAS'!A324,PARAMETROS!A:A,PARAMETROS!I:I)=0,"",_xlfn.XLOOKUP('PREENCHIMENTO|LETIVAS'!A324,PARAMETROS!A:A,PARAMETROS!I:I))</f>
        <v>PROFESSOR REGENTE</v>
      </c>
      <c r="F324" s="3" t="s">
        <v>31</v>
      </c>
      <c r="G324" s="3">
        <v>2</v>
      </c>
      <c r="H324" s="3" t="s">
        <v>55</v>
      </c>
      <c r="I324" s="3" t="s">
        <v>40</v>
      </c>
      <c r="J324" s="3" t="s">
        <v>1143</v>
      </c>
      <c r="K324" s="3"/>
      <c r="L324" s="19"/>
      <c r="W324">
        <f t="shared" si="4"/>
        <v>2</v>
      </c>
    </row>
    <row r="325" spans="1:23">
      <c r="A325" s="3" t="s">
        <v>856</v>
      </c>
      <c r="B325" t="str">
        <f>IF(_xlfn.XLOOKUP(A325,PARAMETROS!A:A,PARAMETROS!B:B)=0,"",_xlfn.XLOOKUP(A325,PARAMETROS!A:A,PARAMETROS!B:B))</f>
        <v>000000000000</v>
      </c>
      <c r="C325" t="str">
        <f>IF(_xlfn.XLOOKUP(A325,PARAMETROS!A:A,PARAMETROS!C:C)=0,"",_xlfn.XLOOKUP(A325,PARAMETROS!A:A,PARAMETROS!C:C))</f>
        <v/>
      </c>
      <c r="D325" t="str">
        <f>IF(_xlfn.XLOOKUP(A325,PARAMETROS!A:A,PARAMETROS!D:D)=0,"",_xlfn.XLOOKUP(A325,PARAMETROS!A:A,PARAMETROS!D:D))</f>
        <v/>
      </c>
      <c r="E325" t="str">
        <f>IF(_xlfn.XLOOKUP('PREENCHIMENTO|LETIVAS'!A325,PARAMETROS!A:A,PARAMETROS!I:I)=0,"",_xlfn.XLOOKUP('PREENCHIMENTO|LETIVAS'!A325,PARAMETROS!A:A,PARAMETROS!I:I))</f>
        <v>RPA</v>
      </c>
      <c r="F325" s="3" t="s">
        <v>31</v>
      </c>
      <c r="G325" s="3" t="s">
        <v>54</v>
      </c>
      <c r="H325" s="3" t="s">
        <v>32</v>
      </c>
      <c r="I325" s="3" t="s">
        <v>40</v>
      </c>
      <c r="J325" s="3" t="s">
        <v>1144</v>
      </c>
      <c r="K325" s="3" t="s">
        <v>1145</v>
      </c>
      <c r="L325" s="19" t="s">
        <v>1037</v>
      </c>
      <c r="W325">
        <f t="shared" si="4"/>
        <v>2</v>
      </c>
    </row>
    <row r="326" spans="1:23">
      <c r="A326" s="3" t="s">
        <v>709</v>
      </c>
      <c r="B326" t="str">
        <f>IF(_xlfn.XLOOKUP(A326,PARAMETROS!A:A,PARAMETROS!B:B)=0,"",_xlfn.XLOOKUP(A326,PARAMETROS!A:A,PARAMETROS!B:B))</f>
        <v>012009006366</v>
      </c>
      <c r="C326">
        <f>IF(_xlfn.XLOOKUP(A326,PARAMETROS!A:A,PARAMETROS!C:C)=0,"",_xlfn.XLOOKUP(A326,PARAMETROS!A:A,PARAMETROS!C:C))</f>
        <v>12</v>
      </c>
      <c r="D326">
        <f>IF(_xlfn.XLOOKUP(A326,PARAMETROS!A:A,PARAMETROS!D:D)=0,"",_xlfn.XLOOKUP(A326,PARAMETROS!A:A,PARAMETROS!D:D))</f>
        <v>9</v>
      </c>
      <c r="E326" t="str">
        <f>IF(_xlfn.XLOOKUP('PREENCHIMENTO|LETIVAS'!A326,PARAMETROS!A:A,PARAMETROS!I:I)=0,"",_xlfn.XLOOKUP('PREENCHIMENTO|LETIVAS'!A326,PARAMETROS!A:A,PARAMETROS!I:I))</f>
        <v>PROFESSOR REGENTE</v>
      </c>
      <c r="F326" s="3" t="s">
        <v>31</v>
      </c>
      <c r="G326" s="3" t="s">
        <v>54</v>
      </c>
      <c r="H326" s="3" t="s">
        <v>63</v>
      </c>
      <c r="I326" s="3" t="s">
        <v>40</v>
      </c>
      <c r="J326" s="3" t="s">
        <v>1146</v>
      </c>
      <c r="K326" s="3"/>
      <c r="L326" s="19"/>
      <c r="W326">
        <f t="shared" si="4"/>
        <v>2</v>
      </c>
    </row>
    <row r="327" spans="1:23">
      <c r="A327" s="3" t="s">
        <v>856</v>
      </c>
      <c r="B327" t="str">
        <f>IF(_xlfn.XLOOKUP(A327,PARAMETROS!A:A,PARAMETROS!B:B)=0,"",_xlfn.XLOOKUP(A327,PARAMETROS!A:A,PARAMETROS!B:B))</f>
        <v>000000000000</v>
      </c>
      <c r="C327" t="str">
        <f>IF(_xlfn.XLOOKUP(A327,PARAMETROS!A:A,PARAMETROS!C:C)=0,"",_xlfn.XLOOKUP(A327,PARAMETROS!A:A,PARAMETROS!C:C))</f>
        <v/>
      </c>
      <c r="D327" t="str">
        <f>IF(_xlfn.XLOOKUP(A327,PARAMETROS!A:A,PARAMETROS!D:D)=0,"",_xlfn.XLOOKUP(A327,PARAMETROS!A:A,PARAMETROS!D:D))</f>
        <v/>
      </c>
      <c r="E327" t="str">
        <f>IF(_xlfn.XLOOKUP('PREENCHIMENTO|LETIVAS'!A327,PARAMETROS!A:A,PARAMETROS!I:I)=0,"",_xlfn.XLOOKUP('PREENCHIMENTO|LETIVAS'!A327,PARAMETROS!A:A,PARAMETROS!I:I))</f>
        <v>RPA</v>
      </c>
      <c r="F327" s="3" t="s">
        <v>31</v>
      </c>
      <c r="G327" s="3" t="s">
        <v>54</v>
      </c>
      <c r="H327" s="3" t="s">
        <v>63</v>
      </c>
      <c r="I327" s="3" t="s">
        <v>40</v>
      </c>
      <c r="J327" s="3" t="s">
        <v>1147</v>
      </c>
      <c r="K327" s="3" t="s">
        <v>1148</v>
      </c>
      <c r="L327" s="19" t="s">
        <v>1037</v>
      </c>
      <c r="W327">
        <f t="shared" si="4"/>
        <v>2</v>
      </c>
    </row>
    <row r="328" spans="1:23">
      <c r="A328" s="3" t="s">
        <v>856</v>
      </c>
      <c r="B328" t="str">
        <f>IF(_xlfn.XLOOKUP(A328,PARAMETROS!A:A,PARAMETROS!B:B)=0,"",_xlfn.XLOOKUP(A328,PARAMETROS!A:A,PARAMETROS!B:B))</f>
        <v>000000000000</v>
      </c>
      <c r="C328" t="str">
        <f>IF(_xlfn.XLOOKUP(A328,PARAMETROS!A:A,PARAMETROS!C:C)=0,"",_xlfn.XLOOKUP(A328,PARAMETROS!A:A,PARAMETROS!C:C))</f>
        <v/>
      </c>
      <c r="D328" t="str">
        <f>IF(_xlfn.XLOOKUP(A328,PARAMETROS!A:A,PARAMETROS!D:D)=0,"",_xlfn.XLOOKUP(A328,PARAMETROS!A:A,PARAMETROS!D:D))</f>
        <v/>
      </c>
      <c r="E328" t="str">
        <f>IF(_xlfn.XLOOKUP('PREENCHIMENTO|LETIVAS'!A328,PARAMETROS!A:A,PARAMETROS!I:I)=0,"",_xlfn.XLOOKUP('PREENCHIMENTO|LETIVAS'!A328,PARAMETROS!A:A,PARAMETROS!I:I))</f>
        <v>RPA</v>
      </c>
      <c r="F328" s="3" t="s">
        <v>31</v>
      </c>
      <c r="G328" s="3">
        <v>1</v>
      </c>
      <c r="H328" s="3" t="s">
        <v>39</v>
      </c>
      <c r="I328" s="3" t="s">
        <v>33</v>
      </c>
      <c r="J328" s="3" t="s">
        <v>1149</v>
      </c>
      <c r="K328" s="3" t="s">
        <v>1150</v>
      </c>
      <c r="L328" s="19" t="s">
        <v>1097</v>
      </c>
      <c r="W328">
        <f t="shared" si="4"/>
        <v>2</v>
      </c>
    </row>
    <row r="329" spans="1:23">
      <c r="A329" s="3" t="s">
        <v>856</v>
      </c>
      <c r="B329" t="str">
        <f>IF(_xlfn.XLOOKUP(A329,PARAMETROS!A:A,PARAMETROS!B:B)=0,"",_xlfn.XLOOKUP(A329,PARAMETROS!A:A,PARAMETROS!B:B))</f>
        <v>000000000000</v>
      </c>
      <c r="C329" t="str">
        <f>IF(_xlfn.XLOOKUP(A329,PARAMETROS!A:A,PARAMETROS!C:C)=0,"",_xlfn.XLOOKUP(A329,PARAMETROS!A:A,PARAMETROS!C:C))</f>
        <v/>
      </c>
      <c r="D329" t="str">
        <f>IF(_xlfn.XLOOKUP(A329,PARAMETROS!A:A,PARAMETROS!D:D)=0,"",_xlfn.XLOOKUP(A329,PARAMETROS!A:A,PARAMETROS!D:D))</f>
        <v/>
      </c>
      <c r="E329" t="str">
        <f>IF(_xlfn.XLOOKUP('PREENCHIMENTO|LETIVAS'!A329,PARAMETROS!A:A,PARAMETROS!I:I)=0,"",_xlfn.XLOOKUP('PREENCHIMENTO|LETIVAS'!A329,PARAMETROS!A:A,PARAMETROS!I:I))</f>
        <v>RPA</v>
      </c>
      <c r="F329" s="3" t="s">
        <v>31</v>
      </c>
      <c r="G329" s="3" t="s">
        <v>54</v>
      </c>
      <c r="H329" s="3" t="s">
        <v>63</v>
      </c>
      <c r="I329" s="3" t="s">
        <v>40</v>
      </c>
      <c r="J329" s="3" t="s">
        <v>1151</v>
      </c>
      <c r="K329" s="3" t="s">
        <v>1150</v>
      </c>
      <c r="L329" s="19" t="s">
        <v>1152</v>
      </c>
      <c r="W329">
        <f t="shared" si="4"/>
        <v>2</v>
      </c>
    </row>
    <row r="330" spans="1:23">
      <c r="A330" s="3" t="s">
        <v>856</v>
      </c>
      <c r="B330" t="str">
        <f>IF(_xlfn.XLOOKUP(A330,PARAMETROS!A:A,PARAMETROS!B:B)=0,"",_xlfn.XLOOKUP(A330,PARAMETROS!A:A,PARAMETROS!B:B))</f>
        <v>000000000000</v>
      </c>
      <c r="C330" t="str">
        <f>IF(_xlfn.XLOOKUP(A330,PARAMETROS!A:A,PARAMETROS!C:C)=0,"",_xlfn.XLOOKUP(A330,PARAMETROS!A:A,PARAMETROS!C:C))</f>
        <v/>
      </c>
      <c r="D330" t="str">
        <f>IF(_xlfn.XLOOKUP(A330,PARAMETROS!A:A,PARAMETROS!D:D)=0,"",_xlfn.XLOOKUP(A330,PARAMETROS!A:A,PARAMETROS!D:D))</f>
        <v/>
      </c>
      <c r="E330" t="str">
        <f>IF(_xlfn.XLOOKUP('PREENCHIMENTO|LETIVAS'!A330,PARAMETROS!A:A,PARAMETROS!I:I)=0,"",_xlfn.XLOOKUP('PREENCHIMENTO|LETIVAS'!A330,PARAMETROS!A:A,PARAMETROS!I:I))</f>
        <v>RPA</v>
      </c>
      <c r="F330" s="3" t="s">
        <v>31</v>
      </c>
      <c r="G330" s="3">
        <v>1</v>
      </c>
      <c r="H330" s="3" t="s">
        <v>39</v>
      </c>
      <c r="I330" s="3" t="s">
        <v>33</v>
      </c>
      <c r="J330" s="3" t="s">
        <v>1153</v>
      </c>
      <c r="K330" s="3" t="s">
        <v>1154</v>
      </c>
      <c r="L330" s="19" t="s">
        <v>1042</v>
      </c>
      <c r="W330">
        <f t="shared" si="4"/>
        <v>2</v>
      </c>
    </row>
    <row r="331" spans="1:23">
      <c r="A331" s="3" t="s">
        <v>856</v>
      </c>
      <c r="B331" t="str">
        <f>IF(_xlfn.XLOOKUP(A331,PARAMETROS!A:A,PARAMETROS!B:B)=0,"",_xlfn.XLOOKUP(A331,PARAMETROS!A:A,PARAMETROS!B:B))</f>
        <v>000000000000</v>
      </c>
      <c r="C331" t="str">
        <f>IF(_xlfn.XLOOKUP(A331,PARAMETROS!A:A,PARAMETROS!C:C)=0,"",_xlfn.XLOOKUP(A331,PARAMETROS!A:A,PARAMETROS!C:C))</f>
        <v/>
      </c>
      <c r="D331" t="str">
        <f>IF(_xlfn.XLOOKUP(A331,PARAMETROS!A:A,PARAMETROS!D:D)=0,"",_xlfn.XLOOKUP(A331,PARAMETROS!A:A,PARAMETROS!D:D))</f>
        <v/>
      </c>
      <c r="E331" t="str">
        <f>IF(_xlfn.XLOOKUP('PREENCHIMENTO|LETIVAS'!A331,PARAMETROS!A:A,PARAMETROS!I:I)=0,"",_xlfn.XLOOKUP('PREENCHIMENTO|LETIVAS'!A331,PARAMETROS!A:A,PARAMETROS!I:I))</f>
        <v>RPA</v>
      </c>
      <c r="F331" s="3" t="s">
        <v>31</v>
      </c>
      <c r="G331" s="3" t="s">
        <v>54</v>
      </c>
      <c r="H331" s="3" t="s">
        <v>63</v>
      </c>
      <c r="I331" s="3" t="s">
        <v>33</v>
      </c>
      <c r="J331" s="3" t="s">
        <v>915</v>
      </c>
      <c r="K331" s="3" t="s">
        <v>1154</v>
      </c>
      <c r="L331" s="19" t="s">
        <v>1037</v>
      </c>
      <c r="W331">
        <f t="shared" ref="W331:W386" si="5">IF(I331&lt;&gt;"",2,0)</f>
        <v>2</v>
      </c>
    </row>
    <row r="332" spans="1:23">
      <c r="A332" s="3" t="s">
        <v>856</v>
      </c>
      <c r="B332" t="str">
        <f>IF(_xlfn.XLOOKUP(A332,PARAMETROS!A:A,PARAMETROS!B:B)=0,"",_xlfn.XLOOKUP(A332,PARAMETROS!A:A,PARAMETROS!B:B))</f>
        <v>000000000000</v>
      </c>
      <c r="C332" t="str">
        <f>IF(_xlfn.XLOOKUP(A332,PARAMETROS!A:A,PARAMETROS!C:C)=0,"",_xlfn.XLOOKUP(A332,PARAMETROS!A:A,PARAMETROS!C:C))</f>
        <v/>
      </c>
      <c r="D332" t="str">
        <f>IF(_xlfn.XLOOKUP(A332,PARAMETROS!A:A,PARAMETROS!D:D)=0,"",_xlfn.XLOOKUP(A332,PARAMETROS!A:A,PARAMETROS!D:D))</f>
        <v/>
      </c>
      <c r="E332" t="str">
        <f>IF(_xlfn.XLOOKUP('PREENCHIMENTO|LETIVAS'!A332,PARAMETROS!A:A,PARAMETROS!I:I)=0,"",_xlfn.XLOOKUP('PREENCHIMENTO|LETIVAS'!A332,PARAMETROS!A:A,PARAMETROS!I:I))</f>
        <v>RPA</v>
      </c>
      <c r="F332" s="3" t="s">
        <v>31</v>
      </c>
      <c r="G332" s="3" t="s">
        <v>54</v>
      </c>
      <c r="H332" s="3" t="s">
        <v>63</v>
      </c>
      <c r="I332" s="3" t="s">
        <v>33</v>
      </c>
      <c r="J332" s="3" t="s">
        <v>1155</v>
      </c>
      <c r="K332" s="3" t="s">
        <v>1154</v>
      </c>
      <c r="L332" s="19" t="s">
        <v>1037</v>
      </c>
      <c r="W332">
        <f t="shared" si="5"/>
        <v>2</v>
      </c>
    </row>
    <row r="333" spans="1:23">
      <c r="A333" s="3" t="s">
        <v>745</v>
      </c>
      <c r="B333" t="str">
        <f>IF(_xlfn.XLOOKUP(A333,PARAMETROS!A:A,PARAMETROS!B:B)=0,"",_xlfn.XLOOKUP(A333,PARAMETROS!A:A,PARAMETROS!B:B))</f>
        <v>012009003771</v>
      </c>
      <c r="C333" t="str">
        <f>IF(_xlfn.XLOOKUP(A333,PARAMETROS!A:A,PARAMETROS!C:C)=0,"",_xlfn.XLOOKUP(A333,PARAMETROS!A:A,PARAMETROS!C:C))</f>
        <v/>
      </c>
      <c r="D333" t="str">
        <f>IF(_xlfn.XLOOKUP(A333,PARAMETROS!A:A,PARAMETROS!D:D)=0,"",_xlfn.XLOOKUP(A333,PARAMETROS!A:A,PARAMETROS!D:D))</f>
        <v/>
      </c>
      <c r="E333" t="str">
        <f>IF(_xlfn.XLOOKUP('PREENCHIMENTO|LETIVAS'!A333,PARAMETROS!A:A,PARAMETROS!I:I)=0,"",_xlfn.XLOOKUP('PREENCHIMENTO|LETIVAS'!A333,PARAMETROS!A:A,PARAMETROS!I:I))</f>
        <v>PROFESSOR DE ENSINO SUPERIOR PRESENCIAL</v>
      </c>
      <c r="F333" s="3" t="s">
        <v>31</v>
      </c>
      <c r="G333" s="3">
        <v>2</v>
      </c>
      <c r="H333" s="3" t="s">
        <v>39</v>
      </c>
      <c r="I333" s="3" t="s">
        <v>40</v>
      </c>
      <c r="J333" s="3" t="s">
        <v>1156</v>
      </c>
      <c r="K333" s="3"/>
      <c r="L333" s="19"/>
      <c r="W333">
        <f t="shared" si="5"/>
        <v>2</v>
      </c>
    </row>
    <row r="334" spans="1:23">
      <c r="A334" s="3" t="s">
        <v>856</v>
      </c>
      <c r="B334" t="str">
        <f>IF(_xlfn.XLOOKUP(A334,PARAMETROS!A:A,PARAMETROS!B:B)=0,"",_xlfn.XLOOKUP(A334,PARAMETROS!A:A,PARAMETROS!B:B))</f>
        <v>000000000000</v>
      </c>
      <c r="C334" t="str">
        <f>IF(_xlfn.XLOOKUP(A334,PARAMETROS!A:A,PARAMETROS!C:C)=0,"",_xlfn.XLOOKUP(A334,PARAMETROS!A:A,PARAMETROS!C:C))</f>
        <v/>
      </c>
      <c r="D334" t="str">
        <f>IF(_xlfn.XLOOKUP(A334,PARAMETROS!A:A,PARAMETROS!D:D)=0,"",_xlfn.XLOOKUP(A334,PARAMETROS!A:A,PARAMETROS!D:D))</f>
        <v/>
      </c>
      <c r="E334" t="str">
        <f>IF(_xlfn.XLOOKUP('PREENCHIMENTO|LETIVAS'!A334,PARAMETROS!A:A,PARAMETROS!I:I)=0,"",_xlfn.XLOOKUP('PREENCHIMENTO|LETIVAS'!A334,PARAMETROS!A:A,PARAMETROS!I:I))</f>
        <v>RPA</v>
      </c>
      <c r="F334" s="3" t="s">
        <v>31</v>
      </c>
      <c r="G334" s="3">
        <v>1</v>
      </c>
      <c r="H334" s="3" t="s">
        <v>39</v>
      </c>
      <c r="I334" s="3" t="s">
        <v>33</v>
      </c>
      <c r="J334" s="3" t="s">
        <v>1157</v>
      </c>
      <c r="K334" s="3" t="s">
        <v>1158</v>
      </c>
      <c r="L334" s="19"/>
      <c r="W334">
        <f t="shared" si="5"/>
        <v>2</v>
      </c>
    </row>
    <row r="335" spans="1:23">
      <c r="A335" s="3" t="s">
        <v>856</v>
      </c>
      <c r="B335" t="str">
        <f>IF(_xlfn.XLOOKUP(A335,PARAMETROS!A:A,PARAMETROS!B:B)=0,"",_xlfn.XLOOKUP(A335,PARAMETROS!A:A,PARAMETROS!B:B))</f>
        <v>000000000000</v>
      </c>
      <c r="C335" t="str">
        <f>IF(_xlfn.XLOOKUP(A335,PARAMETROS!A:A,PARAMETROS!C:C)=0,"",_xlfn.XLOOKUP(A335,PARAMETROS!A:A,PARAMETROS!C:C))</f>
        <v/>
      </c>
      <c r="D335" t="str">
        <f>IF(_xlfn.XLOOKUP(A335,PARAMETROS!A:A,PARAMETROS!D:D)=0,"",_xlfn.XLOOKUP(A335,PARAMETROS!A:A,PARAMETROS!D:D))</f>
        <v/>
      </c>
      <c r="E335" t="str">
        <f>IF(_xlfn.XLOOKUP('PREENCHIMENTO|LETIVAS'!A335,PARAMETROS!A:A,PARAMETROS!I:I)=0,"",_xlfn.XLOOKUP('PREENCHIMENTO|LETIVAS'!A335,PARAMETROS!A:A,PARAMETROS!I:I))</f>
        <v>RPA</v>
      </c>
      <c r="F335" s="3" t="s">
        <v>31</v>
      </c>
      <c r="G335" s="3">
        <v>1</v>
      </c>
      <c r="H335" s="3" t="s">
        <v>39</v>
      </c>
      <c r="I335" s="3" t="s">
        <v>33</v>
      </c>
      <c r="J335" s="3" t="s">
        <v>1159</v>
      </c>
      <c r="K335" s="3" t="s">
        <v>1160</v>
      </c>
      <c r="L335" s="19" t="s">
        <v>1141</v>
      </c>
      <c r="W335">
        <f t="shared" si="5"/>
        <v>2</v>
      </c>
    </row>
    <row r="336" spans="1:23">
      <c r="A336" s="3" t="s">
        <v>856</v>
      </c>
      <c r="B336" t="str">
        <f>IF(_xlfn.XLOOKUP(A336,PARAMETROS!A:A,PARAMETROS!B:B)=0,"",_xlfn.XLOOKUP(A336,PARAMETROS!A:A,PARAMETROS!B:B))</f>
        <v>000000000000</v>
      </c>
      <c r="C336" t="str">
        <f>IF(_xlfn.XLOOKUP(A336,PARAMETROS!A:A,PARAMETROS!C:C)=0,"",_xlfn.XLOOKUP(A336,PARAMETROS!A:A,PARAMETROS!C:C))</f>
        <v/>
      </c>
      <c r="D336" t="str">
        <f>IF(_xlfn.XLOOKUP(A336,PARAMETROS!A:A,PARAMETROS!D:D)=0,"",_xlfn.XLOOKUP(A336,PARAMETROS!A:A,PARAMETROS!D:D))</f>
        <v/>
      </c>
      <c r="E336" t="str">
        <f>IF(_xlfn.XLOOKUP('PREENCHIMENTO|LETIVAS'!A336,PARAMETROS!A:A,PARAMETROS!I:I)=0,"",_xlfn.XLOOKUP('PREENCHIMENTO|LETIVAS'!A336,PARAMETROS!A:A,PARAMETROS!I:I))</f>
        <v>RPA</v>
      </c>
      <c r="F336" s="3" t="s">
        <v>31</v>
      </c>
      <c r="G336" s="3">
        <v>1</v>
      </c>
      <c r="H336" s="3" t="s">
        <v>39</v>
      </c>
      <c r="I336" s="3" t="s">
        <v>33</v>
      </c>
      <c r="J336" s="3" t="s">
        <v>1161</v>
      </c>
      <c r="K336" s="3" t="s">
        <v>1160</v>
      </c>
      <c r="L336" s="19" t="s">
        <v>1141</v>
      </c>
      <c r="W336">
        <f t="shared" si="5"/>
        <v>2</v>
      </c>
    </row>
    <row r="337" spans="1:23">
      <c r="A337" s="3" t="s">
        <v>856</v>
      </c>
      <c r="B337" t="str">
        <f>IF(_xlfn.XLOOKUP(A337,PARAMETROS!A:A,PARAMETROS!B:B)=0,"",_xlfn.XLOOKUP(A337,PARAMETROS!A:A,PARAMETROS!B:B))</f>
        <v>000000000000</v>
      </c>
      <c r="C337" t="str">
        <f>IF(_xlfn.XLOOKUP(A337,PARAMETROS!A:A,PARAMETROS!C:C)=0,"",_xlfn.XLOOKUP(A337,PARAMETROS!A:A,PARAMETROS!C:C))</f>
        <v/>
      </c>
      <c r="D337" t="str">
        <f>IF(_xlfn.XLOOKUP(A337,PARAMETROS!A:A,PARAMETROS!D:D)=0,"",_xlfn.XLOOKUP(A337,PARAMETROS!A:A,PARAMETROS!D:D))</f>
        <v/>
      </c>
      <c r="E337" t="str">
        <f>IF(_xlfn.XLOOKUP('PREENCHIMENTO|LETIVAS'!A337,PARAMETROS!A:A,PARAMETROS!I:I)=0,"",_xlfn.XLOOKUP('PREENCHIMENTO|LETIVAS'!A337,PARAMETROS!A:A,PARAMETROS!I:I))</f>
        <v>RPA</v>
      </c>
      <c r="F337" s="3" t="s">
        <v>31</v>
      </c>
      <c r="G337" s="3" t="s">
        <v>54</v>
      </c>
      <c r="H337" s="3" t="s">
        <v>63</v>
      </c>
      <c r="I337" s="3" t="s">
        <v>33</v>
      </c>
      <c r="J337" s="3" t="s">
        <v>1139</v>
      </c>
      <c r="K337" s="3" t="s">
        <v>1160</v>
      </c>
      <c r="L337" s="19" t="s">
        <v>1162</v>
      </c>
      <c r="W337">
        <f t="shared" si="5"/>
        <v>2</v>
      </c>
    </row>
    <row r="338" spans="1:23">
      <c r="A338" s="3" t="s">
        <v>856</v>
      </c>
      <c r="B338" t="str">
        <f>IF(_xlfn.XLOOKUP(A338,PARAMETROS!A:A,PARAMETROS!B:B)=0,"",_xlfn.XLOOKUP(A338,PARAMETROS!A:A,PARAMETROS!B:B))</f>
        <v>000000000000</v>
      </c>
      <c r="C338" t="str">
        <f>IF(_xlfn.XLOOKUP(A338,PARAMETROS!A:A,PARAMETROS!C:C)=0,"",_xlfn.XLOOKUP(A338,PARAMETROS!A:A,PARAMETROS!C:C))</f>
        <v/>
      </c>
      <c r="D338" t="str">
        <f>IF(_xlfn.XLOOKUP(A338,PARAMETROS!A:A,PARAMETROS!D:D)=0,"",_xlfn.XLOOKUP(A338,PARAMETROS!A:A,PARAMETROS!D:D))</f>
        <v/>
      </c>
      <c r="E338" t="str">
        <f>IF(_xlfn.XLOOKUP('PREENCHIMENTO|LETIVAS'!A338,PARAMETROS!A:A,PARAMETROS!I:I)=0,"",_xlfn.XLOOKUP('PREENCHIMENTO|LETIVAS'!A338,PARAMETROS!A:A,PARAMETROS!I:I))</f>
        <v>RPA</v>
      </c>
      <c r="F338" s="3" t="s">
        <v>31</v>
      </c>
      <c r="G338" s="3" t="s">
        <v>54</v>
      </c>
      <c r="H338" s="3" t="s">
        <v>63</v>
      </c>
      <c r="I338" s="3" t="s">
        <v>40</v>
      </c>
      <c r="J338" s="3" t="s">
        <v>1163</v>
      </c>
      <c r="K338" s="3" t="s">
        <v>1160</v>
      </c>
      <c r="L338" s="19" t="s">
        <v>1162</v>
      </c>
      <c r="W338">
        <f t="shared" si="5"/>
        <v>2</v>
      </c>
    </row>
    <row r="339" spans="1:23">
      <c r="A339" s="3" t="s">
        <v>856</v>
      </c>
      <c r="B339" t="str">
        <f>IF(_xlfn.XLOOKUP(A339,PARAMETROS!A:A,PARAMETROS!B:B)=0,"",_xlfn.XLOOKUP(A339,PARAMETROS!A:A,PARAMETROS!B:B))</f>
        <v>000000000000</v>
      </c>
      <c r="C339" t="str">
        <f>IF(_xlfn.XLOOKUP(A339,PARAMETROS!A:A,PARAMETROS!C:C)=0,"",_xlfn.XLOOKUP(A339,PARAMETROS!A:A,PARAMETROS!C:C))</f>
        <v/>
      </c>
      <c r="D339" t="str">
        <f>IF(_xlfn.XLOOKUP(A339,PARAMETROS!A:A,PARAMETROS!D:D)=0,"",_xlfn.XLOOKUP(A339,PARAMETROS!A:A,PARAMETROS!D:D))</f>
        <v/>
      </c>
      <c r="E339" t="str">
        <f>IF(_xlfn.XLOOKUP('PREENCHIMENTO|LETIVAS'!A339,PARAMETROS!A:A,PARAMETROS!I:I)=0,"",_xlfn.XLOOKUP('PREENCHIMENTO|LETIVAS'!A339,PARAMETROS!A:A,PARAMETROS!I:I))</f>
        <v>RPA</v>
      </c>
      <c r="F339" s="3" t="s">
        <v>31</v>
      </c>
      <c r="G339" s="3" t="s">
        <v>54</v>
      </c>
      <c r="H339" s="3" t="s">
        <v>32</v>
      </c>
      <c r="I339" s="3" t="s">
        <v>40</v>
      </c>
      <c r="J339" s="18" t="s">
        <v>1164</v>
      </c>
      <c r="K339" s="3" t="s">
        <v>1165</v>
      </c>
      <c r="L339" s="19" t="s">
        <v>1037</v>
      </c>
      <c r="W339">
        <f t="shared" si="5"/>
        <v>2</v>
      </c>
    </row>
    <row r="340" spans="1:23">
      <c r="A340" s="3" t="s">
        <v>856</v>
      </c>
      <c r="B340" t="str">
        <f>IF(_xlfn.XLOOKUP(A340,PARAMETROS!A:A,PARAMETROS!B:B)=0,"",_xlfn.XLOOKUP(A340,PARAMETROS!A:A,PARAMETROS!B:B))</f>
        <v>000000000000</v>
      </c>
      <c r="C340" t="str">
        <f>IF(_xlfn.XLOOKUP(A340,PARAMETROS!A:A,PARAMETROS!C:C)=0,"",_xlfn.XLOOKUP(A340,PARAMETROS!A:A,PARAMETROS!C:C))</f>
        <v/>
      </c>
      <c r="D340" t="str">
        <f>IF(_xlfn.XLOOKUP(A340,PARAMETROS!A:A,PARAMETROS!D:D)=0,"",_xlfn.XLOOKUP(A340,PARAMETROS!A:A,PARAMETROS!D:D))</f>
        <v/>
      </c>
      <c r="E340" t="str">
        <f>IF(_xlfn.XLOOKUP('PREENCHIMENTO|LETIVAS'!A340,PARAMETROS!A:A,PARAMETROS!I:I)=0,"",_xlfn.XLOOKUP('PREENCHIMENTO|LETIVAS'!A340,PARAMETROS!A:A,PARAMETROS!I:I))</f>
        <v>RPA</v>
      </c>
      <c r="F340" s="3" t="s">
        <v>31</v>
      </c>
      <c r="G340" s="3" t="s">
        <v>54</v>
      </c>
      <c r="H340" s="3" t="s">
        <v>32</v>
      </c>
      <c r="I340" s="3" t="s">
        <v>33</v>
      </c>
      <c r="J340" s="3" t="s">
        <v>1166</v>
      </c>
      <c r="K340" s="3" t="s">
        <v>1167</v>
      </c>
      <c r="L340" s="19" t="s">
        <v>1162</v>
      </c>
      <c r="W340">
        <f t="shared" si="5"/>
        <v>2</v>
      </c>
    </row>
    <row r="341" spans="1:23">
      <c r="A341" s="3" t="s">
        <v>724</v>
      </c>
      <c r="B341" t="str">
        <f>IF(_xlfn.XLOOKUP(A341,PARAMETROS!A:A,PARAMETROS!B:B)=0,"",_xlfn.XLOOKUP(A341,PARAMETROS!A:A,PARAMETROS!B:B))</f>
        <v>012009006369</v>
      </c>
      <c r="C341">
        <f>IF(_xlfn.XLOOKUP(A341,PARAMETROS!A:A,PARAMETROS!C:C)=0,"",_xlfn.XLOOKUP(A341,PARAMETROS!A:A,PARAMETROS!C:C))</f>
        <v>12</v>
      </c>
      <c r="D341">
        <f>IF(_xlfn.XLOOKUP(A341,PARAMETROS!A:A,PARAMETROS!D:D)=0,"",_xlfn.XLOOKUP(A341,PARAMETROS!A:A,PARAMETROS!D:D))</f>
        <v>9</v>
      </c>
      <c r="E341" t="str">
        <f>IF(_xlfn.XLOOKUP('PREENCHIMENTO|LETIVAS'!A341,PARAMETROS!A:A,PARAMETROS!I:I)=0,"",_xlfn.XLOOKUP('PREENCHIMENTO|LETIVAS'!A341,PARAMETROS!A:A,PARAMETROS!I:I))</f>
        <v>PROFESSOR REGENTE</v>
      </c>
      <c r="F341" s="3" t="s">
        <v>31</v>
      </c>
      <c r="G341" s="3">
        <v>2</v>
      </c>
      <c r="H341" s="3" t="s">
        <v>39</v>
      </c>
      <c r="I341" s="3" t="s">
        <v>40</v>
      </c>
      <c r="J341" s="3" t="s">
        <v>1147</v>
      </c>
      <c r="K341" s="3"/>
      <c r="L341" s="19"/>
      <c r="W341">
        <f t="shared" si="5"/>
        <v>2</v>
      </c>
    </row>
    <row r="342" spans="1:23">
      <c r="A342" s="3" t="s">
        <v>582</v>
      </c>
      <c r="B342" t="str">
        <f>IF(_xlfn.XLOOKUP(A342,PARAMETROS!A:A,PARAMETROS!B:B)=0,"",_xlfn.XLOOKUP(A342,PARAMETROS!A:A,PARAMETROS!B:B))</f>
        <v>012009006245</v>
      </c>
      <c r="C342">
        <f>IF(_xlfn.XLOOKUP(A342,PARAMETROS!A:A,PARAMETROS!C:C)=0,"",_xlfn.XLOOKUP(A342,PARAMETROS!A:A,PARAMETROS!C:C))</f>
        <v>12</v>
      </c>
      <c r="D342">
        <f>IF(_xlfn.XLOOKUP(A342,PARAMETROS!A:A,PARAMETROS!D:D)=0,"",_xlfn.XLOOKUP(A342,PARAMETROS!A:A,PARAMETROS!D:D))</f>
        <v>9</v>
      </c>
      <c r="E342" t="str">
        <f>IF(_xlfn.XLOOKUP('PREENCHIMENTO|LETIVAS'!A342,PARAMETROS!A:A,PARAMETROS!I:I)=0,"",_xlfn.XLOOKUP('PREENCHIMENTO|LETIVAS'!A342,PARAMETROS!A:A,PARAMETROS!I:I))</f>
        <v>PROFESSOR REGENTE</v>
      </c>
      <c r="F342" s="3" t="s">
        <v>31</v>
      </c>
      <c r="G342" s="3">
        <v>1</v>
      </c>
      <c r="H342" s="3" t="s">
        <v>39</v>
      </c>
      <c r="I342" s="3" t="s">
        <v>33</v>
      </c>
      <c r="J342" s="3" t="s">
        <v>875</v>
      </c>
      <c r="K342" s="3"/>
      <c r="L342" s="19"/>
      <c r="W342">
        <f t="shared" si="5"/>
        <v>2</v>
      </c>
    </row>
    <row r="343" spans="1:23">
      <c r="A343" s="3" t="s">
        <v>523</v>
      </c>
      <c r="B343" t="str">
        <f>IF(_xlfn.XLOOKUP(A343,PARAMETROS!A:A,PARAMETROS!B:B)=0,"",_xlfn.XLOOKUP(A343,PARAMETROS!A:A,PARAMETROS!B:B))</f>
        <v>012009005681</v>
      </c>
      <c r="C343">
        <f>IF(_xlfn.XLOOKUP(A343,PARAMETROS!A:A,PARAMETROS!C:C)=0,"",_xlfn.XLOOKUP(A343,PARAMETROS!A:A,PARAMETROS!C:C))</f>
        <v>20</v>
      </c>
      <c r="D343">
        <f>IF(_xlfn.XLOOKUP(A343,PARAMETROS!A:A,PARAMETROS!D:D)=0,"",_xlfn.XLOOKUP(A343,PARAMETROS!A:A,PARAMETROS!D:D))</f>
        <v>2</v>
      </c>
      <c r="E343" t="str">
        <f>IF(_xlfn.XLOOKUP('PREENCHIMENTO|LETIVAS'!A343,PARAMETROS!A:A,PARAMETROS!I:I)=0,"",_xlfn.XLOOKUP('PREENCHIMENTO|LETIVAS'!A343,PARAMETROS!A:A,PARAMETROS!I:I))</f>
        <v>PROFESSOR DE ENSINO SUPERIOR EAD</v>
      </c>
      <c r="F343" s="3" t="s">
        <v>31</v>
      </c>
      <c r="G343" s="3">
        <v>2</v>
      </c>
      <c r="H343" s="3" t="s">
        <v>63</v>
      </c>
      <c r="I343" s="3" t="s">
        <v>33</v>
      </c>
      <c r="J343" s="3" t="s">
        <v>1168</v>
      </c>
      <c r="K343" s="3"/>
      <c r="L343" s="19"/>
      <c r="W343">
        <f t="shared" si="5"/>
        <v>2</v>
      </c>
    </row>
    <row r="344" spans="1:23">
      <c r="A344" s="3" t="s">
        <v>694</v>
      </c>
      <c r="B344" t="str">
        <f>IF(_xlfn.XLOOKUP(A344,PARAMETROS!A:A,PARAMETROS!B:B)=0,"",_xlfn.XLOOKUP(A344,PARAMETROS!A:A,PARAMETROS!B:B))</f>
        <v>012009006361</v>
      </c>
      <c r="C344">
        <f>IF(_xlfn.XLOOKUP(A344,PARAMETROS!A:A,PARAMETROS!C:C)=0,"",_xlfn.XLOOKUP(A344,PARAMETROS!A:A,PARAMETROS!C:C))</f>
        <v>12</v>
      </c>
      <c r="D344">
        <f>IF(_xlfn.XLOOKUP(A344,PARAMETROS!A:A,PARAMETROS!D:D)=0,"",_xlfn.XLOOKUP(A344,PARAMETROS!A:A,PARAMETROS!D:D))</f>
        <v>9</v>
      </c>
      <c r="E344" t="str">
        <f>IF(_xlfn.XLOOKUP('PREENCHIMENTO|LETIVAS'!A344,PARAMETROS!A:A,PARAMETROS!I:I)=0,"",_xlfn.XLOOKUP('PREENCHIMENTO|LETIVAS'!A344,PARAMETROS!A:A,PARAMETROS!I:I))</f>
        <v>PROFESSOR REGENTE</v>
      </c>
      <c r="F344" s="3" t="s">
        <v>31</v>
      </c>
      <c r="G344" s="3">
        <v>2</v>
      </c>
      <c r="H344" s="3" t="s">
        <v>39</v>
      </c>
      <c r="I344" s="3" t="s">
        <v>33</v>
      </c>
      <c r="J344" s="3" t="s">
        <v>1155</v>
      </c>
      <c r="K344" s="3"/>
      <c r="L344" s="19"/>
      <c r="W344">
        <f t="shared" si="5"/>
        <v>2</v>
      </c>
    </row>
    <row r="345" spans="1:23">
      <c r="A345" s="3" t="s">
        <v>856</v>
      </c>
      <c r="B345" t="str">
        <f>IF(_xlfn.XLOOKUP(A345,PARAMETROS!A:A,PARAMETROS!B:B)=0,"",_xlfn.XLOOKUP(A345,PARAMETROS!A:A,PARAMETROS!B:B))</f>
        <v>000000000000</v>
      </c>
      <c r="C345" t="str">
        <f>IF(_xlfn.XLOOKUP(A345,PARAMETROS!A:A,PARAMETROS!C:C)=0,"",_xlfn.XLOOKUP(A345,PARAMETROS!A:A,PARAMETROS!C:C))</f>
        <v/>
      </c>
      <c r="D345" t="str">
        <f>IF(_xlfn.XLOOKUP(A345,PARAMETROS!A:A,PARAMETROS!D:D)=0,"",_xlfn.XLOOKUP(A345,PARAMETROS!A:A,PARAMETROS!D:D))</f>
        <v/>
      </c>
      <c r="E345" t="str">
        <f>IF(_xlfn.XLOOKUP('PREENCHIMENTO|LETIVAS'!A345,PARAMETROS!A:A,PARAMETROS!I:I)=0,"",_xlfn.XLOOKUP('PREENCHIMENTO|LETIVAS'!A345,PARAMETROS!A:A,PARAMETROS!I:I))</f>
        <v>RPA</v>
      </c>
      <c r="F345" s="3" t="s">
        <v>31</v>
      </c>
      <c r="G345" s="3">
        <v>2</v>
      </c>
      <c r="H345" s="3" t="s">
        <v>39</v>
      </c>
      <c r="I345" s="3" t="s">
        <v>40</v>
      </c>
      <c r="J345" s="3" t="s">
        <v>1169</v>
      </c>
      <c r="K345" s="3" t="s">
        <v>1170</v>
      </c>
      <c r="L345" s="19" t="s">
        <v>1171</v>
      </c>
      <c r="W345">
        <f t="shared" si="5"/>
        <v>2</v>
      </c>
    </row>
    <row r="346" spans="1:23">
      <c r="A346" s="3" t="s">
        <v>856</v>
      </c>
      <c r="B346" t="str">
        <f>IF(_xlfn.XLOOKUP(A346,PARAMETROS!A:A,PARAMETROS!B:B)=0,"",_xlfn.XLOOKUP(A346,PARAMETROS!A:A,PARAMETROS!B:B))</f>
        <v>000000000000</v>
      </c>
      <c r="C346" t="str">
        <f>IF(_xlfn.XLOOKUP(A346,PARAMETROS!A:A,PARAMETROS!C:C)=0,"",_xlfn.XLOOKUP(A346,PARAMETROS!A:A,PARAMETROS!C:C))</f>
        <v/>
      </c>
      <c r="D346" t="str">
        <f>IF(_xlfn.XLOOKUP(A346,PARAMETROS!A:A,PARAMETROS!D:D)=0,"",_xlfn.XLOOKUP(A346,PARAMETROS!A:A,PARAMETROS!D:D))</f>
        <v/>
      </c>
      <c r="E346" t="str">
        <f>IF(_xlfn.XLOOKUP('PREENCHIMENTO|LETIVAS'!A346,PARAMETROS!A:A,PARAMETROS!I:I)=0,"",_xlfn.XLOOKUP('PREENCHIMENTO|LETIVAS'!A346,PARAMETROS!A:A,PARAMETROS!I:I))</f>
        <v>RPA</v>
      </c>
      <c r="F346" s="3" t="s">
        <v>31</v>
      </c>
      <c r="G346" s="3">
        <v>2</v>
      </c>
      <c r="H346" s="3" t="s">
        <v>55</v>
      </c>
      <c r="I346" s="3" t="s">
        <v>33</v>
      </c>
      <c r="J346" s="3" t="s">
        <v>1172</v>
      </c>
      <c r="K346" s="3" t="s">
        <v>1173</v>
      </c>
      <c r="L346" s="19" t="s">
        <v>1042</v>
      </c>
      <c r="W346">
        <f t="shared" si="5"/>
        <v>2</v>
      </c>
    </row>
    <row r="347" spans="1:23">
      <c r="A347" s="3" t="s">
        <v>856</v>
      </c>
      <c r="B347" t="str">
        <f>IF(_xlfn.XLOOKUP(A347,PARAMETROS!A:A,PARAMETROS!B:B)=0,"",_xlfn.XLOOKUP(A347,PARAMETROS!A:A,PARAMETROS!B:B))</f>
        <v>000000000000</v>
      </c>
      <c r="C347" t="str">
        <f>IF(_xlfn.XLOOKUP(A347,PARAMETROS!A:A,PARAMETROS!C:C)=0,"",_xlfn.XLOOKUP(A347,PARAMETROS!A:A,PARAMETROS!C:C))</f>
        <v/>
      </c>
      <c r="D347" t="str">
        <f>IF(_xlfn.XLOOKUP(A347,PARAMETROS!A:A,PARAMETROS!D:D)=0,"",_xlfn.XLOOKUP(A347,PARAMETROS!A:A,PARAMETROS!D:D))</f>
        <v/>
      </c>
      <c r="E347" t="str">
        <f>IF(_xlfn.XLOOKUP('PREENCHIMENTO|LETIVAS'!A347,PARAMETROS!A:A,PARAMETROS!I:I)=0,"",_xlfn.XLOOKUP('PREENCHIMENTO|LETIVAS'!A347,PARAMETROS!A:A,PARAMETROS!I:I))</f>
        <v>RPA</v>
      </c>
      <c r="F347" s="3" t="s">
        <v>31</v>
      </c>
      <c r="G347" s="3" t="s">
        <v>54</v>
      </c>
      <c r="H347" s="3" t="s">
        <v>32</v>
      </c>
      <c r="I347" s="3" t="s">
        <v>33</v>
      </c>
      <c r="J347" s="3" t="s">
        <v>1174</v>
      </c>
      <c r="K347" s="3" t="s">
        <v>1175</v>
      </c>
      <c r="L347" s="19" t="s">
        <v>1037</v>
      </c>
      <c r="W347">
        <f t="shared" si="5"/>
        <v>2</v>
      </c>
    </row>
    <row r="348" spans="1:23">
      <c r="A348" s="3" t="s">
        <v>856</v>
      </c>
      <c r="B348" t="str">
        <f>IF(_xlfn.XLOOKUP(A348,PARAMETROS!A:A,PARAMETROS!B:B)=0,"",_xlfn.XLOOKUP(A348,PARAMETROS!A:A,PARAMETROS!B:B))</f>
        <v>000000000000</v>
      </c>
      <c r="C348" t="str">
        <f>IF(_xlfn.XLOOKUP(A348,PARAMETROS!A:A,PARAMETROS!C:C)=0,"",_xlfn.XLOOKUP(A348,PARAMETROS!A:A,PARAMETROS!C:C))</f>
        <v/>
      </c>
      <c r="D348" t="str">
        <f>IF(_xlfn.XLOOKUP(A348,PARAMETROS!A:A,PARAMETROS!D:D)=0,"",_xlfn.XLOOKUP(A348,PARAMETROS!A:A,PARAMETROS!D:D))</f>
        <v/>
      </c>
      <c r="E348" t="str">
        <f>IF(_xlfn.XLOOKUP('PREENCHIMENTO|LETIVAS'!A348,PARAMETROS!A:A,PARAMETROS!I:I)=0,"",_xlfn.XLOOKUP('PREENCHIMENTO|LETIVAS'!A348,PARAMETROS!A:A,PARAMETROS!I:I))</f>
        <v>RPA</v>
      </c>
      <c r="F348" s="3" t="s">
        <v>31</v>
      </c>
      <c r="G348" s="3" t="s">
        <v>54</v>
      </c>
      <c r="H348" s="3" t="s">
        <v>32</v>
      </c>
      <c r="I348" s="3" t="s">
        <v>40</v>
      </c>
      <c r="J348" s="3" t="s">
        <v>1176</v>
      </c>
      <c r="K348" s="3" t="s">
        <v>1177</v>
      </c>
      <c r="L348" s="19" t="s">
        <v>1037</v>
      </c>
      <c r="W348">
        <f t="shared" si="5"/>
        <v>2</v>
      </c>
    </row>
    <row r="349" spans="1:23">
      <c r="A349" s="3" t="s">
        <v>856</v>
      </c>
      <c r="B349" t="str">
        <f>IF(_xlfn.XLOOKUP(A349,PARAMETROS!A:A,PARAMETROS!B:B)=0,"",_xlfn.XLOOKUP(A349,PARAMETROS!A:A,PARAMETROS!B:B))</f>
        <v>000000000000</v>
      </c>
      <c r="C349" t="str">
        <f>IF(_xlfn.XLOOKUP(A349,PARAMETROS!A:A,PARAMETROS!C:C)=0,"",_xlfn.XLOOKUP(A349,PARAMETROS!A:A,PARAMETROS!C:C))</f>
        <v/>
      </c>
      <c r="D349" t="str">
        <f>IF(_xlfn.XLOOKUP(A349,PARAMETROS!A:A,PARAMETROS!D:D)=0,"",_xlfn.XLOOKUP(A349,PARAMETROS!A:A,PARAMETROS!D:D))</f>
        <v/>
      </c>
      <c r="E349" t="str">
        <f>IF(_xlfn.XLOOKUP('PREENCHIMENTO|LETIVAS'!A349,PARAMETROS!A:A,PARAMETROS!I:I)=0,"",_xlfn.XLOOKUP('PREENCHIMENTO|LETIVAS'!A349,PARAMETROS!A:A,PARAMETROS!I:I))</f>
        <v>RPA</v>
      </c>
      <c r="F349" s="3" t="s">
        <v>31</v>
      </c>
      <c r="G349" s="3">
        <v>2</v>
      </c>
      <c r="H349" s="3" t="s">
        <v>39</v>
      </c>
      <c r="I349" s="3" t="s">
        <v>33</v>
      </c>
      <c r="J349" s="3" t="s">
        <v>1178</v>
      </c>
      <c r="K349" s="3" t="s">
        <v>1179</v>
      </c>
      <c r="L349" s="19" t="s">
        <v>1097</v>
      </c>
      <c r="W349">
        <f t="shared" si="5"/>
        <v>2</v>
      </c>
    </row>
    <row r="350" spans="1:23">
      <c r="A350" s="3" t="s">
        <v>856</v>
      </c>
      <c r="B350" t="str">
        <f>IF(_xlfn.XLOOKUP(A350,PARAMETROS!A:A,PARAMETROS!B:B)=0,"",_xlfn.XLOOKUP(A350,PARAMETROS!A:A,PARAMETROS!B:B))</f>
        <v>000000000000</v>
      </c>
      <c r="C350" t="str">
        <f>IF(_xlfn.XLOOKUP(A350,PARAMETROS!A:A,PARAMETROS!C:C)=0,"",_xlfn.XLOOKUP(A350,PARAMETROS!A:A,PARAMETROS!C:C))</f>
        <v/>
      </c>
      <c r="D350" t="str">
        <f>IF(_xlfn.XLOOKUP(A350,PARAMETROS!A:A,PARAMETROS!D:D)=0,"",_xlfn.XLOOKUP(A350,PARAMETROS!A:A,PARAMETROS!D:D))</f>
        <v/>
      </c>
      <c r="E350" t="str">
        <f>IF(_xlfn.XLOOKUP('PREENCHIMENTO|LETIVAS'!A350,PARAMETROS!A:A,PARAMETROS!I:I)=0,"",_xlfn.XLOOKUP('PREENCHIMENTO|LETIVAS'!A350,PARAMETROS!A:A,PARAMETROS!I:I))</f>
        <v>RPA</v>
      </c>
      <c r="F350" s="3" t="s">
        <v>31</v>
      </c>
      <c r="G350" s="3">
        <v>1</v>
      </c>
      <c r="H350" s="3" t="s">
        <v>39</v>
      </c>
      <c r="I350" s="3" t="s">
        <v>33</v>
      </c>
      <c r="J350" s="3" t="s">
        <v>1180</v>
      </c>
      <c r="K350" s="3" t="s">
        <v>1181</v>
      </c>
      <c r="L350" s="19" t="s">
        <v>1097</v>
      </c>
      <c r="W350">
        <f t="shared" si="5"/>
        <v>2</v>
      </c>
    </row>
    <row r="351" spans="1:23">
      <c r="A351" s="3" t="s">
        <v>856</v>
      </c>
      <c r="B351" t="str">
        <f>IF(_xlfn.XLOOKUP(A351,PARAMETROS!A:A,PARAMETROS!B:B)=0,"",_xlfn.XLOOKUP(A351,PARAMETROS!A:A,PARAMETROS!B:B))</f>
        <v>000000000000</v>
      </c>
      <c r="C351" t="str">
        <f>IF(_xlfn.XLOOKUP(A351,PARAMETROS!A:A,PARAMETROS!C:C)=0,"",_xlfn.XLOOKUP(A351,PARAMETROS!A:A,PARAMETROS!C:C))</f>
        <v/>
      </c>
      <c r="D351" t="str">
        <f>IF(_xlfn.XLOOKUP(A351,PARAMETROS!A:A,PARAMETROS!D:D)=0,"",_xlfn.XLOOKUP(A351,PARAMETROS!A:A,PARAMETROS!D:D))</f>
        <v/>
      </c>
      <c r="E351" t="str">
        <f>IF(_xlfn.XLOOKUP('PREENCHIMENTO|LETIVAS'!A351,PARAMETROS!A:A,PARAMETROS!I:I)=0,"",_xlfn.XLOOKUP('PREENCHIMENTO|LETIVAS'!A351,PARAMETROS!A:A,PARAMETROS!I:I))</f>
        <v>RPA</v>
      </c>
      <c r="F351" s="3" t="s">
        <v>31</v>
      </c>
      <c r="G351" s="3" t="s">
        <v>54</v>
      </c>
      <c r="H351" s="3" t="s">
        <v>55</v>
      </c>
      <c r="I351" s="3"/>
      <c r="J351" s="3" t="s">
        <v>1182</v>
      </c>
      <c r="K351" s="3" t="s">
        <v>1183</v>
      </c>
      <c r="L351" s="19" t="s">
        <v>1184</v>
      </c>
      <c r="W351">
        <f t="shared" si="5"/>
        <v>0</v>
      </c>
    </row>
    <row r="352" spans="1:23">
      <c r="A352" s="3" t="s">
        <v>856</v>
      </c>
      <c r="B352" t="str">
        <f>IF(_xlfn.XLOOKUP(A352,PARAMETROS!A:A,PARAMETROS!B:B)=0,"",_xlfn.XLOOKUP(A352,PARAMETROS!A:A,PARAMETROS!B:B))</f>
        <v>000000000000</v>
      </c>
      <c r="C352" t="str">
        <f>IF(_xlfn.XLOOKUP(A352,PARAMETROS!A:A,PARAMETROS!C:C)=0,"",_xlfn.XLOOKUP(A352,PARAMETROS!A:A,PARAMETROS!C:C))</f>
        <v/>
      </c>
      <c r="D352" t="str">
        <f>IF(_xlfn.XLOOKUP(A352,PARAMETROS!A:A,PARAMETROS!D:D)=0,"",_xlfn.XLOOKUP(A352,PARAMETROS!A:A,PARAMETROS!D:D))</f>
        <v/>
      </c>
      <c r="E352" t="str">
        <f>IF(_xlfn.XLOOKUP('PREENCHIMENTO|LETIVAS'!A352,PARAMETROS!A:A,PARAMETROS!I:I)=0,"",_xlfn.XLOOKUP('PREENCHIMENTO|LETIVAS'!A352,PARAMETROS!A:A,PARAMETROS!I:I))</f>
        <v>RPA</v>
      </c>
      <c r="F352" s="3" t="s">
        <v>31</v>
      </c>
      <c r="G352" s="3">
        <v>2</v>
      </c>
      <c r="H352" s="3" t="s">
        <v>39</v>
      </c>
      <c r="I352" s="3" t="s">
        <v>33</v>
      </c>
      <c r="J352" s="3" t="s">
        <v>1185</v>
      </c>
      <c r="K352" s="3" t="s">
        <v>1186</v>
      </c>
      <c r="L352" s="19" t="s">
        <v>1187</v>
      </c>
      <c r="W352">
        <f t="shared" si="5"/>
        <v>2</v>
      </c>
    </row>
    <row r="353" spans="1:23">
      <c r="A353" s="3" t="s">
        <v>721</v>
      </c>
      <c r="B353" t="str">
        <f>IF(_xlfn.XLOOKUP(A353,PARAMETROS!A:A,PARAMETROS!B:B)=0,"",_xlfn.XLOOKUP(A353,PARAMETROS!A:A,PARAMETROS!B:B))</f>
        <v>012009006374</v>
      </c>
      <c r="C353">
        <f>IF(_xlfn.XLOOKUP(A353,PARAMETROS!A:A,PARAMETROS!C:C)=0,"",_xlfn.XLOOKUP(A353,PARAMETROS!A:A,PARAMETROS!C:C))</f>
        <v>12</v>
      </c>
      <c r="D353">
        <f>IF(_xlfn.XLOOKUP(A353,PARAMETROS!A:A,PARAMETROS!D:D)=0,"",_xlfn.XLOOKUP(A353,PARAMETROS!A:A,PARAMETROS!D:D))</f>
        <v>9</v>
      </c>
      <c r="E353" t="str">
        <f>IF(_xlfn.XLOOKUP('PREENCHIMENTO|LETIVAS'!A353,PARAMETROS!A:A,PARAMETROS!I:I)=0,"",_xlfn.XLOOKUP('PREENCHIMENTO|LETIVAS'!A353,PARAMETROS!A:A,PARAMETROS!I:I))</f>
        <v>PROFESSOR REGENTE</v>
      </c>
      <c r="F353" s="3" t="s">
        <v>31</v>
      </c>
      <c r="G353" s="3">
        <v>2</v>
      </c>
      <c r="H353" s="3" t="s">
        <v>39</v>
      </c>
      <c r="I353" s="3" t="s">
        <v>40</v>
      </c>
      <c r="J353" s="3" t="s">
        <v>1188</v>
      </c>
      <c r="K353" s="3"/>
      <c r="L353" s="19"/>
      <c r="W353">
        <f t="shared" si="5"/>
        <v>2</v>
      </c>
    </row>
    <row r="354" spans="1:23">
      <c r="A354" s="3" t="s">
        <v>856</v>
      </c>
      <c r="B354" t="str">
        <f>IF(_xlfn.XLOOKUP(A354,PARAMETROS!A:A,PARAMETROS!B:B)=0,"",_xlfn.XLOOKUP(A354,PARAMETROS!A:A,PARAMETROS!B:B))</f>
        <v>000000000000</v>
      </c>
      <c r="C354" t="str">
        <f>IF(_xlfn.XLOOKUP(A354,PARAMETROS!A:A,PARAMETROS!C:C)=0,"",_xlfn.XLOOKUP(A354,PARAMETROS!A:A,PARAMETROS!C:C))</f>
        <v/>
      </c>
      <c r="D354" t="str">
        <f>IF(_xlfn.XLOOKUP(A354,PARAMETROS!A:A,PARAMETROS!D:D)=0,"",_xlfn.XLOOKUP(A354,PARAMETROS!A:A,PARAMETROS!D:D))</f>
        <v/>
      </c>
      <c r="E354" t="str">
        <f>IF(_xlfn.XLOOKUP('PREENCHIMENTO|LETIVAS'!A354,PARAMETROS!A:A,PARAMETROS!I:I)=0,"",_xlfn.XLOOKUP('PREENCHIMENTO|LETIVAS'!A354,PARAMETROS!A:A,PARAMETROS!I:I))</f>
        <v>RPA</v>
      </c>
      <c r="F354" s="3" t="s">
        <v>31</v>
      </c>
      <c r="G354" s="3">
        <v>2</v>
      </c>
      <c r="H354" s="3" t="s">
        <v>39</v>
      </c>
      <c r="I354" s="3" t="s">
        <v>40</v>
      </c>
      <c r="J354" s="3" t="s">
        <v>1189</v>
      </c>
      <c r="K354" s="3" t="s">
        <v>1150</v>
      </c>
      <c r="L354" s="19" t="s">
        <v>1097</v>
      </c>
      <c r="W354">
        <f t="shared" si="5"/>
        <v>2</v>
      </c>
    </row>
    <row r="355" spans="1:23">
      <c r="A355" s="3" t="s">
        <v>856</v>
      </c>
      <c r="B355" t="str">
        <f>IF(_xlfn.XLOOKUP(A355,PARAMETROS!A:A,PARAMETROS!B:B)=0,"",_xlfn.XLOOKUP(A355,PARAMETROS!A:A,PARAMETROS!B:B))</f>
        <v>000000000000</v>
      </c>
      <c r="C355" t="str">
        <f>IF(_xlfn.XLOOKUP(A355,PARAMETROS!A:A,PARAMETROS!C:C)=0,"",_xlfn.XLOOKUP(A355,PARAMETROS!A:A,PARAMETROS!C:C))</f>
        <v/>
      </c>
      <c r="D355" t="str">
        <f>IF(_xlfn.XLOOKUP(A355,PARAMETROS!A:A,PARAMETROS!D:D)=0,"",_xlfn.XLOOKUP(A355,PARAMETROS!A:A,PARAMETROS!D:D))</f>
        <v/>
      </c>
      <c r="E355" t="str">
        <f>IF(_xlfn.XLOOKUP('PREENCHIMENTO|LETIVAS'!A355,PARAMETROS!A:A,PARAMETROS!I:I)=0,"",_xlfn.XLOOKUP('PREENCHIMENTO|LETIVAS'!A355,PARAMETROS!A:A,PARAMETROS!I:I))</f>
        <v>RPA</v>
      </c>
      <c r="F355" s="3" t="s">
        <v>31</v>
      </c>
      <c r="G355" s="3" t="s">
        <v>54</v>
      </c>
      <c r="H355" s="3" t="s">
        <v>32</v>
      </c>
      <c r="I355" s="3" t="s">
        <v>33</v>
      </c>
      <c r="J355" s="3" t="s">
        <v>1190</v>
      </c>
      <c r="K355" s="3" t="s">
        <v>1191</v>
      </c>
      <c r="L355" s="19" t="s">
        <v>1152</v>
      </c>
      <c r="W355">
        <f t="shared" si="5"/>
        <v>2</v>
      </c>
    </row>
    <row r="356" spans="1:23">
      <c r="A356" s="3" t="s">
        <v>650</v>
      </c>
      <c r="B356" t="str">
        <f>IF(_xlfn.XLOOKUP(A356,PARAMETROS!A:A,PARAMETROS!B:B)=0,"",_xlfn.XLOOKUP(A356,PARAMETROS!A:A,PARAMETROS!B:B))</f>
        <v>012009004339</v>
      </c>
      <c r="C356">
        <f>IF(_xlfn.XLOOKUP(A356,PARAMETROS!A:A,PARAMETROS!C:C)=0,"",_xlfn.XLOOKUP(A356,PARAMETROS!A:A,PARAMETROS!C:C))</f>
        <v>40</v>
      </c>
      <c r="D356">
        <f>IF(_xlfn.XLOOKUP(A356,PARAMETROS!A:A,PARAMETROS!D:D)=0,"",_xlfn.XLOOKUP(A356,PARAMETROS!A:A,PARAMETROS!D:D))</f>
        <v>20</v>
      </c>
      <c r="E356" t="str">
        <f>IF(_xlfn.XLOOKUP('PREENCHIMENTO|LETIVAS'!A356,PARAMETROS!A:A,PARAMETROS!I:I)=0,"",_xlfn.XLOOKUP('PREENCHIMENTO|LETIVAS'!A356,PARAMETROS!A:A,PARAMETROS!I:I))</f>
        <v>PROFESSOR REGENTE</v>
      </c>
      <c r="F356" s="3" t="s">
        <v>31</v>
      </c>
      <c r="G356" s="3" t="s">
        <v>54</v>
      </c>
      <c r="H356" s="3" t="s">
        <v>55</v>
      </c>
      <c r="I356" s="3" t="s">
        <v>33</v>
      </c>
      <c r="J356" s="3" t="s">
        <v>1192</v>
      </c>
      <c r="K356" s="3"/>
      <c r="L356" s="19"/>
      <c r="W356">
        <f t="shared" si="5"/>
        <v>2</v>
      </c>
    </row>
    <row r="357" spans="1:23">
      <c r="A357" s="3" t="s">
        <v>650</v>
      </c>
      <c r="B357" t="str">
        <f>IF(_xlfn.XLOOKUP(A357,PARAMETROS!A:A,PARAMETROS!B:B)=0,"",_xlfn.XLOOKUP(A357,PARAMETROS!A:A,PARAMETROS!B:B))</f>
        <v>012009004339</v>
      </c>
      <c r="C357">
        <f>IF(_xlfn.XLOOKUP(A357,PARAMETROS!A:A,PARAMETROS!C:C)=0,"",_xlfn.XLOOKUP(A357,PARAMETROS!A:A,PARAMETROS!C:C))</f>
        <v>40</v>
      </c>
      <c r="D357">
        <f>IF(_xlfn.XLOOKUP(A357,PARAMETROS!A:A,PARAMETROS!D:D)=0,"",_xlfn.XLOOKUP(A357,PARAMETROS!A:A,PARAMETROS!D:D))</f>
        <v>20</v>
      </c>
      <c r="E357" t="str">
        <f>IF(_xlfn.XLOOKUP('PREENCHIMENTO|LETIVAS'!A357,PARAMETROS!A:A,PARAMETROS!I:I)=0,"",_xlfn.XLOOKUP('PREENCHIMENTO|LETIVAS'!A357,PARAMETROS!A:A,PARAMETROS!I:I))</f>
        <v>PROFESSOR REGENTE</v>
      </c>
      <c r="F357" s="3" t="s">
        <v>31</v>
      </c>
      <c r="G357" s="3" t="s">
        <v>54</v>
      </c>
      <c r="H357" s="3" t="s">
        <v>55</v>
      </c>
      <c r="I357" s="3" t="s">
        <v>40</v>
      </c>
      <c r="J357" s="3" t="s">
        <v>1193</v>
      </c>
      <c r="K357" s="3"/>
      <c r="L357" s="19"/>
      <c r="W357">
        <f t="shared" si="5"/>
        <v>2</v>
      </c>
    </row>
    <row r="358" spans="1:23">
      <c r="A358" s="3" t="s">
        <v>371</v>
      </c>
      <c r="B358" t="str">
        <f>IF(_xlfn.XLOOKUP(A358,PARAMETROS!A:A,PARAMETROS!B:B)=0,"",_xlfn.XLOOKUP(A358,PARAMETROS!A:A,PARAMETROS!B:B))</f>
        <v>012009003875</v>
      </c>
      <c r="C358">
        <f>IF(_xlfn.XLOOKUP(A358,PARAMETROS!A:A,PARAMETROS!C:C)=0,"",_xlfn.XLOOKUP(A358,PARAMETROS!A:A,PARAMETROS!C:C))</f>
        <v>20</v>
      </c>
      <c r="D358">
        <f>IF(_xlfn.XLOOKUP(A358,PARAMETROS!A:A,PARAMETROS!D:D)=0,"",_xlfn.XLOOKUP(A358,PARAMETROS!A:A,PARAMETROS!D:D))</f>
        <v>2</v>
      </c>
      <c r="E358" t="str">
        <f>IF(_xlfn.XLOOKUP('PREENCHIMENTO|LETIVAS'!A358,PARAMETROS!A:A,PARAMETROS!I:I)=0,"",_xlfn.XLOOKUP('PREENCHIMENTO|LETIVAS'!A358,PARAMETROS!A:A,PARAMETROS!I:I))</f>
        <v>PROFESSOR DE ENSINO SUPERIOR EAD</v>
      </c>
      <c r="F358" s="3" t="s">
        <v>31</v>
      </c>
      <c r="G358" s="3">
        <v>2</v>
      </c>
      <c r="H358" s="3" t="s">
        <v>63</v>
      </c>
      <c r="I358" s="3" t="s">
        <v>40</v>
      </c>
      <c r="J358" s="3" t="s">
        <v>1194</v>
      </c>
      <c r="K358" s="3"/>
      <c r="L358" s="19"/>
      <c r="W358">
        <f t="shared" si="5"/>
        <v>2</v>
      </c>
    </row>
    <row r="359" spans="1:23">
      <c r="A359" s="3" t="s">
        <v>371</v>
      </c>
      <c r="B359" t="str">
        <f>IF(_xlfn.XLOOKUP(A359,PARAMETROS!A:A,PARAMETROS!B:B)=0,"",_xlfn.XLOOKUP(A359,PARAMETROS!A:A,PARAMETROS!B:B))</f>
        <v>012009003875</v>
      </c>
      <c r="C359">
        <f>IF(_xlfn.XLOOKUP(A359,PARAMETROS!A:A,PARAMETROS!C:C)=0,"",_xlfn.XLOOKUP(A359,PARAMETROS!A:A,PARAMETROS!C:C))</f>
        <v>20</v>
      </c>
      <c r="D359">
        <f>IF(_xlfn.XLOOKUP(A359,PARAMETROS!A:A,PARAMETROS!D:D)=0,"",_xlfn.XLOOKUP(A359,PARAMETROS!A:A,PARAMETROS!D:D))</f>
        <v>2</v>
      </c>
      <c r="E359" t="str">
        <f>IF(_xlfn.XLOOKUP('PREENCHIMENTO|LETIVAS'!A359,PARAMETROS!A:A,PARAMETROS!I:I)=0,"",_xlfn.XLOOKUP('PREENCHIMENTO|LETIVAS'!A359,PARAMETROS!A:A,PARAMETROS!I:I))</f>
        <v>PROFESSOR DE ENSINO SUPERIOR EAD</v>
      </c>
      <c r="F359" s="3" t="s">
        <v>31</v>
      </c>
      <c r="G359" s="3">
        <v>2</v>
      </c>
      <c r="H359" s="3" t="s">
        <v>63</v>
      </c>
      <c r="I359" s="3" t="s">
        <v>40</v>
      </c>
      <c r="J359" s="3" t="s">
        <v>1195</v>
      </c>
      <c r="K359" s="3"/>
      <c r="L359" s="19"/>
      <c r="W359">
        <f t="shared" si="5"/>
        <v>2</v>
      </c>
    </row>
    <row r="360" spans="1:23">
      <c r="A360" s="3" t="s">
        <v>511</v>
      </c>
      <c r="B360" t="str">
        <f>IF(_xlfn.XLOOKUP(A360,PARAMETROS!A:A,PARAMETROS!B:B)=0,"",_xlfn.XLOOKUP(A360,PARAMETROS!A:A,PARAMETROS!B:B))</f>
        <v>012009004035</v>
      </c>
      <c r="C360">
        <f>IF(_xlfn.XLOOKUP(A360,PARAMETROS!A:A,PARAMETROS!C:C)=0,"",_xlfn.XLOOKUP(A360,PARAMETROS!A:A,PARAMETROS!C:C))</f>
        <v>20</v>
      </c>
      <c r="D360">
        <f>IF(_xlfn.XLOOKUP(A360,PARAMETROS!A:A,PARAMETROS!D:D)=0,"",_xlfn.XLOOKUP(A360,PARAMETROS!A:A,PARAMETROS!D:D))</f>
        <v>2</v>
      </c>
      <c r="E360" t="str">
        <f>IF(_xlfn.XLOOKUP('PREENCHIMENTO|LETIVAS'!A360,PARAMETROS!A:A,PARAMETROS!I:I)=0,"",_xlfn.XLOOKUP('PREENCHIMENTO|LETIVAS'!A360,PARAMETROS!A:A,PARAMETROS!I:I))</f>
        <v>PROFESSOR DE ENSINO SUPERIOR EAD</v>
      </c>
      <c r="F360" s="3" t="s">
        <v>31</v>
      </c>
      <c r="G360" s="3">
        <v>2</v>
      </c>
      <c r="H360" s="3" t="s">
        <v>63</v>
      </c>
      <c r="I360" s="3" t="s">
        <v>33</v>
      </c>
      <c r="J360" s="3" t="s">
        <v>1196</v>
      </c>
      <c r="K360" s="3"/>
      <c r="L360" s="19"/>
      <c r="W360">
        <f t="shared" si="5"/>
        <v>2</v>
      </c>
    </row>
    <row r="361" spans="1:23">
      <c r="A361" s="3" t="s">
        <v>856</v>
      </c>
      <c r="B361" t="str">
        <f>IF(_xlfn.XLOOKUP(A361,PARAMETROS!A:A,PARAMETROS!B:B)=0,"",_xlfn.XLOOKUP(A361,PARAMETROS!A:A,PARAMETROS!B:B))</f>
        <v>000000000000</v>
      </c>
      <c r="C361" t="str">
        <f>IF(_xlfn.XLOOKUP(A361,PARAMETROS!A:A,PARAMETROS!C:C)=0,"",_xlfn.XLOOKUP(A361,PARAMETROS!A:A,PARAMETROS!C:C))</f>
        <v/>
      </c>
      <c r="D361" t="str">
        <f>IF(_xlfn.XLOOKUP(A361,PARAMETROS!A:A,PARAMETROS!D:D)=0,"",_xlfn.XLOOKUP(A361,PARAMETROS!A:A,PARAMETROS!D:D))</f>
        <v/>
      </c>
      <c r="E361" t="str">
        <f>IF(_xlfn.XLOOKUP('PREENCHIMENTO|LETIVAS'!A361,PARAMETROS!A:A,PARAMETROS!I:I)=0,"",_xlfn.XLOOKUP('PREENCHIMENTO|LETIVAS'!A361,PARAMETROS!A:A,PARAMETROS!I:I))</f>
        <v>RPA</v>
      </c>
      <c r="F361" s="3" t="s">
        <v>31</v>
      </c>
      <c r="G361" s="3">
        <v>1</v>
      </c>
      <c r="H361" s="3" t="s">
        <v>63</v>
      </c>
      <c r="I361" s="3" t="s">
        <v>33</v>
      </c>
      <c r="J361" s="3" t="s">
        <v>1197</v>
      </c>
      <c r="K361" s="3" t="s">
        <v>1198</v>
      </c>
      <c r="L361" s="19" t="s">
        <v>1042</v>
      </c>
      <c r="W361">
        <f t="shared" si="5"/>
        <v>2</v>
      </c>
    </row>
    <row r="362" spans="1:23">
      <c r="A362" s="3" t="s">
        <v>856</v>
      </c>
      <c r="B362" t="str">
        <f>IF(_xlfn.XLOOKUP(A362,PARAMETROS!A:A,PARAMETROS!B:B)=0,"",_xlfn.XLOOKUP(A362,PARAMETROS!A:A,PARAMETROS!B:B))</f>
        <v>000000000000</v>
      </c>
      <c r="C362" t="str">
        <f>IF(_xlfn.XLOOKUP(A362,PARAMETROS!A:A,PARAMETROS!C:C)=0,"",_xlfn.XLOOKUP(A362,PARAMETROS!A:A,PARAMETROS!C:C))</f>
        <v/>
      </c>
      <c r="D362" t="str">
        <f>IF(_xlfn.XLOOKUP(A362,PARAMETROS!A:A,PARAMETROS!D:D)=0,"",_xlfn.XLOOKUP(A362,PARAMETROS!A:A,PARAMETROS!D:D))</f>
        <v/>
      </c>
      <c r="E362" t="str">
        <f>IF(_xlfn.XLOOKUP('PREENCHIMENTO|LETIVAS'!A362,PARAMETROS!A:A,PARAMETROS!I:I)=0,"",_xlfn.XLOOKUP('PREENCHIMENTO|LETIVAS'!A362,PARAMETROS!A:A,PARAMETROS!I:I))</f>
        <v>RPA</v>
      </c>
      <c r="F362" s="3" t="s">
        <v>31</v>
      </c>
      <c r="G362" s="3">
        <v>2</v>
      </c>
      <c r="H362" s="3" t="s">
        <v>32</v>
      </c>
      <c r="I362" s="3" t="s">
        <v>33</v>
      </c>
      <c r="J362" s="3" t="s">
        <v>1199</v>
      </c>
      <c r="K362" s="3" t="s">
        <v>1200</v>
      </c>
      <c r="L362" s="19"/>
      <c r="W362">
        <f t="shared" si="5"/>
        <v>2</v>
      </c>
    </row>
    <row r="363" spans="1:23">
      <c r="A363" s="3" t="s">
        <v>724</v>
      </c>
      <c r="B363" t="str">
        <f>IF(_xlfn.XLOOKUP(A363,PARAMETROS!A:A,PARAMETROS!B:B)=0,"",_xlfn.XLOOKUP(A363,PARAMETROS!A:A,PARAMETROS!B:B))</f>
        <v>012009006369</v>
      </c>
      <c r="C363">
        <f>IF(_xlfn.XLOOKUP(A363,PARAMETROS!A:A,PARAMETROS!C:C)=0,"",_xlfn.XLOOKUP(A363,PARAMETROS!A:A,PARAMETROS!C:C))</f>
        <v>12</v>
      </c>
      <c r="D363">
        <f>IF(_xlfn.XLOOKUP(A363,PARAMETROS!A:A,PARAMETROS!D:D)=0,"",_xlfn.XLOOKUP(A363,PARAMETROS!A:A,PARAMETROS!D:D))</f>
        <v>9</v>
      </c>
      <c r="E363" t="str">
        <f>IF(_xlfn.XLOOKUP('PREENCHIMENTO|LETIVAS'!A363,PARAMETROS!A:A,PARAMETROS!I:I)=0,"",_xlfn.XLOOKUP('PREENCHIMENTO|LETIVAS'!A363,PARAMETROS!A:A,PARAMETROS!I:I))</f>
        <v>PROFESSOR REGENTE</v>
      </c>
      <c r="F363" s="3" t="s">
        <v>31</v>
      </c>
      <c r="G363" s="3" t="s">
        <v>54</v>
      </c>
      <c r="H363" s="3" t="s">
        <v>39</v>
      </c>
      <c r="I363" s="3" t="s">
        <v>33</v>
      </c>
      <c r="J363" s="3" t="s">
        <v>1201</v>
      </c>
      <c r="K363" s="3"/>
      <c r="L363" s="19"/>
      <c r="W363">
        <f t="shared" si="5"/>
        <v>2</v>
      </c>
    </row>
    <row r="364" spans="1:23">
      <c r="A364" s="3" t="s">
        <v>856</v>
      </c>
      <c r="B364" t="str">
        <f>IF(_xlfn.XLOOKUP(A364,PARAMETROS!A:A,PARAMETROS!B:B)=0,"",_xlfn.XLOOKUP(A364,PARAMETROS!A:A,PARAMETROS!B:B))</f>
        <v>000000000000</v>
      </c>
      <c r="C364" t="str">
        <f>IF(_xlfn.XLOOKUP(A364,PARAMETROS!A:A,PARAMETROS!C:C)=0,"",_xlfn.XLOOKUP(A364,PARAMETROS!A:A,PARAMETROS!C:C))</f>
        <v/>
      </c>
      <c r="D364" t="str">
        <f>IF(_xlfn.XLOOKUP(A364,PARAMETROS!A:A,PARAMETROS!D:D)=0,"",_xlfn.XLOOKUP(A364,PARAMETROS!A:A,PARAMETROS!D:D))</f>
        <v/>
      </c>
      <c r="E364" t="str">
        <f>IF(_xlfn.XLOOKUP('PREENCHIMENTO|LETIVAS'!A364,PARAMETROS!A:A,PARAMETROS!I:I)=0,"",_xlfn.XLOOKUP('PREENCHIMENTO|LETIVAS'!A364,PARAMETROS!A:A,PARAMETROS!I:I))</f>
        <v>RPA</v>
      </c>
      <c r="F364" s="3" t="s">
        <v>31</v>
      </c>
      <c r="G364" s="3">
        <v>2</v>
      </c>
      <c r="H364" s="3" t="s">
        <v>39</v>
      </c>
      <c r="I364" s="3" t="s">
        <v>40</v>
      </c>
      <c r="J364" s="3" t="s">
        <v>1202</v>
      </c>
      <c r="K364" s="3" t="s">
        <v>1200</v>
      </c>
      <c r="L364" s="19"/>
      <c r="W364">
        <f t="shared" si="5"/>
        <v>2</v>
      </c>
    </row>
    <row r="365" spans="1:23">
      <c r="A365" s="3" t="s">
        <v>694</v>
      </c>
      <c r="B365" t="str">
        <f>IF(_xlfn.XLOOKUP(A365,PARAMETROS!A:A,PARAMETROS!B:B)=0,"",_xlfn.XLOOKUP(A365,PARAMETROS!A:A,PARAMETROS!B:B))</f>
        <v>012009006361</v>
      </c>
      <c r="C365">
        <f>IF(_xlfn.XLOOKUP(A365,PARAMETROS!A:A,PARAMETROS!C:C)=0,"",_xlfn.XLOOKUP(A365,PARAMETROS!A:A,PARAMETROS!C:C))</f>
        <v>12</v>
      </c>
      <c r="D365">
        <f>IF(_xlfn.XLOOKUP(A365,PARAMETROS!A:A,PARAMETROS!D:D)=0,"",_xlfn.XLOOKUP(A365,PARAMETROS!A:A,PARAMETROS!D:D))</f>
        <v>9</v>
      </c>
      <c r="E365" t="str">
        <f>IF(_xlfn.XLOOKUP('PREENCHIMENTO|LETIVAS'!A365,PARAMETROS!A:A,PARAMETROS!I:I)=0,"",_xlfn.XLOOKUP('PREENCHIMENTO|LETIVAS'!A365,PARAMETROS!A:A,PARAMETROS!I:I))</f>
        <v>PROFESSOR REGENTE</v>
      </c>
      <c r="F365" s="3" t="s">
        <v>31</v>
      </c>
      <c r="G365" s="3" t="s">
        <v>54</v>
      </c>
      <c r="H365" s="3" t="s">
        <v>39</v>
      </c>
      <c r="I365" s="3" t="s">
        <v>33</v>
      </c>
      <c r="J365" s="3" t="s">
        <v>1203</v>
      </c>
      <c r="K365" s="3"/>
      <c r="L365" s="19"/>
      <c r="W365">
        <f t="shared" si="5"/>
        <v>2</v>
      </c>
    </row>
    <row r="366" spans="1:23">
      <c r="A366" s="3" t="s">
        <v>856</v>
      </c>
      <c r="B366" t="str">
        <f>IF(_xlfn.XLOOKUP(A366,PARAMETROS!A:A,PARAMETROS!B:B)=0,"",_xlfn.XLOOKUP(A366,PARAMETROS!A:A,PARAMETROS!B:B))</f>
        <v>000000000000</v>
      </c>
      <c r="C366" t="str">
        <f>IF(_xlfn.XLOOKUP(A366,PARAMETROS!A:A,PARAMETROS!C:C)=0,"",_xlfn.XLOOKUP(A366,PARAMETROS!A:A,PARAMETROS!C:C))</f>
        <v/>
      </c>
      <c r="D366" t="str">
        <f>IF(_xlfn.XLOOKUP(A366,PARAMETROS!A:A,PARAMETROS!D:D)=0,"",_xlfn.XLOOKUP(A366,PARAMETROS!A:A,PARAMETROS!D:D))</f>
        <v/>
      </c>
      <c r="E366" t="str">
        <f>IF(_xlfn.XLOOKUP('PREENCHIMENTO|LETIVAS'!A366,PARAMETROS!A:A,PARAMETROS!I:I)=0,"",_xlfn.XLOOKUP('PREENCHIMENTO|LETIVAS'!A366,PARAMETROS!A:A,PARAMETROS!I:I))</f>
        <v>RPA</v>
      </c>
      <c r="F366" s="3" t="s">
        <v>31</v>
      </c>
      <c r="G366" s="3">
        <v>2</v>
      </c>
      <c r="H366" s="3" t="s">
        <v>39</v>
      </c>
      <c r="I366" s="3" t="s">
        <v>33</v>
      </c>
      <c r="J366" s="3" t="s">
        <v>1204</v>
      </c>
      <c r="K366" s="3" t="s">
        <v>465</v>
      </c>
      <c r="L366" s="19" t="s">
        <v>1097</v>
      </c>
      <c r="W366">
        <f t="shared" si="5"/>
        <v>2</v>
      </c>
    </row>
    <row r="367" spans="1:23">
      <c r="A367" s="3" t="s">
        <v>856</v>
      </c>
      <c r="B367" t="str">
        <f>IF(_xlfn.XLOOKUP(A367,PARAMETROS!A:A,PARAMETROS!B:B)=0,"",_xlfn.XLOOKUP(A367,PARAMETROS!A:A,PARAMETROS!B:B))</f>
        <v>000000000000</v>
      </c>
      <c r="C367" t="str">
        <f>IF(_xlfn.XLOOKUP(A367,PARAMETROS!A:A,PARAMETROS!C:C)=0,"",_xlfn.XLOOKUP(A367,PARAMETROS!A:A,PARAMETROS!C:C))</f>
        <v/>
      </c>
      <c r="D367" t="str">
        <f>IF(_xlfn.XLOOKUP(A367,PARAMETROS!A:A,PARAMETROS!D:D)=0,"",_xlfn.XLOOKUP(A367,PARAMETROS!A:A,PARAMETROS!D:D))</f>
        <v/>
      </c>
      <c r="E367" t="str">
        <f>IF(_xlfn.XLOOKUP('PREENCHIMENTO|LETIVAS'!A367,PARAMETROS!A:A,PARAMETROS!I:I)=0,"",_xlfn.XLOOKUP('PREENCHIMENTO|LETIVAS'!A367,PARAMETROS!A:A,PARAMETROS!I:I))</f>
        <v>RPA</v>
      </c>
      <c r="F367" s="3" t="s">
        <v>31</v>
      </c>
      <c r="G367" s="3" t="s">
        <v>54</v>
      </c>
      <c r="H367" s="3" t="s">
        <v>39</v>
      </c>
      <c r="I367" s="3" t="s">
        <v>33</v>
      </c>
      <c r="J367" s="3" t="s">
        <v>1205</v>
      </c>
      <c r="K367" s="3" t="s">
        <v>1200</v>
      </c>
      <c r="L367" s="19"/>
      <c r="W367">
        <f t="shared" si="5"/>
        <v>2</v>
      </c>
    </row>
    <row r="368" spans="1:23">
      <c r="A368" s="3" t="s">
        <v>856</v>
      </c>
      <c r="B368" t="str">
        <f>IF(_xlfn.XLOOKUP(A368,PARAMETROS!A:A,PARAMETROS!B:B)=0,"",_xlfn.XLOOKUP(A368,PARAMETROS!A:A,PARAMETROS!B:B))</f>
        <v>000000000000</v>
      </c>
      <c r="C368" t="str">
        <f>IF(_xlfn.XLOOKUP(A368,PARAMETROS!A:A,PARAMETROS!C:C)=0,"",_xlfn.XLOOKUP(A368,PARAMETROS!A:A,PARAMETROS!C:C))</f>
        <v/>
      </c>
      <c r="D368" t="str">
        <f>IF(_xlfn.XLOOKUP(A368,PARAMETROS!A:A,PARAMETROS!D:D)=0,"",_xlfn.XLOOKUP(A368,PARAMETROS!A:A,PARAMETROS!D:D))</f>
        <v/>
      </c>
      <c r="E368" t="str">
        <f>IF(_xlfn.XLOOKUP('PREENCHIMENTO|LETIVAS'!A368,PARAMETROS!A:A,PARAMETROS!I:I)=0,"",_xlfn.XLOOKUP('PREENCHIMENTO|LETIVAS'!A368,PARAMETROS!A:A,PARAMETROS!I:I))</f>
        <v>RPA</v>
      </c>
      <c r="F368" s="3" t="s">
        <v>31</v>
      </c>
      <c r="G368" s="3">
        <v>2</v>
      </c>
      <c r="H368" s="3" t="s">
        <v>39</v>
      </c>
      <c r="I368" s="3" t="s">
        <v>33</v>
      </c>
      <c r="J368" s="3" t="s">
        <v>1206</v>
      </c>
      <c r="K368" s="3" t="s">
        <v>825</v>
      </c>
      <c r="L368" s="19" t="s">
        <v>1141</v>
      </c>
      <c r="W368">
        <f t="shared" si="5"/>
        <v>2</v>
      </c>
    </row>
    <row r="369" spans="1:23">
      <c r="A369" s="3" t="s">
        <v>856</v>
      </c>
      <c r="B369" t="str">
        <f>IF(_xlfn.XLOOKUP(A369,PARAMETROS!A:A,PARAMETROS!B:B)=0,"",_xlfn.XLOOKUP(A369,PARAMETROS!A:A,PARAMETROS!B:B))</f>
        <v>000000000000</v>
      </c>
      <c r="C369" t="str">
        <f>IF(_xlfn.XLOOKUP(A369,PARAMETROS!A:A,PARAMETROS!C:C)=0,"",_xlfn.XLOOKUP(A369,PARAMETROS!A:A,PARAMETROS!C:C))</f>
        <v/>
      </c>
      <c r="D369" t="str">
        <f>IF(_xlfn.XLOOKUP(A369,PARAMETROS!A:A,PARAMETROS!D:D)=0,"",_xlfn.XLOOKUP(A369,PARAMETROS!A:A,PARAMETROS!D:D))</f>
        <v/>
      </c>
      <c r="E369" t="str">
        <f>IF(_xlfn.XLOOKUP('PREENCHIMENTO|LETIVAS'!A369,PARAMETROS!A:A,PARAMETROS!I:I)=0,"",_xlfn.XLOOKUP('PREENCHIMENTO|LETIVAS'!A369,PARAMETROS!A:A,PARAMETROS!I:I))</f>
        <v>RPA</v>
      </c>
      <c r="F369" s="3" t="s">
        <v>31</v>
      </c>
      <c r="G369" s="3" t="s">
        <v>54</v>
      </c>
      <c r="H369" s="3" t="s">
        <v>39</v>
      </c>
      <c r="I369" s="3" t="s">
        <v>33</v>
      </c>
      <c r="J369" s="3" t="s">
        <v>1207</v>
      </c>
      <c r="K369" s="3" t="s">
        <v>1200</v>
      </c>
      <c r="L369" s="19"/>
      <c r="W369">
        <f t="shared" si="5"/>
        <v>2</v>
      </c>
    </row>
    <row r="370" spans="1:23">
      <c r="A370" s="3" t="s">
        <v>856</v>
      </c>
      <c r="B370" t="str">
        <f>IF(_xlfn.XLOOKUP(A370,PARAMETROS!A:A,PARAMETROS!B:B)=0,"",_xlfn.XLOOKUP(A370,PARAMETROS!A:A,PARAMETROS!B:B))</f>
        <v>000000000000</v>
      </c>
      <c r="C370" t="str">
        <f>IF(_xlfn.XLOOKUP(A370,PARAMETROS!A:A,PARAMETROS!C:C)=0,"",_xlfn.XLOOKUP(A370,PARAMETROS!A:A,PARAMETROS!C:C))</f>
        <v/>
      </c>
      <c r="D370" t="str">
        <f>IF(_xlfn.XLOOKUP(A370,PARAMETROS!A:A,PARAMETROS!D:D)=0,"",_xlfn.XLOOKUP(A370,PARAMETROS!A:A,PARAMETROS!D:D))</f>
        <v/>
      </c>
      <c r="E370" t="str">
        <f>IF(_xlfn.XLOOKUP('PREENCHIMENTO|LETIVAS'!A370,PARAMETROS!A:A,PARAMETROS!I:I)=0,"",_xlfn.XLOOKUP('PREENCHIMENTO|LETIVAS'!A370,PARAMETROS!A:A,PARAMETROS!I:I))</f>
        <v>RPA</v>
      </c>
      <c r="F370" s="3" t="s">
        <v>31</v>
      </c>
      <c r="G370" s="3"/>
      <c r="H370" s="3"/>
      <c r="I370" s="3"/>
      <c r="J370" s="3" t="s">
        <v>1208</v>
      </c>
      <c r="K370" s="3" t="s">
        <v>1209</v>
      </c>
      <c r="L370" s="19" t="s">
        <v>1210</v>
      </c>
      <c r="W370">
        <f t="shared" si="5"/>
        <v>0</v>
      </c>
    </row>
    <row r="371" spans="1:23">
      <c r="A371" s="3" t="s">
        <v>856</v>
      </c>
      <c r="B371" t="str">
        <f>IF(_xlfn.XLOOKUP(A371,PARAMETROS!A:A,PARAMETROS!B:B)=0,"",_xlfn.XLOOKUP(A371,PARAMETROS!A:A,PARAMETROS!B:B))</f>
        <v>000000000000</v>
      </c>
      <c r="C371" t="str">
        <f>IF(_xlfn.XLOOKUP(A371,PARAMETROS!A:A,PARAMETROS!C:C)=0,"",_xlfn.XLOOKUP(A371,PARAMETROS!A:A,PARAMETROS!C:C))</f>
        <v/>
      </c>
      <c r="D371" t="str">
        <f>IF(_xlfn.XLOOKUP(A371,PARAMETROS!A:A,PARAMETROS!D:D)=0,"",_xlfn.XLOOKUP(A371,PARAMETROS!A:A,PARAMETROS!D:D))</f>
        <v/>
      </c>
      <c r="E371" t="str">
        <f>IF(_xlfn.XLOOKUP('PREENCHIMENTO|LETIVAS'!A371,PARAMETROS!A:A,PARAMETROS!I:I)=0,"",_xlfn.XLOOKUP('PREENCHIMENTO|LETIVAS'!A371,PARAMETROS!A:A,PARAMETROS!I:I))</f>
        <v>RPA</v>
      </c>
      <c r="F371" s="3" t="s">
        <v>31</v>
      </c>
      <c r="G371" s="3"/>
      <c r="H371" s="3"/>
      <c r="I371" s="3"/>
      <c r="J371" s="3" t="s">
        <v>1211</v>
      </c>
      <c r="K371" s="3" t="s">
        <v>1212</v>
      </c>
      <c r="L371" s="19" t="s">
        <v>1210</v>
      </c>
      <c r="W371">
        <f t="shared" si="5"/>
        <v>0</v>
      </c>
    </row>
    <row r="372" spans="1:23">
      <c r="A372" s="3" t="s">
        <v>856</v>
      </c>
      <c r="B372" t="str">
        <f>IF(_xlfn.XLOOKUP(A372,PARAMETROS!A:A,PARAMETROS!B:B)=0,"",_xlfn.XLOOKUP(A372,PARAMETROS!A:A,PARAMETROS!B:B))</f>
        <v>000000000000</v>
      </c>
      <c r="C372" t="str">
        <f>IF(_xlfn.XLOOKUP(A372,PARAMETROS!A:A,PARAMETROS!C:C)=0,"",_xlfn.XLOOKUP(A372,PARAMETROS!A:A,PARAMETROS!C:C))</f>
        <v/>
      </c>
      <c r="D372" t="str">
        <f>IF(_xlfn.XLOOKUP(A372,PARAMETROS!A:A,PARAMETROS!D:D)=0,"",_xlfn.XLOOKUP(A372,PARAMETROS!A:A,PARAMETROS!D:D))</f>
        <v/>
      </c>
      <c r="E372" t="str">
        <f>IF(_xlfn.XLOOKUP('PREENCHIMENTO|LETIVAS'!A372,PARAMETROS!A:A,PARAMETROS!I:I)=0,"",_xlfn.XLOOKUP('PREENCHIMENTO|LETIVAS'!A372,PARAMETROS!A:A,PARAMETROS!I:I))</f>
        <v>RPA</v>
      </c>
      <c r="F372" s="3" t="s">
        <v>31</v>
      </c>
      <c r="G372" s="3"/>
      <c r="H372" s="3"/>
      <c r="I372" s="3"/>
      <c r="J372" s="3" t="s">
        <v>1213</v>
      </c>
      <c r="K372" s="3" t="s">
        <v>1214</v>
      </c>
      <c r="L372" s="19" t="s">
        <v>1210</v>
      </c>
      <c r="W372">
        <f t="shared" si="5"/>
        <v>0</v>
      </c>
    </row>
    <row r="373" spans="1:23">
      <c r="A373" s="3" t="s">
        <v>580</v>
      </c>
      <c r="B373" t="str">
        <f>IF(_xlfn.XLOOKUP(A373,PARAMETROS!A:A,PARAMETROS!B:B)=0,"",_xlfn.XLOOKUP(A373,PARAMETROS!A:A,PARAMETROS!B:B))</f>
        <v>012009006249</v>
      </c>
      <c r="C373">
        <f>IF(_xlfn.XLOOKUP(A373,PARAMETROS!A:A,PARAMETROS!C:C)=0,"",_xlfn.XLOOKUP(A373,PARAMETROS!A:A,PARAMETROS!C:C))</f>
        <v>12</v>
      </c>
      <c r="D373">
        <f>IF(_xlfn.XLOOKUP(A373,PARAMETROS!A:A,PARAMETROS!D:D)=0,"",_xlfn.XLOOKUP(A373,PARAMETROS!A:A,PARAMETROS!D:D))</f>
        <v>9</v>
      </c>
      <c r="E373" t="str">
        <f>IF(_xlfn.XLOOKUP('PREENCHIMENTO|LETIVAS'!A373,PARAMETROS!A:A,PARAMETROS!I:I)=0,"",_xlfn.XLOOKUP('PREENCHIMENTO|LETIVAS'!A373,PARAMETROS!A:A,PARAMETROS!I:I))</f>
        <v>PROFESSOR REGENTE</v>
      </c>
      <c r="F373" s="3" t="s">
        <v>31</v>
      </c>
      <c r="G373" s="3" t="s">
        <v>54</v>
      </c>
      <c r="H373" s="3" t="s">
        <v>55</v>
      </c>
      <c r="I373" s="3" t="s">
        <v>33</v>
      </c>
      <c r="J373" s="3" t="s">
        <v>1215</v>
      </c>
      <c r="K373" s="3"/>
      <c r="L373" s="19"/>
      <c r="W373">
        <f t="shared" si="5"/>
        <v>2</v>
      </c>
    </row>
    <row r="374" spans="1:23">
      <c r="A374" s="3" t="s">
        <v>662</v>
      </c>
      <c r="B374" t="str">
        <f>IF(_xlfn.XLOOKUP(A374,PARAMETROS!A:A,PARAMETROS!B:B)=0,"",_xlfn.XLOOKUP(A374,PARAMETROS!A:A,PARAMETROS!B:B))</f>
        <v>012009004054</v>
      </c>
      <c r="C374">
        <f>IF(_xlfn.XLOOKUP(A374,PARAMETROS!A:A,PARAMETROS!C:C)=0,"",_xlfn.XLOOKUP(A374,PARAMETROS!A:A,PARAMETROS!C:C))</f>
        <v>40</v>
      </c>
      <c r="D374">
        <f>IF(_xlfn.XLOOKUP(A374,PARAMETROS!A:A,PARAMETROS!D:D)=0,"",_xlfn.XLOOKUP(A374,PARAMETROS!A:A,PARAMETROS!D:D))</f>
        <v>20</v>
      </c>
      <c r="E374" t="str">
        <f>IF(_xlfn.XLOOKUP('PREENCHIMENTO|LETIVAS'!A374,PARAMETROS!A:A,PARAMETROS!I:I)=0,"",_xlfn.XLOOKUP('PREENCHIMENTO|LETIVAS'!A374,PARAMETROS!A:A,PARAMETROS!I:I))</f>
        <v>PROFESSOR REGENTE</v>
      </c>
      <c r="F374" s="3" t="s">
        <v>31</v>
      </c>
      <c r="G374" s="3" t="s">
        <v>54</v>
      </c>
      <c r="H374" s="3" t="s">
        <v>55</v>
      </c>
      <c r="I374" s="3" t="s">
        <v>40</v>
      </c>
      <c r="J374" s="3" t="s">
        <v>1216</v>
      </c>
      <c r="K374" s="3"/>
      <c r="L374" s="19"/>
      <c r="W374">
        <f t="shared" si="5"/>
        <v>2</v>
      </c>
    </row>
    <row r="375" spans="1:23">
      <c r="A375" s="3" t="s">
        <v>596</v>
      </c>
      <c r="B375" t="str">
        <f>IF(_xlfn.XLOOKUP(A375,PARAMETROS!A:A,PARAMETROS!B:B)=0,"",_xlfn.XLOOKUP(A375,PARAMETROS!A:A,PARAMETROS!B:B))</f>
        <v>012009006304</v>
      </c>
      <c r="C375">
        <f>IF(_xlfn.XLOOKUP(A375,PARAMETROS!A:A,PARAMETROS!C:C)=0,"",_xlfn.XLOOKUP(A375,PARAMETROS!A:A,PARAMETROS!C:C))</f>
        <v>12</v>
      </c>
      <c r="D375">
        <f>IF(_xlfn.XLOOKUP(A375,PARAMETROS!A:A,PARAMETROS!D:D)=0,"",_xlfn.XLOOKUP(A375,PARAMETROS!A:A,PARAMETROS!D:D))</f>
        <v>9</v>
      </c>
      <c r="E375" t="str">
        <f>IF(_xlfn.XLOOKUP('PREENCHIMENTO|LETIVAS'!A375,PARAMETROS!A:A,PARAMETROS!I:I)=0,"",_xlfn.XLOOKUP('PREENCHIMENTO|LETIVAS'!A375,PARAMETROS!A:A,PARAMETROS!I:I))</f>
        <v>PROFESSOR REGENTE</v>
      </c>
      <c r="F375" s="3" t="s">
        <v>31</v>
      </c>
      <c r="G375" s="3">
        <v>1</v>
      </c>
      <c r="H375" s="3" t="s">
        <v>55</v>
      </c>
      <c r="I375" s="3" t="s">
        <v>33</v>
      </c>
      <c r="J375" s="3" t="s">
        <v>1217</v>
      </c>
      <c r="K375" s="3"/>
      <c r="L375" s="19"/>
      <c r="W375">
        <f t="shared" si="5"/>
        <v>2</v>
      </c>
    </row>
    <row r="376" spans="1:23">
      <c r="A376" s="3" t="s">
        <v>587</v>
      </c>
      <c r="B376" t="str">
        <f>IF(_xlfn.XLOOKUP(A376,PARAMETROS!A:A,PARAMETROS!B:B)=0,"",_xlfn.XLOOKUP(A376,PARAMETROS!A:A,PARAMETROS!B:B))</f>
        <v>012009006305</v>
      </c>
      <c r="C376">
        <f>IF(_xlfn.XLOOKUP(A376,PARAMETROS!A:A,PARAMETROS!C:C)=0,"",_xlfn.XLOOKUP(A376,PARAMETROS!A:A,PARAMETROS!C:C))</f>
        <v>12</v>
      </c>
      <c r="D376">
        <f>IF(_xlfn.XLOOKUP(A376,PARAMETROS!A:A,PARAMETROS!D:D)=0,"",_xlfn.XLOOKUP(A376,PARAMETROS!A:A,PARAMETROS!D:D))</f>
        <v>9</v>
      </c>
      <c r="E376" t="str">
        <f>IF(_xlfn.XLOOKUP('PREENCHIMENTO|LETIVAS'!A376,PARAMETROS!A:A,PARAMETROS!I:I)=0,"",_xlfn.XLOOKUP('PREENCHIMENTO|LETIVAS'!A376,PARAMETROS!A:A,PARAMETROS!I:I))</f>
        <v>PROFESSOR REGENTE</v>
      </c>
      <c r="F376" s="3" t="s">
        <v>31</v>
      </c>
      <c r="G376" s="3" t="s">
        <v>54</v>
      </c>
      <c r="H376" s="3" t="s">
        <v>55</v>
      </c>
      <c r="I376" s="3" t="s">
        <v>40</v>
      </c>
      <c r="J376" s="3" t="s">
        <v>1218</v>
      </c>
      <c r="K376" s="3"/>
      <c r="L376" s="19"/>
      <c r="W376">
        <f t="shared" si="5"/>
        <v>2</v>
      </c>
    </row>
    <row r="377" spans="1:23">
      <c r="A377" s="3" t="s">
        <v>605</v>
      </c>
      <c r="B377" t="str">
        <f>IF(_xlfn.XLOOKUP(A377,PARAMETROS!A:A,PARAMETROS!B:B)=0,"",_xlfn.XLOOKUP(A377,PARAMETROS!A:A,PARAMETROS!B:B))</f>
        <v>012009006312</v>
      </c>
      <c r="C377">
        <f>IF(_xlfn.XLOOKUP(A377,PARAMETROS!A:A,PARAMETROS!C:C)=0,"",_xlfn.XLOOKUP(A377,PARAMETROS!A:A,PARAMETROS!C:C))</f>
        <v>12</v>
      </c>
      <c r="D377">
        <f>IF(_xlfn.XLOOKUP(A377,PARAMETROS!A:A,PARAMETROS!D:D)=0,"",_xlfn.XLOOKUP(A377,PARAMETROS!A:A,PARAMETROS!D:D))</f>
        <v>9</v>
      </c>
      <c r="E377" t="str">
        <f>IF(_xlfn.XLOOKUP('PREENCHIMENTO|LETIVAS'!A377,PARAMETROS!A:A,PARAMETROS!I:I)=0,"",_xlfn.XLOOKUP('PREENCHIMENTO|LETIVAS'!A377,PARAMETROS!A:A,PARAMETROS!I:I))</f>
        <v>PROFESSOR REGENTE</v>
      </c>
      <c r="F377" s="3" t="s">
        <v>31</v>
      </c>
      <c r="G377" s="3">
        <v>1</v>
      </c>
      <c r="H377" s="3" t="s">
        <v>55</v>
      </c>
      <c r="I377" s="3" t="s">
        <v>33</v>
      </c>
      <c r="J377" s="3" t="s">
        <v>1219</v>
      </c>
      <c r="K377" s="3"/>
      <c r="L377" s="19"/>
      <c r="W377">
        <f t="shared" si="5"/>
        <v>2</v>
      </c>
    </row>
    <row r="378" spans="1:23">
      <c r="A378" s="3" t="s">
        <v>718</v>
      </c>
      <c r="B378" t="str">
        <f>IF(_xlfn.XLOOKUP(A378,PARAMETROS!A:A,PARAMETROS!B:B)=0,"",_xlfn.XLOOKUP(A378,PARAMETROS!A:A,PARAMETROS!B:B))</f>
        <v>012009006375</v>
      </c>
      <c r="C378">
        <f>IF(_xlfn.XLOOKUP(A378,PARAMETROS!A:A,PARAMETROS!C:C)=0,"",_xlfn.XLOOKUP(A378,PARAMETROS!A:A,PARAMETROS!C:C))</f>
        <v>12</v>
      </c>
      <c r="D378">
        <f>IF(_xlfn.XLOOKUP(A378,PARAMETROS!A:A,PARAMETROS!D:D)=0,"",_xlfn.XLOOKUP(A378,PARAMETROS!A:A,PARAMETROS!D:D))</f>
        <v>9</v>
      </c>
      <c r="E378" t="str">
        <f>IF(_xlfn.XLOOKUP('PREENCHIMENTO|LETIVAS'!A378,PARAMETROS!A:A,PARAMETROS!I:I)=0,"",_xlfn.XLOOKUP('PREENCHIMENTO|LETIVAS'!A378,PARAMETROS!A:A,PARAMETROS!I:I))</f>
        <v>PROFESSOR REGENTE</v>
      </c>
      <c r="F378" s="3" t="s">
        <v>31</v>
      </c>
      <c r="G378" s="3" t="s">
        <v>54</v>
      </c>
      <c r="H378" s="3" t="s">
        <v>32</v>
      </c>
      <c r="I378" s="3" t="s">
        <v>33</v>
      </c>
      <c r="J378" s="3" t="s">
        <v>1220</v>
      </c>
      <c r="K378" s="3"/>
      <c r="L378" s="19"/>
      <c r="W378">
        <f t="shared" si="5"/>
        <v>2</v>
      </c>
    </row>
    <row r="379" spans="1:23">
      <c r="A379" s="3" t="s">
        <v>718</v>
      </c>
      <c r="B379" t="str">
        <f>IF(_xlfn.XLOOKUP(A379,PARAMETROS!A:A,PARAMETROS!B:B)=0,"",_xlfn.XLOOKUP(A379,PARAMETROS!A:A,PARAMETROS!B:B))</f>
        <v>012009006375</v>
      </c>
      <c r="C379">
        <f>IF(_xlfn.XLOOKUP(A379,PARAMETROS!A:A,PARAMETROS!C:C)=0,"",_xlfn.XLOOKUP(A379,PARAMETROS!A:A,PARAMETROS!C:C))</f>
        <v>12</v>
      </c>
      <c r="D379">
        <f>IF(_xlfn.XLOOKUP(A379,PARAMETROS!A:A,PARAMETROS!D:D)=0,"",_xlfn.XLOOKUP(A379,PARAMETROS!A:A,PARAMETROS!D:D))</f>
        <v>9</v>
      </c>
      <c r="E379" t="str">
        <f>IF(_xlfn.XLOOKUP('PREENCHIMENTO|LETIVAS'!A379,PARAMETROS!A:A,PARAMETROS!I:I)=0,"",_xlfn.XLOOKUP('PREENCHIMENTO|LETIVAS'!A379,PARAMETROS!A:A,PARAMETROS!I:I))</f>
        <v>PROFESSOR REGENTE</v>
      </c>
      <c r="F379" s="3" t="s">
        <v>31</v>
      </c>
      <c r="G379" s="3" t="s">
        <v>54</v>
      </c>
      <c r="H379" s="3" t="s">
        <v>32</v>
      </c>
      <c r="I379" s="3" t="s">
        <v>40</v>
      </c>
      <c r="J379" s="3" t="s">
        <v>1221</v>
      </c>
      <c r="K379" s="3"/>
      <c r="L379" s="19"/>
      <c r="W379">
        <f t="shared" si="5"/>
        <v>2</v>
      </c>
    </row>
    <row r="380" spans="1:23">
      <c r="A380" s="3" t="s">
        <v>856</v>
      </c>
      <c r="B380" t="str">
        <f>IF(_xlfn.XLOOKUP(A380,PARAMETROS!A:A,PARAMETROS!B:B)=0,"",_xlfn.XLOOKUP(A380,PARAMETROS!A:A,PARAMETROS!B:B))</f>
        <v>000000000000</v>
      </c>
      <c r="C380" t="str">
        <f>IF(_xlfn.XLOOKUP(A380,PARAMETROS!A:A,PARAMETROS!C:C)=0,"",_xlfn.XLOOKUP(A380,PARAMETROS!A:A,PARAMETROS!C:C))</f>
        <v/>
      </c>
      <c r="D380" t="str">
        <f>IF(_xlfn.XLOOKUP(A380,PARAMETROS!A:A,PARAMETROS!D:D)=0,"",_xlfn.XLOOKUP(A380,PARAMETROS!A:A,PARAMETROS!D:D))</f>
        <v/>
      </c>
      <c r="E380" t="str">
        <f>IF(_xlfn.XLOOKUP('PREENCHIMENTO|LETIVAS'!A380,PARAMETROS!A:A,PARAMETROS!I:I)=0,"",_xlfn.XLOOKUP('PREENCHIMENTO|LETIVAS'!A380,PARAMETROS!A:A,PARAMETROS!I:I))</f>
        <v>RPA</v>
      </c>
      <c r="F380" s="3" t="s">
        <v>31</v>
      </c>
      <c r="G380" s="3">
        <v>1</v>
      </c>
      <c r="H380" s="3" t="s">
        <v>39</v>
      </c>
      <c r="I380" s="3" t="s">
        <v>40</v>
      </c>
      <c r="J380" s="3" t="s">
        <v>1222</v>
      </c>
      <c r="K380" s="3" t="s">
        <v>1158</v>
      </c>
      <c r="L380" s="19"/>
      <c r="W380">
        <f t="shared" si="5"/>
        <v>2</v>
      </c>
    </row>
    <row r="381" spans="1:23">
      <c r="A381" s="3" t="s">
        <v>662</v>
      </c>
      <c r="B381" t="str">
        <f>IF(_xlfn.XLOOKUP(A381,PARAMETROS!A:A,PARAMETROS!B:B)=0,"",_xlfn.XLOOKUP(A381,PARAMETROS!A:A,PARAMETROS!B:B))</f>
        <v>012009004054</v>
      </c>
      <c r="C381">
        <f>IF(_xlfn.XLOOKUP(A381,PARAMETROS!A:A,PARAMETROS!C:C)=0,"",_xlfn.XLOOKUP(A381,PARAMETROS!A:A,PARAMETROS!C:C))</f>
        <v>40</v>
      </c>
      <c r="D381">
        <f>IF(_xlfn.XLOOKUP(A381,PARAMETROS!A:A,PARAMETROS!D:D)=0,"",_xlfn.XLOOKUP(A381,PARAMETROS!A:A,PARAMETROS!D:D))</f>
        <v>20</v>
      </c>
      <c r="E381" t="str">
        <f>IF(_xlfn.XLOOKUP('PREENCHIMENTO|LETIVAS'!A381,PARAMETROS!A:A,PARAMETROS!I:I)=0,"",_xlfn.XLOOKUP('PREENCHIMENTO|LETIVAS'!A381,PARAMETROS!A:A,PARAMETROS!I:I))</f>
        <v>PROFESSOR REGENTE</v>
      </c>
      <c r="F381" s="3" t="s">
        <v>31</v>
      </c>
      <c r="G381" s="3">
        <v>2</v>
      </c>
      <c r="H381" s="3" t="s">
        <v>63</v>
      </c>
      <c r="I381" s="3" t="s">
        <v>33</v>
      </c>
      <c r="J381" s="3" t="s">
        <v>1223</v>
      </c>
      <c r="K381" s="3"/>
      <c r="L381" s="19"/>
      <c r="W381">
        <f t="shared" si="5"/>
        <v>2</v>
      </c>
    </row>
    <row r="382" spans="1:23">
      <c r="A382" s="3" t="s">
        <v>608</v>
      </c>
      <c r="B382" t="str">
        <f>IF(_xlfn.XLOOKUP(A382,PARAMETROS!A:A,PARAMETROS!B:B)=0,"",_xlfn.XLOOKUP(A382,PARAMETROS!A:A,PARAMETROS!B:B))</f>
        <v>012009006308</v>
      </c>
      <c r="C382">
        <f>IF(_xlfn.XLOOKUP(A382,PARAMETROS!A:A,PARAMETROS!C:C)=0,"",_xlfn.XLOOKUP(A382,PARAMETROS!A:A,PARAMETROS!C:C))</f>
        <v>12</v>
      </c>
      <c r="D382">
        <f>IF(_xlfn.XLOOKUP(A382,PARAMETROS!A:A,PARAMETROS!D:D)=0,"",_xlfn.XLOOKUP(A382,PARAMETROS!A:A,PARAMETROS!D:D))</f>
        <v>9</v>
      </c>
      <c r="E382" t="str">
        <f>IF(_xlfn.XLOOKUP('PREENCHIMENTO|LETIVAS'!A382,PARAMETROS!A:A,PARAMETROS!I:I)=0,"",_xlfn.XLOOKUP('PREENCHIMENTO|LETIVAS'!A382,PARAMETROS!A:A,PARAMETROS!I:I))</f>
        <v>PROFESSOR REGENTE</v>
      </c>
      <c r="F382" s="3" t="s">
        <v>31</v>
      </c>
      <c r="G382" s="3">
        <v>1</v>
      </c>
      <c r="H382" s="3" t="s">
        <v>39</v>
      </c>
      <c r="I382" s="3" t="s">
        <v>33</v>
      </c>
      <c r="J382" s="3" t="s">
        <v>1224</v>
      </c>
      <c r="K382" s="3"/>
      <c r="L382" s="19"/>
      <c r="W382">
        <f t="shared" si="5"/>
        <v>2</v>
      </c>
    </row>
    <row r="383" spans="1:23">
      <c r="A383" s="3" t="s">
        <v>608</v>
      </c>
      <c r="B383" t="str">
        <f>IF(_xlfn.XLOOKUP(A383,PARAMETROS!A:A,PARAMETROS!B:B)=0,"",_xlfn.XLOOKUP(A383,PARAMETROS!A:A,PARAMETROS!B:B))</f>
        <v>012009006308</v>
      </c>
      <c r="C383">
        <f>IF(_xlfn.XLOOKUP(A383,PARAMETROS!A:A,PARAMETROS!C:C)=0,"",_xlfn.XLOOKUP(A383,PARAMETROS!A:A,PARAMETROS!C:C))</f>
        <v>12</v>
      </c>
      <c r="D383">
        <f>IF(_xlfn.XLOOKUP(A383,PARAMETROS!A:A,PARAMETROS!D:D)=0,"",_xlfn.XLOOKUP(A383,PARAMETROS!A:A,PARAMETROS!D:D))</f>
        <v>9</v>
      </c>
      <c r="E383" t="str">
        <f>IF(_xlfn.XLOOKUP('PREENCHIMENTO|LETIVAS'!A383,PARAMETROS!A:A,PARAMETROS!I:I)=0,"",_xlfn.XLOOKUP('PREENCHIMENTO|LETIVAS'!A383,PARAMETROS!A:A,PARAMETROS!I:I))</f>
        <v>PROFESSOR REGENTE</v>
      </c>
      <c r="F383" s="3" t="s">
        <v>31</v>
      </c>
      <c r="G383" s="3">
        <v>2</v>
      </c>
      <c r="H383" s="3" t="s">
        <v>39</v>
      </c>
      <c r="I383" s="3" t="s">
        <v>40</v>
      </c>
      <c r="J383" s="3" t="s">
        <v>1225</v>
      </c>
      <c r="K383" s="3"/>
      <c r="L383" s="19"/>
      <c r="W383">
        <f t="shared" si="5"/>
        <v>2</v>
      </c>
    </row>
    <row r="384" spans="1:23">
      <c r="A384" s="3" t="s">
        <v>662</v>
      </c>
      <c r="B384" t="str">
        <f>IF(_xlfn.XLOOKUP(A384,PARAMETROS!A:A,PARAMETROS!B:B)=0,"",_xlfn.XLOOKUP(A384,PARAMETROS!A:A,PARAMETROS!B:B))</f>
        <v>012009004054</v>
      </c>
      <c r="C384">
        <f>IF(_xlfn.XLOOKUP(A384,PARAMETROS!A:A,PARAMETROS!C:C)=0,"",_xlfn.XLOOKUP(A384,PARAMETROS!A:A,PARAMETROS!C:C))</f>
        <v>40</v>
      </c>
      <c r="D384">
        <f>IF(_xlfn.XLOOKUP(A384,PARAMETROS!A:A,PARAMETROS!D:D)=0,"",_xlfn.XLOOKUP(A384,PARAMETROS!A:A,PARAMETROS!D:D))</f>
        <v>20</v>
      </c>
      <c r="E384" t="str">
        <f>IF(_xlfn.XLOOKUP('PREENCHIMENTO|LETIVAS'!A384,PARAMETROS!A:A,PARAMETROS!I:I)=0,"",_xlfn.XLOOKUP('PREENCHIMENTO|LETIVAS'!A384,PARAMETROS!A:A,PARAMETROS!I:I))</f>
        <v>PROFESSOR REGENTE</v>
      </c>
      <c r="F384" s="3" t="s">
        <v>31</v>
      </c>
      <c r="G384" s="3" t="s">
        <v>54</v>
      </c>
      <c r="H384" s="3" t="s">
        <v>55</v>
      </c>
      <c r="I384" s="3" t="s">
        <v>33</v>
      </c>
      <c r="J384" s="3" t="s">
        <v>1226</v>
      </c>
      <c r="K384" s="3"/>
      <c r="L384" s="19"/>
      <c r="W384">
        <f t="shared" si="5"/>
        <v>2</v>
      </c>
    </row>
    <row r="385" spans="1:23">
      <c r="A385" s="3" t="s">
        <v>700</v>
      </c>
      <c r="B385" t="str">
        <f>IF(_xlfn.XLOOKUP(A385,PARAMETROS!A:A,PARAMETROS!B:B)=0,"",_xlfn.XLOOKUP(A385,PARAMETROS!A:A,PARAMETROS!B:B))</f>
        <v>012009006356</v>
      </c>
      <c r="C385">
        <f>IF(_xlfn.XLOOKUP(A385,PARAMETROS!A:A,PARAMETROS!C:C)=0,"",_xlfn.XLOOKUP(A385,PARAMETROS!A:A,PARAMETROS!C:C))</f>
        <v>12</v>
      </c>
      <c r="D385">
        <f>IF(_xlfn.XLOOKUP(A385,PARAMETROS!A:A,PARAMETROS!D:D)=0,"",_xlfn.XLOOKUP(A385,PARAMETROS!A:A,PARAMETROS!D:D))</f>
        <v>9</v>
      </c>
      <c r="E385" t="str">
        <f>IF(_xlfn.XLOOKUP('PREENCHIMENTO|LETIVAS'!A385,PARAMETROS!A:A,PARAMETROS!I:I)=0,"",_xlfn.XLOOKUP('PREENCHIMENTO|LETIVAS'!A385,PARAMETROS!A:A,PARAMETROS!I:I))</f>
        <v>PROFESSOR REGENTE</v>
      </c>
      <c r="F385" s="3" t="s">
        <v>31</v>
      </c>
      <c r="G385" s="3">
        <v>1</v>
      </c>
      <c r="H385" s="3" t="s">
        <v>63</v>
      </c>
      <c r="I385" s="3" t="s">
        <v>33</v>
      </c>
      <c r="J385" s="3" t="s">
        <v>1227</v>
      </c>
      <c r="K385" s="3"/>
      <c r="L385" s="19"/>
      <c r="W385">
        <f t="shared" si="5"/>
        <v>2</v>
      </c>
    </row>
    <row r="386" spans="1:23">
      <c r="A386" s="3" t="s">
        <v>856</v>
      </c>
      <c r="B386" t="str">
        <f>IF(_xlfn.XLOOKUP(A386,PARAMETROS!A:A,PARAMETROS!B:B)=0,"",_xlfn.XLOOKUP(A386,PARAMETROS!A:A,PARAMETROS!B:B))</f>
        <v>000000000000</v>
      </c>
      <c r="C386" t="str">
        <f>IF(_xlfn.XLOOKUP(A386,PARAMETROS!A:A,PARAMETROS!C:C)=0,"",_xlfn.XLOOKUP(A386,PARAMETROS!A:A,PARAMETROS!C:C))</f>
        <v/>
      </c>
      <c r="D386" t="str">
        <f>IF(_xlfn.XLOOKUP(A386,PARAMETROS!A:A,PARAMETROS!D:D)=0,"",_xlfn.XLOOKUP(A386,PARAMETROS!A:A,PARAMETROS!D:D))</f>
        <v/>
      </c>
      <c r="E386" t="str">
        <f>IF(_xlfn.XLOOKUP('PREENCHIMENTO|LETIVAS'!A386,PARAMETROS!A:A,PARAMETROS!I:I)=0,"",_xlfn.XLOOKUP('PREENCHIMENTO|LETIVAS'!A386,PARAMETROS!A:A,PARAMETROS!I:I))</f>
        <v>RPA</v>
      </c>
      <c r="F386" s="3" t="s">
        <v>31</v>
      </c>
      <c r="G386" s="3">
        <v>2</v>
      </c>
      <c r="H386" s="3" t="s">
        <v>39</v>
      </c>
      <c r="I386" s="3" t="s">
        <v>33</v>
      </c>
      <c r="J386" s="3" t="s">
        <v>1228</v>
      </c>
      <c r="K386" s="3" t="s">
        <v>1154</v>
      </c>
      <c r="L386" s="19" t="s">
        <v>1042</v>
      </c>
      <c r="W386">
        <f t="shared" si="5"/>
        <v>2</v>
      </c>
    </row>
    <row r="387" spans="1:23">
      <c r="A387" s="3" t="s">
        <v>185</v>
      </c>
      <c r="B387" t="str">
        <f>IF(_xlfn.XLOOKUP(A387,PARAMETROS!A:A,PARAMETROS!B:B)=0,"",_xlfn.XLOOKUP(A387,PARAMETROS!A:A,PARAMETROS!B:B))</f>
        <v>012009005987</v>
      </c>
      <c r="C387">
        <f>IF(_xlfn.XLOOKUP(A387,PARAMETROS!A:A,PARAMETROS!C:C)=0,"",_xlfn.XLOOKUP(A387,PARAMETROS!A:A,PARAMETROS!C:C))</f>
        <v>20</v>
      </c>
      <c r="D387">
        <f>IF(_xlfn.XLOOKUP(A387,PARAMETROS!A:A,PARAMETROS!D:D)=0,"",_xlfn.XLOOKUP(A387,PARAMETROS!A:A,PARAMETROS!D:D))</f>
        <v>2</v>
      </c>
      <c r="E387" t="str">
        <f>IF(_xlfn.XLOOKUP('PREENCHIMENTO|LETIVAS'!A387,PARAMETROS!A:A,PARAMETROS!I:I)=0,"",_xlfn.XLOOKUP('PREENCHIMENTO|LETIVAS'!A387,PARAMETROS!A:A,PARAMETROS!I:I))</f>
        <v>PROFESSOR DE ENSINO SUPERIOR EAD</v>
      </c>
      <c r="F387" s="3" t="s">
        <v>31</v>
      </c>
      <c r="G387" s="3">
        <v>2</v>
      </c>
      <c r="H387" s="3" t="s">
        <v>63</v>
      </c>
      <c r="I387" s="3" t="s">
        <v>40</v>
      </c>
      <c r="J387" s="3" t="s">
        <v>1229</v>
      </c>
      <c r="K387" s="3"/>
      <c r="L387" s="19"/>
      <c r="W387">
        <f t="shared" ref="W387:W449" si="6">IF(I387&lt;&gt;"",2,0)</f>
        <v>2</v>
      </c>
    </row>
    <row r="388" spans="1:23">
      <c r="A388" s="3" t="s">
        <v>736</v>
      </c>
      <c r="B388" t="str">
        <f>IF(_xlfn.XLOOKUP(A388,PARAMETROS!A:A,PARAMETROS!B:B)=0,"",_xlfn.XLOOKUP(A388,PARAMETROS!A:A,PARAMETROS!B:B))</f>
        <v>012009006373</v>
      </c>
      <c r="C388">
        <f>IF(_xlfn.XLOOKUP(A388,PARAMETROS!A:A,PARAMETROS!C:C)=0,"",_xlfn.XLOOKUP(A388,PARAMETROS!A:A,PARAMETROS!C:C))</f>
        <v>12</v>
      </c>
      <c r="D388">
        <f>IF(_xlfn.XLOOKUP(A388,PARAMETROS!A:A,PARAMETROS!D:D)=0,"",_xlfn.XLOOKUP(A388,PARAMETROS!A:A,PARAMETROS!D:D))</f>
        <v>9</v>
      </c>
      <c r="E388" t="str">
        <f>IF(_xlfn.XLOOKUP('PREENCHIMENTO|LETIVAS'!A388,PARAMETROS!A:A,PARAMETROS!I:I)=0,"",_xlfn.XLOOKUP('PREENCHIMENTO|LETIVAS'!A388,PARAMETROS!A:A,PARAMETROS!I:I))</f>
        <v>PROFESSOR REGENTE</v>
      </c>
      <c r="F388" s="3" t="s">
        <v>31</v>
      </c>
      <c r="G388" s="3">
        <v>2</v>
      </c>
      <c r="H388" s="3" t="s">
        <v>39</v>
      </c>
      <c r="I388" s="3" t="s">
        <v>33</v>
      </c>
      <c r="J388" s="3" t="s">
        <v>1230</v>
      </c>
      <c r="K388" s="3"/>
      <c r="L388" s="19"/>
      <c r="W388">
        <f t="shared" si="6"/>
        <v>2</v>
      </c>
    </row>
    <row r="389" spans="1:23">
      <c r="A389" s="3" t="s">
        <v>736</v>
      </c>
      <c r="B389" t="str">
        <f>IF(_xlfn.XLOOKUP(A389,PARAMETROS!A:A,PARAMETROS!B:B)=0,"",_xlfn.XLOOKUP(A389,PARAMETROS!A:A,PARAMETROS!B:B))</f>
        <v>012009006373</v>
      </c>
      <c r="C389">
        <f>IF(_xlfn.XLOOKUP(A389,PARAMETROS!A:A,PARAMETROS!C:C)=0,"",_xlfn.XLOOKUP(A389,PARAMETROS!A:A,PARAMETROS!C:C))</f>
        <v>12</v>
      </c>
      <c r="D389">
        <f>IF(_xlfn.XLOOKUP(A389,PARAMETROS!A:A,PARAMETROS!D:D)=0,"",_xlfn.XLOOKUP(A389,PARAMETROS!A:A,PARAMETROS!D:D))</f>
        <v>9</v>
      </c>
      <c r="E389" t="str">
        <f>IF(_xlfn.XLOOKUP('PREENCHIMENTO|LETIVAS'!A389,PARAMETROS!A:A,PARAMETROS!I:I)=0,"",_xlfn.XLOOKUP('PREENCHIMENTO|LETIVAS'!A389,PARAMETROS!A:A,PARAMETROS!I:I))</f>
        <v>PROFESSOR REGENTE</v>
      </c>
      <c r="F389" s="3" t="s">
        <v>31</v>
      </c>
      <c r="G389" s="3">
        <v>2</v>
      </c>
      <c r="H389" s="3" t="s">
        <v>39</v>
      </c>
      <c r="I389" s="3" t="s">
        <v>40</v>
      </c>
      <c r="J389" s="3" t="s">
        <v>1035</v>
      </c>
      <c r="K389" s="3"/>
      <c r="L389" s="19"/>
      <c r="W389">
        <f t="shared" si="6"/>
        <v>2</v>
      </c>
    </row>
    <row r="390" spans="1:23">
      <c r="A390" s="3" t="s">
        <v>712</v>
      </c>
      <c r="B390" t="str">
        <f>IF(_xlfn.XLOOKUP(A390,PARAMETROS!A:A,PARAMETROS!B:B)=0,"",_xlfn.XLOOKUP(A390,PARAMETROS!A:A,PARAMETROS!B:B))</f>
        <v>012009006376</v>
      </c>
      <c r="C390">
        <f>IF(_xlfn.XLOOKUP(A390,PARAMETROS!A:A,PARAMETROS!C:C)=0,"",_xlfn.XLOOKUP(A390,PARAMETROS!A:A,PARAMETROS!C:C))</f>
        <v>12</v>
      </c>
      <c r="D390">
        <f>IF(_xlfn.XLOOKUP(A390,PARAMETROS!A:A,PARAMETROS!D:D)=0,"",_xlfn.XLOOKUP(A390,PARAMETROS!A:A,PARAMETROS!D:D))</f>
        <v>9</v>
      </c>
      <c r="E390" t="str">
        <f>IF(_xlfn.XLOOKUP('PREENCHIMENTO|LETIVAS'!A390,PARAMETROS!A:A,PARAMETROS!I:I)=0,"",_xlfn.XLOOKUP('PREENCHIMENTO|LETIVAS'!A390,PARAMETROS!A:A,PARAMETROS!I:I))</f>
        <v>PROFESSOR REGENTE</v>
      </c>
      <c r="F390" s="3" t="s">
        <v>31</v>
      </c>
      <c r="G390" s="3">
        <v>2</v>
      </c>
      <c r="H390" s="3" t="s">
        <v>39</v>
      </c>
      <c r="I390" s="3" t="s">
        <v>33</v>
      </c>
      <c r="J390" s="3" t="s">
        <v>1231</v>
      </c>
      <c r="K390" s="3"/>
      <c r="L390" s="19"/>
      <c r="W390">
        <f t="shared" si="6"/>
        <v>2</v>
      </c>
    </row>
    <row r="391" spans="1:23">
      <c r="A391" s="3" t="s">
        <v>712</v>
      </c>
      <c r="B391" t="str">
        <f>IF(_xlfn.XLOOKUP(A391,PARAMETROS!A:A,PARAMETROS!B:B)=0,"",_xlfn.XLOOKUP(A391,PARAMETROS!A:A,PARAMETROS!B:B))</f>
        <v>012009006376</v>
      </c>
      <c r="C391">
        <f>IF(_xlfn.XLOOKUP(A391,PARAMETROS!A:A,PARAMETROS!C:C)=0,"",_xlfn.XLOOKUP(A391,PARAMETROS!A:A,PARAMETROS!C:C))</f>
        <v>12</v>
      </c>
      <c r="D391">
        <f>IF(_xlfn.XLOOKUP(A391,PARAMETROS!A:A,PARAMETROS!D:D)=0,"",_xlfn.XLOOKUP(A391,PARAMETROS!A:A,PARAMETROS!D:D))</f>
        <v>9</v>
      </c>
      <c r="E391" t="str">
        <f>IF(_xlfn.XLOOKUP('PREENCHIMENTO|LETIVAS'!A391,PARAMETROS!A:A,PARAMETROS!I:I)=0,"",_xlfn.XLOOKUP('PREENCHIMENTO|LETIVAS'!A391,PARAMETROS!A:A,PARAMETROS!I:I))</f>
        <v>PROFESSOR REGENTE</v>
      </c>
      <c r="F391" s="3" t="s">
        <v>31</v>
      </c>
      <c r="G391" s="3" t="s">
        <v>54</v>
      </c>
      <c r="H391" s="3" t="s">
        <v>39</v>
      </c>
      <c r="I391" s="3" t="s">
        <v>33</v>
      </c>
      <c r="J391" s="3" t="s">
        <v>1232</v>
      </c>
      <c r="K391" s="3"/>
      <c r="L391" s="19"/>
      <c r="W391">
        <f t="shared" si="6"/>
        <v>2</v>
      </c>
    </row>
    <row r="392" spans="1:23">
      <c r="A392" s="3" t="s">
        <v>733</v>
      </c>
      <c r="B392" t="str">
        <f>IF(_xlfn.XLOOKUP(A392,PARAMETROS!A:A,PARAMETROS!B:B)=0,"",_xlfn.XLOOKUP(A392,PARAMETROS!A:A,PARAMETROS!B:B))</f>
        <v>012009006367</v>
      </c>
      <c r="C392">
        <f>IF(_xlfn.XLOOKUP(A392,PARAMETROS!A:A,PARAMETROS!C:C)=0,"",_xlfn.XLOOKUP(A392,PARAMETROS!A:A,PARAMETROS!C:C))</f>
        <v>12</v>
      </c>
      <c r="D392">
        <f>IF(_xlfn.XLOOKUP(A392,PARAMETROS!A:A,PARAMETROS!D:D)=0,"",_xlfn.XLOOKUP(A392,PARAMETROS!A:A,PARAMETROS!D:D))</f>
        <v>9</v>
      </c>
      <c r="E392" t="str">
        <f>IF(_xlfn.XLOOKUP('PREENCHIMENTO|LETIVAS'!A392,PARAMETROS!A:A,PARAMETROS!I:I)=0,"",_xlfn.XLOOKUP('PREENCHIMENTO|LETIVAS'!A392,PARAMETROS!A:A,PARAMETROS!I:I))</f>
        <v>PROFESSOR REGENTE</v>
      </c>
      <c r="F392" s="3" t="s">
        <v>31</v>
      </c>
      <c r="G392" s="3">
        <v>2</v>
      </c>
      <c r="H392" s="3" t="s">
        <v>39</v>
      </c>
      <c r="I392" s="3" t="s">
        <v>40</v>
      </c>
      <c r="J392" s="3" t="s">
        <v>1202</v>
      </c>
      <c r="K392" s="3"/>
      <c r="L392" s="19"/>
      <c r="W392">
        <f t="shared" si="6"/>
        <v>2</v>
      </c>
    </row>
    <row r="393" spans="1:23">
      <c r="A393" s="3" t="s">
        <v>471</v>
      </c>
      <c r="B393" t="str">
        <f>IF(_xlfn.XLOOKUP(A393,PARAMETROS!A:A,PARAMETROS!B:B)=0,"",_xlfn.XLOOKUP(A393,PARAMETROS!A:A,PARAMETROS!B:B))</f>
        <v>012009002898</v>
      </c>
      <c r="C393">
        <f>IF(_xlfn.XLOOKUP(A393,PARAMETROS!A:A,PARAMETROS!C:C)=0,"",_xlfn.XLOOKUP(A393,PARAMETROS!A:A,PARAMETROS!C:C))</f>
        <v>20</v>
      </c>
      <c r="D393">
        <f>IF(_xlfn.XLOOKUP(A393,PARAMETROS!A:A,PARAMETROS!D:D)=0,"",_xlfn.XLOOKUP(A393,PARAMETROS!A:A,PARAMETROS!D:D))</f>
        <v>2</v>
      </c>
      <c r="E393" t="str">
        <f>IF(_xlfn.XLOOKUP('PREENCHIMENTO|LETIVAS'!A393,PARAMETROS!A:A,PARAMETROS!I:I)=0,"",_xlfn.XLOOKUP('PREENCHIMENTO|LETIVAS'!A393,PARAMETROS!A:A,PARAMETROS!I:I))</f>
        <v>PROFESSOR DE ENSINO SUPERIOR EAD</v>
      </c>
      <c r="F393" s="3" t="s">
        <v>38</v>
      </c>
      <c r="G393" s="3">
        <v>2</v>
      </c>
      <c r="H393" s="3" t="s">
        <v>55</v>
      </c>
      <c r="I393" s="3" t="s">
        <v>40</v>
      </c>
      <c r="J393" s="3" t="s">
        <v>913</v>
      </c>
      <c r="K393" s="3"/>
      <c r="L393" s="19"/>
      <c r="W393">
        <f t="shared" si="6"/>
        <v>2</v>
      </c>
    </row>
    <row r="394" spans="1:23">
      <c r="A394" s="3" t="s">
        <v>471</v>
      </c>
      <c r="B394" t="str">
        <f>IF(_xlfn.XLOOKUP(A394,PARAMETROS!A:A,PARAMETROS!B:B)=0,"",_xlfn.XLOOKUP(A394,PARAMETROS!A:A,PARAMETROS!B:B))</f>
        <v>012009002898</v>
      </c>
      <c r="C394">
        <f>IF(_xlfn.XLOOKUP(A394,PARAMETROS!A:A,PARAMETROS!C:C)=0,"",_xlfn.XLOOKUP(A394,PARAMETROS!A:A,PARAMETROS!C:C))</f>
        <v>20</v>
      </c>
      <c r="D394">
        <f>IF(_xlfn.XLOOKUP(A394,PARAMETROS!A:A,PARAMETROS!D:D)=0,"",_xlfn.XLOOKUP(A394,PARAMETROS!A:A,PARAMETROS!D:D))</f>
        <v>2</v>
      </c>
      <c r="E394" t="str">
        <f>IF(_xlfn.XLOOKUP('PREENCHIMENTO|LETIVAS'!A394,PARAMETROS!A:A,PARAMETROS!I:I)=0,"",_xlfn.XLOOKUP('PREENCHIMENTO|LETIVAS'!A394,PARAMETROS!A:A,PARAMETROS!I:I))</f>
        <v>PROFESSOR DE ENSINO SUPERIOR EAD</v>
      </c>
      <c r="F394" s="3" t="s">
        <v>38</v>
      </c>
      <c r="G394" s="3">
        <v>1</v>
      </c>
      <c r="H394" s="3" t="s">
        <v>55</v>
      </c>
      <c r="I394" s="3" t="s">
        <v>40</v>
      </c>
      <c r="J394" s="3" t="s">
        <v>1233</v>
      </c>
      <c r="K394" s="3"/>
      <c r="L394" s="19"/>
      <c r="W394">
        <f t="shared" si="6"/>
        <v>2</v>
      </c>
    </row>
    <row r="395" spans="1:23">
      <c r="A395" s="3" t="s">
        <v>647</v>
      </c>
      <c r="B395" t="str">
        <f>IF(_xlfn.XLOOKUP(A395,PARAMETROS!A:A,PARAMETROS!B:B)=0,"",_xlfn.XLOOKUP(A395,PARAMETROS!A:A,PARAMETROS!B:B))</f>
        <v>012009003424</v>
      </c>
      <c r="C395">
        <f>IF(_xlfn.XLOOKUP(A395,PARAMETROS!A:A,PARAMETROS!C:C)=0,"",_xlfn.XLOOKUP(A395,PARAMETROS!A:A,PARAMETROS!C:C))</f>
        <v>40</v>
      </c>
      <c r="D395">
        <f>IF(_xlfn.XLOOKUP(A395,PARAMETROS!A:A,PARAMETROS!D:D)=0,"",_xlfn.XLOOKUP(A395,PARAMETROS!A:A,PARAMETROS!D:D))</f>
        <v>20</v>
      </c>
      <c r="E395" t="str">
        <f>IF(_xlfn.XLOOKUP('PREENCHIMENTO|LETIVAS'!A395,PARAMETROS!A:A,PARAMETROS!I:I)=0,"",_xlfn.XLOOKUP('PREENCHIMENTO|LETIVAS'!A395,PARAMETROS!A:A,PARAMETROS!I:I))</f>
        <v>PROFESSOR REGENTE</v>
      </c>
      <c r="F395" s="3" t="s">
        <v>38</v>
      </c>
      <c r="G395" s="3">
        <v>1</v>
      </c>
      <c r="H395" s="3" t="s">
        <v>32</v>
      </c>
      <c r="I395" s="3" t="s">
        <v>33</v>
      </c>
      <c r="J395" s="3" t="s">
        <v>1234</v>
      </c>
      <c r="K395" s="3"/>
      <c r="L395" s="19"/>
      <c r="W395">
        <f t="shared" si="6"/>
        <v>2</v>
      </c>
    </row>
    <row r="396" spans="1:23">
      <c r="A396" s="3" t="s">
        <v>647</v>
      </c>
      <c r="B396" t="str">
        <f>IF(_xlfn.XLOOKUP(A396,PARAMETROS!A:A,PARAMETROS!B:B)=0,"",_xlfn.XLOOKUP(A396,PARAMETROS!A:A,PARAMETROS!B:B))</f>
        <v>012009003424</v>
      </c>
      <c r="C396">
        <f>IF(_xlfn.XLOOKUP(A396,PARAMETROS!A:A,PARAMETROS!C:C)=0,"",_xlfn.XLOOKUP(A396,PARAMETROS!A:A,PARAMETROS!C:C))</f>
        <v>40</v>
      </c>
      <c r="D396">
        <f>IF(_xlfn.XLOOKUP(A396,PARAMETROS!A:A,PARAMETROS!D:D)=0,"",_xlfn.XLOOKUP(A396,PARAMETROS!A:A,PARAMETROS!D:D))</f>
        <v>20</v>
      </c>
      <c r="E396" t="str">
        <f>IF(_xlfn.XLOOKUP('PREENCHIMENTO|LETIVAS'!A396,PARAMETROS!A:A,PARAMETROS!I:I)=0,"",_xlfn.XLOOKUP('PREENCHIMENTO|LETIVAS'!A396,PARAMETROS!A:A,PARAMETROS!I:I))</f>
        <v>PROFESSOR REGENTE</v>
      </c>
      <c r="F396" s="3" t="s">
        <v>38</v>
      </c>
      <c r="G396" s="3">
        <v>1</v>
      </c>
      <c r="H396" s="3" t="s">
        <v>39</v>
      </c>
      <c r="I396" s="3" t="s">
        <v>33</v>
      </c>
      <c r="J396" s="3" t="s">
        <v>1234</v>
      </c>
      <c r="K396" s="3"/>
      <c r="L396" s="19"/>
      <c r="W396">
        <f t="shared" si="6"/>
        <v>2</v>
      </c>
    </row>
    <row r="397" spans="1:23">
      <c r="A397" s="3" t="s">
        <v>647</v>
      </c>
      <c r="B397" t="str">
        <f>IF(_xlfn.XLOOKUP(A397,PARAMETROS!A:A,PARAMETROS!B:B)=0,"",_xlfn.XLOOKUP(A397,PARAMETROS!A:A,PARAMETROS!B:B))</f>
        <v>012009003424</v>
      </c>
      <c r="C397">
        <f>IF(_xlfn.XLOOKUP(A397,PARAMETROS!A:A,PARAMETROS!C:C)=0,"",_xlfn.XLOOKUP(A397,PARAMETROS!A:A,PARAMETROS!C:C))</f>
        <v>40</v>
      </c>
      <c r="D397">
        <f>IF(_xlfn.XLOOKUP(A397,PARAMETROS!A:A,PARAMETROS!D:D)=0,"",_xlfn.XLOOKUP(A397,PARAMETROS!A:A,PARAMETROS!D:D))</f>
        <v>20</v>
      </c>
      <c r="E397" t="str">
        <f>IF(_xlfn.XLOOKUP('PREENCHIMENTO|LETIVAS'!A397,PARAMETROS!A:A,PARAMETROS!I:I)=0,"",_xlfn.XLOOKUP('PREENCHIMENTO|LETIVAS'!A397,PARAMETROS!A:A,PARAMETROS!I:I))</f>
        <v>PROFESSOR REGENTE</v>
      </c>
      <c r="F397" s="3" t="s">
        <v>38</v>
      </c>
      <c r="G397" s="3">
        <v>1</v>
      </c>
      <c r="H397" s="3" t="s">
        <v>55</v>
      </c>
      <c r="I397" s="3" t="s">
        <v>33</v>
      </c>
      <c r="J397" s="3" t="s">
        <v>1234</v>
      </c>
      <c r="K397" s="3"/>
      <c r="L397" s="19"/>
      <c r="W397">
        <f t="shared" si="6"/>
        <v>2</v>
      </c>
    </row>
    <row r="398" spans="1:23">
      <c r="A398" s="3" t="s">
        <v>647</v>
      </c>
      <c r="B398" t="str">
        <f>IF(_xlfn.XLOOKUP(A398,PARAMETROS!A:A,PARAMETROS!B:B)=0,"",_xlfn.XLOOKUP(A398,PARAMETROS!A:A,PARAMETROS!B:B))</f>
        <v>012009003424</v>
      </c>
      <c r="C398">
        <f>IF(_xlfn.XLOOKUP(A398,PARAMETROS!A:A,PARAMETROS!C:C)=0,"",_xlfn.XLOOKUP(A398,PARAMETROS!A:A,PARAMETROS!C:C))</f>
        <v>40</v>
      </c>
      <c r="D398">
        <f>IF(_xlfn.XLOOKUP(A398,PARAMETROS!A:A,PARAMETROS!D:D)=0,"",_xlfn.XLOOKUP(A398,PARAMETROS!A:A,PARAMETROS!D:D))</f>
        <v>20</v>
      </c>
      <c r="E398" t="str">
        <f>IF(_xlfn.XLOOKUP('PREENCHIMENTO|LETIVAS'!A398,PARAMETROS!A:A,PARAMETROS!I:I)=0,"",_xlfn.XLOOKUP('PREENCHIMENTO|LETIVAS'!A398,PARAMETROS!A:A,PARAMETROS!I:I))</f>
        <v>PROFESSOR REGENTE</v>
      </c>
      <c r="F398" s="3" t="s">
        <v>38</v>
      </c>
      <c r="G398" s="3">
        <v>1</v>
      </c>
      <c r="H398" s="3" t="s">
        <v>63</v>
      </c>
      <c r="I398" s="3" t="s">
        <v>33</v>
      </c>
      <c r="J398" s="3" t="s">
        <v>1234</v>
      </c>
      <c r="K398" s="3"/>
      <c r="L398" s="19"/>
      <c r="W398">
        <f t="shared" si="6"/>
        <v>2</v>
      </c>
    </row>
    <row r="399" spans="1:23">
      <c r="A399" s="3" t="s">
        <v>647</v>
      </c>
      <c r="B399" t="str">
        <f>IF(_xlfn.XLOOKUP(A399,PARAMETROS!A:A,PARAMETROS!B:B)=0,"",_xlfn.XLOOKUP(A399,PARAMETROS!A:A,PARAMETROS!B:B))</f>
        <v>012009003424</v>
      </c>
      <c r="C399">
        <f>IF(_xlfn.XLOOKUP(A399,PARAMETROS!A:A,PARAMETROS!C:C)=0,"",_xlfn.XLOOKUP(A399,PARAMETROS!A:A,PARAMETROS!C:C))</f>
        <v>40</v>
      </c>
      <c r="D399">
        <f>IF(_xlfn.XLOOKUP(A399,PARAMETROS!A:A,PARAMETROS!D:D)=0,"",_xlfn.XLOOKUP(A399,PARAMETROS!A:A,PARAMETROS!D:D))</f>
        <v>20</v>
      </c>
      <c r="E399" t="str">
        <f>IF(_xlfn.XLOOKUP('PREENCHIMENTO|LETIVAS'!A399,PARAMETROS!A:A,PARAMETROS!I:I)=0,"",_xlfn.XLOOKUP('PREENCHIMENTO|LETIVAS'!A399,PARAMETROS!A:A,PARAMETROS!I:I))</f>
        <v>PROFESSOR REGENTE</v>
      </c>
      <c r="F399" s="3" t="s">
        <v>38</v>
      </c>
      <c r="G399" s="3">
        <v>1</v>
      </c>
      <c r="H399" s="3" t="s">
        <v>55</v>
      </c>
      <c r="I399" s="3" t="s">
        <v>40</v>
      </c>
      <c r="J399" s="3" t="s">
        <v>1235</v>
      </c>
      <c r="K399" s="3"/>
      <c r="L399" s="19"/>
      <c r="W399">
        <f t="shared" si="6"/>
        <v>2</v>
      </c>
    </row>
    <row r="400" spans="1:23">
      <c r="A400" s="3" t="s">
        <v>647</v>
      </c>
      <c r="B400" t="str">
        <f>IF(_xlfn.XLOOKUP(A400,PARAMETROS!A:A,PARAMETROS!B:B)=0,"",_xlfn.XLOOKUP(A400,PARAMETROS!A:A,PARAMETROS!B:B))</f>
        <v>012009003424</v>
      </c>
      <c r="C400">
        <f>IF(_xlfn.XLOOKUP(A400,PARAMETROS!A:A,PARAMETROS!C:C)=0,"",_xlfn.XLOOKUP(A400,PARAMETROS!A:A,PARAMETROS!C:C))</f>
        <v>40</v>
      </c>
      <c r="D400">
        <f>IF(_xlfn.XLOOKUP(A400,PARAMETROS!A:A,PARAMETROS!D:D)=0,"",_xlfn.XLOOKUP(A400,PARAMETROS!A:A,PARAMETROS!D:D))</f>
        <v>20</v>
      </c>
      <c r="E400" t="str">
        <f>IF(_xlfn.XLOOKUP('PREENCHIMENTO|LETIVAS'!A400,PARAMETROS!A:A,PARAMETROS!I:I)=0,"",_xlfn.XLOOKUP('PREENCHIMENTO|LETIVAS'!A400,PARAMETROS!A:A,PARAMETROS!I:I))</f>
        <v>PROFESSOR REGENTE</v>
      </c>
      <c r="F400" s="3" t="s">
        <v>38</v>
      </c>
      <c r="G400" s="3" t="s">
        <v>54</v>
      </c>
      <c r="H400" s="3" t="s">
        <v>32</v>
      </c>
      <c r="I400" s="3" t="s">
        <v>40</v>
      </c>
      <c r="J400" s="3" t="s">
        <v>1236</v>
      </c>
      <c r="K400" s="3"/>
      <c r="L400" s="19"/>
      <c r="W400">
        <f t="shared" si="6"/>
        <v>2</v>
      </c>
    </row>
    <row r="401" spans="1:23">
      <c r="A401" s="3" t="s">
        <v>647</v>
      </c>
      <c r="B401" t="str">
        <f>IF(_xlfn.XLOOKUP(A401,PARAMETROS!A:A,PARAMETROS!B:B)=0,"",_xlfn.XLOOKUP(A401,PARAMETROS!A:A,PARAMETROS!B:B))</f>
        <v>012009003424</v>
      </c>
      <c r="C401">
        <f>IF(_xlfn.XLOOKUP(A401,PARAMETROS!A:A,PARAMETROS!C:C)=0,"",_xlfn.XLOOKUP(A401,PARAMETROS!A:A,PARAMETROS!C:C))</f>
        <v>40</v>
      </c>
      <c r="D401">
        <f>IF(_xlfn.XLOOKUP(A401,PARAMETROS!A:A,PARAMETROS!D:D)=0,"",_xlfn.XLOOKUP(A401,PARAMETROS!A:A,PARAMETROS!D:D))</f>
        <v>20</v>
      </c>
      <c r="E401" t="str">
        <f>IF(_xlfn.XLOOKUP('PREENCHIMENTO|LETIVAS'!A401,PARAMETROS!A:A,PARAMETROS!I:I)=0,"",_xlfn.XLOOKUP('PREENCHIMENTO|LETIVAS'!A401,PARAMETROS!A:A,PARAMETROS!I:I))</f>
        <v>PROFESSOR REGENTE</v>
      </c>
      <c r="F401" s="3" t="s">
        <v>38</v>
      </c>
      <c r="G401" s="3">
        <v>2</v>
      </c>
      <c r="H401" s="3" t="s">
        <v>32</v>
      </c>
      <c r="I401" s="3" t="s">
        <v>33</v>
      </c>
      <c r="J401" s="3" t="s">
        <v>868</v>
      </c>
      <c r="K401" s="3"/>
      <c r="L401" s="19"/>
      <c r="W401">
        <f t="shared" si="6"/>
        <v>2</v>
      </c>
    </row>
    <row r="402" spans="1:23">
      <c r="A402" s="3" t="s">
        <v>647</v>
      </c>
      <c r="B402" t="str">
        <f>IF(_xlfn.XLOOKUP(A402,PARAMETROS!A:A,PARAMETROS!B:B)=0,"",_xlfn.XLOOKUP(A402,PARAMETROS!A:A,PARAMETROS!B:B))</f>
        <v>012009003424</v>
      </c>
      <c r="C402">
        <f>IF(_xlfn.XLOOKUP(A402,PARAMETROS!A:A,PARAMETROS!C:C)=0,"",_xlfn.XLOOKUP(A402,PARAMETROS!A:A,PARAMETROS!C:C))</f>
        <v>40</v>
      </c>
      <c r="D402">
        <f>IF(_xlfn.XLOOKUP(A402,PARAMETROS!A:A,PARAMETROS!D:D)=0,"",_xlfn.XLOOKUP(A402,PARAMETROS!A:A,PARAMETROS!D:D))</f>
        <v>20</v>
      </c>
      <c r="E402" t="str">
        <f>IF(_xlfn.XLOOKUP('PREENCHIMENTO|LETIVAS'!A402,PARAMETROS!A:A,PARAMETROS!I:I)=0,"",_xlfn.XLOOKUP('PREENCHIMENTO|LETIVAS'!A402,PARAMETROS!A:A,PARAMETROS!I:I))</f>
        <v>PROFESSOR REGENTE</v>
      </c>
      <c r="F402" s="3" t="s">
        <v>38</v>
      </c>
      <c r="G402" s="3">
        <v>2</v>
      </c>
      <c r="H402" s="3" t="s">
        <v>39</v>
      </c>
      <c r="I402" s="3" t="s">
        <v>33</v>
      </c>
      <c r="J402" s="3" t="s">
        <v>1237</v>
      </c>
      <c r="K402" s="3"/>
      <c r="L402" s="19"/>
      <c r="W402">
        <f t="shared" si="6"/>
        <v>2</v>
      </c>
    </row>
    <row r="403" spans="1:23">
      <c r="A403" s="3" t="s">
        <v>148</v>
      </c>
      <c r="B403" t="str">
        <f>IF(_xlfn.XLOOKUP(A403,PARAMETROS!A:A,PARAMETROS!B:B)=0,"",_xlfn.XLOOKUP(A403,PARAMETROS!A:A,PARAMETROS!B:B))</f>
        <v>012009004467</v>
      </c>
      <c r="C403">
        <f>IF(_xlfn.XLOOKUP(A403,PARAMETROS!A:A,PARAMETROS!C:C)=0,"",_xlfn.XLOOKUP(A403,PARAMETROS!A:A,PARAMETROS!C:C))</f>
        <v>40</v>
      </c>
      <c r="D403">
        <f>IF(_xlfn.XLOOKUP(A403,PARAMETROS!A:A,PARAMETROS!D:D)=0,"",_xlfn.XLOOKUP(A403,PARAMETROS!A:A,PARAMETROS!D:D))</f>
        <v>4</v>
      </c>
      <c r="E403" t="str">
        <f>IF(_xlfn.XLOOKUP('PREENCHIMENTO|LETIVAS'!A403,PARAMETROS!A:A,PARAMETROS!I:I)=0,"",_xlfn.XLOOKUP('PREENCHIMENTO|LETIVAS'!A403,PARAMETROS!A:A,PARAMETROS!I:I))</f>
        <v>PROFESSOR DE ENSINO SUPERIOR EAD</v>
      </c>
      <c r="F403" s="3" t="s">
        <v>38</v>
      </c>
      <c r="G403" s="3">
        <v>2</v>
      </c>
      <c r="H403" s="3" t="s">
        <v>55</v>
      </c>
      <c r="I403" s="3" t="s">
        <v>33</v>
      </c>
      <c r="J403" s="3" t="s">
        <v>868</v>
      </c>
      <c r="K403" s="3"/>
      <c r="L403" s="19"/>
      <c r="W403">
        <f t="shared" si="6"/>
        <v>2</v>
      </c>
    </row>
    <row r="404" spans="1:23">
      <c r="A404" s="20" t="s">
        <v>148</v>
      </c>
      <c r="B404" t="str">
        <f>IF(_xlfn.XLOOKUP(A404,PARAMETROS!A:A,PARAMETROS!B:B)=0,"",_xlfn.XLOOKUP(A404,PARAMETROS!A:A,PARAMETROS!B:B))</f>
        <v>012009004467</v>
      </c>
      <c r="C404">
        <f>IF(_xlfn.XLOOKUP(A404,PARAMETROS!A:A,PARAMETROS!C:C)=0,"",_xlfn.XLOOKUP(A404,PARAMETROS!A:A,PARAMETROS!C:C))</f>
        <v>40</v>
      </c>
      <c r="D404">
        <f>IF(_xlfn.XLOOKUP(A404,PARAMETROS!A:A,PARAMETROS!D:D)=0,"",_xlfn.XLOOKUP(A404,PARAMETROS!A:A,PARAMETROS!D:D))</f>
        <v>4</v>
      </c>
      <c r="E404" t="str">
        <f>IF(_xlfn.XLOOKUP('PREENCHIMENTO|LETIVAS'!A404,PARAMETROS!A:A,PARAMETROS!I:I)=0,"",_xlfn.XLOOKUP('PREENCHIMENTO|LETIVAS'!A404,PARAMETROS!A:A,PARAMETROS!I:I))</f>
        <v>PROFESSOR DE ENSINO SUPERIOR EAD</v>
      </c>
      <c r="F404" s="3" t="s">
        <v>38</v>
      </c>
      <c r="G404" s="3">
        <v>1</v>
      </c>
      <c r="H404" s="3" t="s">
        <v>55</v>
      </c>
      <c r="I404" s="3" t="s">
        <v>33</v>
      </c>
      <c r="J404" s="3" t="s">
        <v>1238</v>
      </c>
      <c r="K404" s="3"/>
      <c r="L404" s="19"/>
      <c r="W404">
        <f t="shared" si="6"/>
        <v>2</v>
      </c>
    </row>
    <row r="405" spans="1:23">
      <c r="A405" s="20" t="s">
        <v>386</v>
      </c>
      <c r="B405" t="str">
        <f>IF(_xlfn.XLOOKUP(A405,PARAMETROS!A:A,PARAMETROS!B:B)=0,"",_xlfn.XLOOKUP(A405,PARAMETROS!A:A,PARAMETROS!B:B))</f>
        <v>012009002197</v>
      </c>
      <c r="C405">
        <f>IF(_xlfn.XLOOKUP(A405,PARAMETROS!A:A,PARAMETROS!C:C)=0,"",_xlfn.XLOOKUP(A405,PARAMETROS!A:A,PARAMETROS!C:C))</f>
        <v>40</v>
      </c>
      <c r="D405">
        <f>IF(_xlfn.XLOOKUP(A405,PARAMETROS!A:A,PARAMETROS!D:D)=0,"",_xlfn.XLOOKUP(A405,PARAMETROS!A:A,PARAMETROS!D:D))</f>
        <v>4</v>
      </c>
      <c r="E405" t="str">
        <f>IF(_xlfn.XLOOKUP('PREENCHIMENTO|LETIVAS'!A405,PARAMETROS!A:A,PARAMETROS!I:I)=0,"",_xlfn.XLOOKUP('PREENCHIMENTO|LETIVAS'!A405,PARAMETROS!A:A,PARAMETROS!I:I))</f>
        <v>PROFESSOR DE ENSINO SUPERIOR EAD</v>
      </c>
      <c r="F405" s="3" t="s">
        <v>38</v>
      </c>
      <c r="G405" s="3">
        <v>1</v>
      </c>
      <c r="H405" s="3" t="s">
        <v>55</v>
      </c>
      <c r="I405" s="3" t="s">
        <v>40</v>
      </c>
      <c r="J405" s="3" t="s">
        <v>1239</v>
      </c>
      <c r="K405" s="3"/>
      <c r="L405" s="19"/>
      <c r="W405">
        <f t="shared" si="6"/>
        <v>2</v>
      </c>
    </row>
    <row r="406" spans="1:23">
      <c r="A406" s="20" t="s">
        <v>386</v>
      </c>
      <c r="B406" t="str">
        <f>IF(_xlfn.XLOOKUP(A406,PARAMETROS!A:A,PARAMETROS!B:B)=0,"",_xlfn.XLOOKUP(A406,PARAMETROS!A:A,PARAMETROS!B:B))</f>
        <v>012009002197</v>
      </c>
      <c r="C406">
        <f>IF(_xlfn.XLOOKUP(A406,PARAMETROS!A:A,PARAMETROS!C:C)=0,"",_xlfn.XLOOKUP(A406,PARAMETROS!A:A,PARAMETROS!C:C))</f>
        <v>40</v>
      </c>
      <c r="D406">
        <f>IF(_xlfn.XLOOKUP(A406,PARAMETROS!A:A,PARAMETROS!D:D)=0,"",_xlfn.XLOOKUP(A406,PARAMETROS!A:A,PARAMETROS!D:D))</f>
        <v>4</v>
      </c>
      <c r="E406" t="str">
        <f>IF(_xlfn.XLOOKUP('PREENCHIMENTO|LETIVAS'!A406,PARAMETROS!A:A,PARAMETROS!I:I)=0,"",_xlfn.XLOOKUP('PREENCHIMENTO|LETIVAS'!A406,PARAMETROS!A:A,PARAMETROS!I:I))</f>
        <v>PROFESSOR DE ENSINO SUPERIOR EAD</v>
      </c>
      <c r="F406" s="3" t="s">
        <v>38</v>
      </c>
      <c r="G406" s="3">
        <v>2</v>
      </c>
      <c r="H406" s="3" t="s">
        <v>55</v>
      </c>
      <c r="I406" s="3" t="s">
        <v>40</v>
      </c>
      <c r="J406" s="3" t="s">
        <v>1240</v>
      </c>
      <c r="K406" s="3"/>
      <c r="L406" s="19"/>
      <c r="W406">
        <f t="shared" si="6"/>
        <v>2</v>
      </c>
    </row>
    <row r="407" spans="1:23">
      <c r="A407" s="20" t="s">
        <v>365</v>
      </c>
      <c r="B407" t="str">
        <f>IF(_xlfn.XLOOKUP(A407,PARAMETROS!A:A,PARAMETROS!B:B)=0,"",_xlfn.XLOOKUP(A407,PARAMETROS!A:A,PARAMETROS!B:B))</f>
        <v>012009003465</v>
      </c>
      <c r="C407">
        <f>IF(_xlfn.XLOOKUP(A407,PARAMETROS!A:A,PARAMETROS!C:C)=0,"",_xlfn.XLOOKUP(A407,PARAMETROS!A:A,PARAMETROS!C:C))</f>
        <v>40</v>
      </c>
      <c r="D407">
        <f>IF(_xlfn.XLOOKUP(A407,PARAMETROS!A:A,PARAMETROS!D:D)=0,"",_xlfn.XLOOKUP(A407,PARAMETROS!A:A,PARAMETROS!D:D))</f>
        <v>4</v>
      </c>
      <c r="E407" t="str">
        <f>IF(_xlfn.XLOOKUP('PREENCHIMENTO|LETIVAS'!A407,PARAMETROS!A:A,PARAMETROS!I:I)=0,"",_xlfn.XLOOKUP('PREENCHIMENTO|LETIVAS'!A407,PARAMETROS!A:A,PARAMETROS!I:I))</f>
        <v>PROFESSOR DE ENSINO SUPERIOR EAD</v>
      </c>
      <c r="F407" s="3" t="s">
        <v>38</v>
      </c>
      <c r="G407" s="3">
        <v>2</v>
      </c>
      <c r="H407" s="3" t="s">
        <v>55</v>
      </c>
      <c r="I407" s="3" t="s">
        <v>40</v>
      </c>
      <c r="J407" s="3" t="s">
        <v>1241</v>
      </c>
      <c r="K407" s="3"/>
      <c r="L407" s="19"/>
      <c r="W407">
        <f t="shared" si="6"/>
        <v>2</v>
      </c>
    </row>
    <row r="408" spans="1:23">
      <c r="A408" s="20" t="s">
        <v>365</v>
      </c>
      <c r="B408" t="str">
        <f>IF(_xlfn.XLOOKUP(A408,PARAMETROS!A:A,PARAMETROS!B:B)=0,"",_xlfn.XLOOKUP(A408,PARAMETROS!A:A,PARAMETROS!B:B))</f>
        <v>012009003465</v>
      </c>
      <c r="C408">
        <f>IF(_xlfn.XLOOKUP(A408,PARAMETROS!A:A,PARAMETROS!C:C)=0,"",_xlfn.XLOOKUP(A408,PARAMETROS!A:A,PARAMETROS!C:C))</f>
        <v>40</v>
      </c>
      <c r="D408">
        <f>IF(_xlfn.XLOOKUP(A408,PARAMETROS!A:A,PARAMETROS!D:D)=0,"",_xlfn.XLOOKUP(A408,PARAMETROS!A:A,PARAMETROS!D:D))</f>
        <v>4</v>
      </c>
      <c r="E408" t="str">
        <f>IF(_xlfn.XLOOKUP('PREENCHIMENTO|LETIVAS'!A408,PARAMETROS!A:A,PARAMETROS!I:I)=0,"",_xlfn.XLOOKUP('PREENCHIMENTO|LETIVAS'!A408,PARAMETROS!A:A,PARAMETROS!I:I))</f>
        <v>PROFESSOR DE ENSINO SUPERIOR EAD</v>
      </c>
      <c r="F408" s="3" t="s">
        <v>38</v>
      </c>
      <c r="G408" s="3">
        <v>1</v>
      </c>
      <c r="H408" s="3" t="s">
        <v>32</v>
      </c>
      <c r="I408" s="3" t="s">
        <v>40</v>
      </c>
      <c r="J408" s="3" t="s">
        <v>1242</v>
      </c>
      <c r="K408" s="3"/>
      <c r="L408" s="19"/>
      <c r="W408">
        <f t="shared" si="6"/>
        <v>2</v>
      </c>
    </row>
    <row r="409" spans="1:23">
      <c r="A409" s="20" t="s">
        <v>365</v>
      </c>
      <c r="B409" t="str">
        <f>IF(_xlfn.XLOOKUP(A409,PARAMETROS!A:A,PARAMETROS!B:B)=0,"",_xlfn.XLOOKUP(A409,PARAMETROS!A:A,PARAMETROS!B:B))</f>
        <v>012009003465</v>
      </c>
      <c r="C409">
        <f>IF(_xlfn.XLOOKUP(A409,PARAMETROS!A:A,PARAMETROS!C:C)=0,"",_xlfn.XLOOKUP(A409,PARAMETROS!A:A,PARAMETROS!C:C))</f>
        <v>40</v>
      </c>
      <c r="D409">
        <f>IF(_xlfn.XLOOKUP(A409,PARAMETROS!A:A,PARAMETROS!D:D)=0,"",_xlfn.XLOOKUP(A409,PARAMETROS!A:A,PARAMETROS!D:D))</f>
        <v>4</v>
      </c>
      <c r="E409" t="str">
        <f>IF(_xlfn.XLOOKUP('PREENCHIMENTO|LETIVAS'!A409,PARAMETROS!A:A,PARAMETROS!I:I)=0,"",_xlfn.XLOOKUP('PREENCHIMENTO|LETIVAS'!A409,PARAMETROS!A:A,PARAMETROS!I:I))</f>
        <v>PROFESSOR DE ENSINO SUPERIOR EAD</v>
      </c>
      <c r="F409" s="3" t="s">
        <v>38</v>
      </c>
      <c r="G409" s="3">
        <v>2</v>
      </c>
      <c r="H409" s="3" t="s">
        <v>32</v>
      </c>
      <c r="I409" s="3" t="s">
        <v>40</v>
      </c>
      <c r="J409" s="3" t="s">
        <v>1241</v>
      </c>
      <c r="K409" s="3"/>
      <c r="L409" s="19"/>
      <c r="W409">
        <f t="shared" si="6"/>
        <v>2</v>
      </c>
    </row>
    <row r="410" spans="1:23">
      <c r="A410" s="20" t="s">
        <v>365</v>
      </c>
      <c r="B410" t="str">
        <f>IF(_xlfn.XLOOKUP(A410,PARAMETROS!A:A,PARAMETROS!B:B)=0,"",_xlfn.XLOOKUP(A410,PARAMETROS!A:A,PARAMETROS!B:B))</f>
        <v>012009003465</v>
      </c>
      <c r="C410">
        <f>IF(_xlfn.XLOOKUP(A410,PARAMETROS!A:A,PARAMETROS!C:C)=0,"",_xlfn.XLOOKUP(A410,PARAMETROS!A:A,PARAMETROS!C:C))</f>
        <v>40</v>
      </c>
      <c r="D410">
        <f>IF(_xlfn.XLOOKUP(A410,PARAMETROS!A:A,PARAMETROS!D:D)=0,"",_xlfn.XLOOKUP(A410,PARAMETROS!A:A,PARAMETROS!D:D))</f>
        <v>4</v>
      </c>
      <c r="E410" t="str">
        <f>IF(_xlfn.XLOOKUP('PREENCHIMENTO|LETIVAS'!A410,PARAMETROS!A:A,PARAMETROS!I:I)=0,"",_xlfn.XLOOKUP('PREENCHIMENTO|LETIVAS'!A410,PARAMETROS!A:A,PARAMETROS!I:I))</f>
        <v>PROFESSOR DE ENSINO SUPERIOR EAD</v>
      </c>
      <c r="F410" s="3" t="s">
        <v>38</v>
      </c>
      <c r="G410" s="3">
        <v>1</v>
      </c>
      <c r="H410" s="3" t="s">
        <v>55</v>
      </c>
      <c r="I410" s="3" t="s">
        <v>40</v>
      </c>
      <c r="J410" s="3" t="s">
        <v>1243</v>
      </c>
      <c r="K410" s="3"/>
      <c r="L410" s="19"/>
      <c r="W410">
        <f t="shared" si="6"/>
        <v>2</v>
      </c>
    </row>
    <row r="411" spans="1:23">
      <c r="A411" s="20" t="s">
        <v>228</v>
      </c>
      <c r="B411" t="str">
        <f>IF(_xlfn.XLOOKUP(A411,PARAMETROS!A:A,PARAMETROS!B:B)=0,"",_xlfn.XLOOKUP(A411,PARAMETROS!A:A,PARAMETROS!B:B))</f>
        <v>012009003473</v>
      </c>
      <c r="C411">
        <f>IF(_xlfn.XLOOKUP(A411,PARAMETROS!A:A,PARAMETROS!C:C)=0,"",_xlfn.XLOOKUP(A411,PARAMETROS!A:A,PARAMETROS!C:C))</f>
        <v>40</v>
      </c>
      <c r="D411">
        <f>IF(_xlfn.XLOOKUP(A411,PARAMETROS!A:A,PARAMETROS!D:D)=0,"",_xlfn.XLOOKUP(A411,PARAMETROS!A:A,PARAMETROS!D:D))</f>
        <v>4</v>
      </c>
      <c r="E411" t="str">
        <f>IF(_xlfn.XLOOKUP('PREENCHIMENTO|LETIVAS'!A411,PARAMETROS!A:A,PARAMETROS!I:I)=0,"",_xlfn.XLOOKUP('PREENCHIMENTO|LETIVAS'!A411,PARAMETROS!A:A,PARAMETROS!I:I))</f>
        <v>PROFESSOR DE ENSINO SUPERIOR EAD</v>
      </c>
      <c r="F411" s="3" t="s">
        <v>38</v>
      </c>
      <c r="G411" s="3">
        <v>2</v>
      </c>
      <c r="H411" s="3" t="s">
        <v>55</v>
      </c>
      <c r="I411" s="3" t="s">
        <v>40</v>
      </c>
      <c r="J411" s="3" t="s">
        <v>1237</v>
      </c>
      <c r="K411" s="3"/>
      <c r="L411" s="19"/>
      <c r="W411">
        <f t="shared" si="6"/>
        <v>2</v>
      </c>
    </row>
    <row r="412" spans="1:23">
      <c r="A412" s="20" t="s">
        <v>228</v>
      </c>
      <c r="B412" t="str">
        <f>IF(_xlfn.XLOOKUP(A412,PARAMETROS!A:A,PARAMETROS!B:B)=0,"",_xlfn.XLOOKUP(A412,PARAMETROS!A:A,PARAMETROS!B:B))</f>
        <v>012009003473</v>
      </c>
      <c r="C412">
        <f>IF(_xlfn.XLOOKUP(A412,PARAMETROS!A:A,PARAMETROS!C:C)=0,"",_xlfn.XLOOKUP(A412,PARAMETROS!A:A,PARAMETROS!C:C))</f>
        <v>40</v>
      </c>
      <c r="D412">
        <f>IF(_xlfn.XLOOKUP(A412,PARAMETROS!A:A,PARAMETROS!D:D)=0,"",_xlfn.XLOOKUP(A412,PARAMETROS!A:A,PARAMETROS!D:D))</f>
        <v>4</v>
      </c>
      <c r="E412" t="str">
        <f>IF(_xlfn.XLOOKUP('PREENCHIMENTO|LETIVAS'!A412,PARAMETROS!A:A,PARAMETROS!I:I)=0,"",_xlfn.XLOOKUP('PREENCHIMENTO|LETIVAS'!A412,PARAMETROS!A:A,PARAMETROS!I:I))</f>
        <v>PROFESSOR DE ENSINO SUPERIOR EAD</v>
      </c>
      <c r="F412" s="3" t="s">
        <v>38</v>
      </c>
      <c r="G412" s="3">
        <v>2</v>
      </c>
      <c r="H412" s="3" t="s">
        <v>32</v>
      </c>
      <c r="I412" s="3" t="s">
        <v>33</v>
      </c>
      <c r="J412" s="3" t="s">
        <v>1235</v>
      </c>
      <c r="K412" s="3"/>
      <c r="L412" s="19"/>
      <c r="W412">
        <f t="shared" si="6"/>
        <v>2</v>
      </c>
    </row>
    <row r="413" spans="1:23">
      <c r="A413" s="20" t="s">
        <v>709</v>
      </c>
      <c r="B413" t="str">
        <f>IF(_xlfn.XLOOKUP(A413,PARAMETROS!A:A,PARAMETROS!B:B)=0,"",_xlfn.XLOOKUP(A413,PARAMETROS!A:A,PARAMETROS!B:B))</f>
        <v>012009006366</v>
      </c>
      <c r="C413">
        <f>IF(_xlfn.XLOOKUP(A413,PARAMETROS!A:A,PARAMETROS!C:C)=0,"",_xlfn.XLOOKUP(A413,PARAMETROS!A:A,PARAMETROS!C:C))</f>
        <v>12</v>
      </c>
      <c r="D413">
        <f>IF(_xlfn.XLOOKUP(A413,PARAMETROS!A:A,PARAMETROS!D:D)=0,"",_xlfn.XLOOKUP(A413,PARAMETROS!A:A,PARAMETROS!D:D))</f>
        <v>9</v>
      </c>
      <c r="E413" t="str">
        <f>IF(_xlfn.XLOOKUP('PREENCHIMENTO|LETIVAS'!A413,PARAMETROS!A:A,PARAMETROS!I:I)=0,"",_xlfn.XLOOKUP('PREENCHIMENTO|LETIVAS'!A413,PARAMETROS!A:A,PARAMETROS!I:I))</f>
        <v>PROFESSOR REGENTE</v>
      </c>
      <c r="F413" s="3" t="s">
        <v>38</v>
      </c>
      <c r="G413" s="3">
        <v>1</v>
      </c>
      <c r="H413" s="3" t="s">
        <v>39</v>
      </c>
      <c r="I413" s="3" t="s">
        <v>40</v>
      </c>
      <c r="J413" s="3" t="s">
        <v>1244</v>
      </c>
      <c r="K413" s="3"/>
      <c r="L413" s="19"/>
      <c r="W413">
        <f t="shared" si="6"/>
        <v>2</v>
      </c>
    </row>
    <row r="414" spans="1:23">
      <c r="A414" s="3" t="s">
        <v>709</v>
      </c>
      <c r="B414" t="str">
        <f>IF(_xlfn.XLOOKUP(A414,PARAMETROS!A:A,PARAMETROS!B:B)=0,"",_xlfn.XLOOKUP(A414,PARAMETROS!A:A,PARAMETROS!B:B))</f>
        <v>012009006366</v>
      </c>
      <c r="C414">
        <f>IF(_xlfn.XLOOKUP(A414,PARAMETROS!A:A,PARAMETROS!C:C)=0,"",_xlfn.XLOOKUP(A414,PARAMETROS!A:A,PARAMETROS!C:C))</f>
        <v>12</v>
      </c>
      <c r="D414">
        <f>IF(_xlfn.XLOOKUP(A414,PARAMETROS!A:A,PARAMETROS!D:D)=0,"",_xlfn.XLOOKUP(A414,PARAMETROS!A:A,PARAMETROS!D:D))</f>
        <v>9</v>
      </c>
      <c r="E414" t="str">
        <f>IF(_xlfn.XLOOKUP('PREENCHIMENTO|LETIVAS'!A414,PARAMETROS!A:A,PARAMETROS!I:I)=0,"",_xlfn.XLOOKUP('PREENCHIMENTO|LETIVAS'!A414,PARAMETROS!A:A,PARAMETROS!I:I))</f>
        <v>PROFESSOR REGENTE</v>
      </c>
      <c r="F414" s="3" t="s">
        <v>38</v>
      </c>
      <c r="G414" s="3" t="s">
        <v>54</v>
      </c>
      <c r="H414" s="3" t="s">
        <v>63</v>
      </c>
      <c r="I414" s="3" t="s">
        <v>40</v>
      </c>
      <c r="J414" s="3" t="s">
        <v>1245</v>
      </c>
      <c r="K414" s="3"/>
      <c r="L414" s="19"/>
      <c r="W414">
        <f t="shared" si="6"/>
        <v>2</v>
      </c>
    </row>
    <row r="415" spans="1:23">
      <c r="A415" s="3" t="s">
        <v>709</v>
      </c>
      <c r="B415" t="str">
        <f>IF(_xlfn.XLOOKUP(A415,PARAMETROS!A:A,PARAMETROS!B:B)=0,"",_xlfn.XLOOKUP(A415,PARAMETROS!A:A,PARAMETROS!B:B))</f>
        <v>012009006366</v>
      </c>
      <c r="C415">
        <f>IF(_xlfn.XLOOKUP(A415,PARAMETROS!A:A,PARAMETROS!C:C)=0,"",_xlfn.XLOOKUP(A415,PARAMETROS!A:A,PARAMETROS!C:C))</f>
        <v>12</v>
      </c>
      <c r="D415">
        <f>IF(_xlfn.XLOOKUP(A415,PARAMETROS!A:A,PARAMETROS!D:D)=0,"",_xlfn.XLOOKUP(A415,PARAMETROS!A:A,PARAMETROS!D:D))</f>
        <v>9</v>
      </c>
      <c r="E415" t="str">
        <f>IF(_xlfn.XLOOKUP('PREENCHIMENTO|LETIVAS'!A415,PARAMETROS!A:A,PARAMETROS!I:I)=0,"",_xlfn.XLOOKUP('PREENCHIMENTO|LETIVAS'!A415,PARAMETROS!A:A,PARAMETROS!I:I))</f>
        <v>PROFESSOR REGENTE</v>
      </c>
      <c r="F415" s="3" t="s">
        <v>38</v>
      </c>
      <c r="G415" s="3" t="s">
        <v>54</v>
      </c>
      <c r="H415" s="3" t="s">
        <v>63</v>
      </c>
      <c r="I415" s="3" t="s">
        <v>33</v>
      </c>
      <c r="J415" s="3" t="s">
        <v>1246</v>
      </c>
      <c r="K415" s="3"/>
      <c r="L415" s="19"/>
      <c r="W415">
        <f t="shared" si="6"/>
        <v>2</v>
      </c>
    </row>
    <row r="416" spans="1:23">
      <c r="A416" s="3" t="s">
        <v>709</v>
      </c>
      <c r="B416" t="str">
        <f>IF(_xlfn.XLOOKUP(A416,PARAMETROS!A:A,PARAMETROS!B:B)=0,"",_xlfn.XLOOKUP(A416,PARAMETROS!A:A,PARAMETROS!B:B))</f>
        <v>012009006366</v>
      </c>
      <c r="C416">
        <f>IF(_xlfn.XLOOKUP(A416,PARAMETROS!A:A,PARAMETROS!C:C)=0,"",_xlfn.XLOOKUP(A416,PARAMETROS!A:A,PARAMETROS!C:C))</f>
        <v>12</v>
      </c>
      <c r="D416">
        <f>IF(_xlfn.XLOOKUP(A416,PARAMETROS!A:A,PARAMETROS!D:D)=0,"",_xlfn.XLOOKUP(A416,PARAMETROS!A:A,PARAMETROS!D:D))</f>
        <v>9</v>
      </c>
      <c r="E416" t="str">
        <f>IF(_xlfn.XLOOKUP('PREENCHIMENTO|LETIVAS'!A416,PARAMETROS!A:A,PARAMETROS!I:I)=0,"",_xlfn.XLOOKUP('PREENCHIMENTO|LETIVAS'!A416,PARAMETROS!A:A,PARAMETROS!I:I))</f>
        <v>PROFESSOR REGENTE</v>
      </c>
      <c r="F416" s="3" t="s">
        <v>38</v>
      </c>
      <c r="G416" s="3">
        <v>2</v>
      </c>
      <c r="H416" s="3" t="s">
        <v>39</v>
      </c>
      <c r="I416" s="3" t="s">
        <v>33</v>
      </c>
      <c r="J416" s="3" t="s">
        <v>1247</v>
      </c>
      <c r="K416" s="3"/>
      <c r="L416" s="19"/>
      <c r="W416">
        <f t="shared" si="6"/>
        <v>2</v>
      </c>
    </row>
    <row r="417" spans="1:23">
      <c r="A417" s="3" t="s">
        <v>465</v>
      </c>
      <c r="B417" t="str">
        <f>IF(_xlfn.XLOOKUP(A417,PARAMETROS!A:A,PARAMETROS!B:B)=0,"",_xlfn.XLOOKUP(A417,PARAMETROS!A:A,PARAMETROS!B:B))</f>
        <v>012009005662</v>
      </c>
      <c r="C417">
        <f>IF(_xlfn.XLOOKUP(A417,PARAMETROS!A:A,PARAMETROS!C:C)=0,"",_xlfn.XLOOKUP(A417,PARAMETROS!A:A,PARAMETROS!C:C))</f>
        <v>40</v>
      </c>
      <c r="D417">
        <f>IF(_xlfn.XLOOKUP(A417,PARAMETROS!A:A,PARAMETROS!D:D)=0,"",_xlfn.XLOOKUP(A417,PARAMETROS!A:A,PARAMETROS!D:D))</f>
        <v>4</v>
      </c>
      <c r="E417" t="str">
        <f>IF(_xlfn.XLOOKUP('PREENCHIMENTO|LETIVAS'!A417,PARAMETROS!A:A,PARAMETROS!I:I)=0,"",_xlfn.XLOOKUP('PREENCHIMENTO|LETIVAS'!A417,PARAMETROS!A:A,PARAMETROS!I:I))</f>
        <v>PROFESSOR DE ENSINO SUPERIOR EAD</v>
      </c>
      <c r="F417" s="3" t="s">
        <v>38</v>
      </c>
      <c r="G417" s="3" t="s">
        <v>54</v>
      </c>
      <c r="H417" s="3" t="s">
        <v>39</v>
      </c>
      <c r="I417" s="3" t="s">
        <v>40</v>
      </c>
      <c r="J417" s="3" t="s">
        <v>1248</v>
      </c>
      <c r="K417" s="3"/>
      <c r="L417" s="19"/>
      <c r="W417">
        <f t="shared" si="6"/>
        <v>2</v>
      </c>
    </row>
    <row r="418" spans="1:23">
      <c r="A418" s="3" t="s">
        <v>465</v>
      </c>
      <c r="B418" t="str">
        <f>IF(_xlfn.XLOOKUP(A418,PARAMETROS!A:A,PARAMETROS!B:B)=0,"",_xlfn.XLOOKUP(A418,PARAMETROS!A:A,PARAMETROS!B:B))</f>
        <v>012009005662</v>
      </c>
      <c r="C418">
        <f>IF(_xlfn.XLOOKUP(A418,PARAMETROS!A:A,PARAMETROS!C:C)=0,"",_xlfn.XLOOKUP(A418,PARAMETROS!A:A,PARAMETROS!C:C))</f>
        <v>40</v>
      </c>
      <c r="D418">
        <f>IF(_xlfn.XLOOKUP(A418,PARAMETROS!A:A,PARAMETROS!D:D)=0,"",_xlfn.XLOOKUP(A418,PARAMETROS!A:A,PARAMETROS!D:D))</f>
        <v>4</v>
      </c>
      <c r="E418" t="str">
        <f>IF(_xlfn.XLOOKUP('PREENCHIMENTO|LETIVAS'!A418,PARAMETROS!A:A,PARAMETROS!I:I)=0,"",_xlfn.XLOOKUP('PREENCHIMENTO|LETIVAS'!A418,PARAMETROS!A:A,PARAMETROS!I:I))</f>
        <v>PROFESSOR DE ENSINO SUPERIOR EAD</v>
      </c>
      <c r="F418" s="3" t="s">
        <v>38</v>
      </c>
      <c r="G418" s="3">
        <v>1</v>
      </c>
      <c r="H418" s="3" t="s">
        <v>39</v>
      </c>
      <c r="I418" s="3" t="s">
        <v>33</v>
      </c>
      <c r="J418" s="3" t="s">
        <v>1246</v>
      </c>
      <c r="K418" s="3"/>
      <c r="L418" s="19"/>
      <c r="W418">
        <f t="shared" si="6"/>
        <v>2</v>
      </c>
    </row>
    <row r="419" spans="1:23">
      <c r="A419" s="20" t="s">
        <v>465</v>
      </c>
      <c r="B419" t="str">
        <f>IF(_xlfn.XLOOKUP(A419,PARAMETROS!A:A,PARAMETROS!B:B)=0,"",_xlfn.XLOOKUP(A419,PARAMETROS!A:A,PARAMETROS!B:B))</f>
        <v>012009005662</v>
      </c>
      <c r="C419">
        <f>IF(_xlfn.XLOOKUP(A419,PARAMETROS!A:A,PARAMETROS!C:C)=0,"",_xlfn.XLOOKUP(A419,PARAMETROS!A:A,PARAMETROS!C:C))</f>
        <v>40</v>
      </c>
      <c r="D419">
        <f>IF(_xlfn.XLOOKUP(A419,PARAMETROS!A:A,PARAMETROS!D:D)=0,"",_xlfn.XLOOKUP(A419,PARAMETROS!A:A,PARAMETROS!D:D))</f>
        <v>4</v>
      </c>
      <c r="E419" t="str">
        <f>IF(_xlfn.XLOOKUP('PREENCHIMENTO|LETIVAS'!A419,PARAMETROS!A:A,PARAMETROS!I:I)=0,"",_xlfn.XLOOKUP('PREENCHIMENTO|LETIVAS'!A419,PARAMETROS!A:A,PARAMETROS!I:I))</f>
        <v>PROFESSOR DE ENSINO SUPERIOR EAD</v>
      </c>
      <c r="F419" s="3" t="s">
        <v>38</v>
      </c>
      <c r="G419" s="3">
        <v>2</v>
      </c>
      <c r="H419" s="3" t="s">
        <v>39</v>
      </c>
      <c r="I419" s="3" t="s">
        <v>40</v>
      </c>
      <c r="J419" s="3" t="s">
        <v>1249</v>
      </c>
      <c r="K419" s="3"/>
      <c r="L419" s="19"/>
      <c r="W419">
        <f t="shared" si="6"/>
        <v>2</v>
      </c>
    </row>
    <row r="420" spans="1:23">
      <c r="A420" s="3" t="s">
        <v>697</v>
      </c>
      <c r="B420" t="str">
        <f>IF(_xlfn.XLOOKUP(A420,PARAMETROS!A:A,PARAMETROS!B:B)=0,"",_xlfn.XLOOKUP(A420,PARAMETROS!A:A,PARAMETROS!B:B))</f>
        <v>012009006359</v>
      </c>
      <c r="C420">
        <f>IF(_xlfn.XLOOKUP(A420,PARAMETROS!A:A,PARAMETROS!C:C)=0,"",_xlfn.XLOOKUP(A420,PARAMETROS!A:A,PARAMETROS!C:C))</f>
        <v>40</v>
      </c>
      <c r="D420">
        <f>IF(_xlfn.XLOOKUP(A420,PARAMETROS!A:A,PARAMETROS!D:D)=0,"",_xlfn.XLOOKUP(A420,PARAMETROS!A:A,PARAMETROS!D:D))</f>
        <v>20</v>
      </c>
      <c r="E420" t="str">
        <f>IF(_xlfn.XLOOKUP('PREENCHIMENTO|LETIVAS'!A420,PARAMETROS!A:A,PARAMETROS!I:I)=0,"",_xlfn.XLOOKUP('PREENCHIMENTO|LETIVAS'!A420,PARAMETROS!A:A,PARAMETROS!I:I))</f>
        <v>PROFESSOR REGENTE</v>
      </c>
      <c r="F420" s="3" t="s">
        <v>38</v>
      </c>
      <c r="G420" s="3" t="s">
        <v>54</v>
      </c>
      <c r="H420" s="3" t="s">
        <v>32</v>
      </c>
      <c r="I420" s="3" t="s">
        <v>33</v>
      </c>
      <c r="J420" s="3" t="s">
        <v>1234</v>
      </c>
      <c r="K420" s="3"/>
      <c r="L420" s="19"/>
      <c r="W420">
        <f t="shared" si="6"/>
        <v>2</v>
      </c>
    </row>
    <row r="421" spans="1:23">
      <c r="A421" s="3" t="s">
        <v>697</v>
      </c>
      <c r="B421" t="str">
        <f>IF(_xlfn.XLOOKUP(A421,PARAMETROS!A:A,PARAMETROS!B:B)=0,"",_xlfn.XLOOKUP(A421,PARAMETROS!A:A,PARAMETROS!B:B))</f>
        <v>012009006359</v>
      </c>
      <c r="C421">
        <f>IF(_xlfn.XLOOKUP(A421,PARAMETROS!A:A,PARAMETROS!C:C)=0,"",_xlfn.XLOOKUP(A421,PARAMETROS!A:A,PARAMETROS!C:C))</f>
        <v>40</v>
      </c>
      <c r="D421">
        <f>IF(_xlfn.XLOOKUP(A421,PARAMETROS!A:A,PARAMETROS!D:D)=0,"",_xlfn.XLOOKUP(A421,PARAMETROS!A:A,PARAMETROS!D:D))</f>
        <v>20</v>
      </c>
      <c r="E421" t="str">
        <f>IF(_xlfn.XLOOKUP('PREENCHIMENTO|LETIVAS'!A421,PARAMETROS!A:A,PARAMETROS!I:I)=0,"",_xlfn.XLOOKUP('PREENCHIMENTO|LETIVAS'!A421,PARAMETROS!A:A,PARAMETROS!I:I))</f>
        <v>PROFESSOR REGENTE</v>
      </c>
      <c r="F421" s="3" t="s">
        <v>38</v>
      </c>
      <c r="G421" s="3" t="s">
        <v>54</v>
      </c>
      <c r="H421" s="3" t="s">
        <v>55</v>
      </c>
      <c r="I421" s="3" t="s">
        <v>33</v>
      </c>
      <c r="J421" s="3" t="s">
        <v>1234</v>
      </c>
      <c r="K421" s="3"/>
      <c r="L421" s="19"/>
      <c r="W421">
        <f t="shared" si="6"/>
        <v>2</v>
      </c>
    </row>
    <row r="422" spans="1:23">
      <c r="A422" s="3" t="s">
        <v>697</v>
      </c>
      <c r="B422" t="str">
        <f>IF(_xlfn.XLOOKUP(A422,PARAMETROS!A:A,PARAMETROS!B:B)=0,"",_xlfn.XLOOKUP(A422,PARAMETROS!A:A,PARAMETROS!B:B))</f>
        <v>012009006359</v>
      </c>
      <c r="C422">
        <f>IF(_xlfn.XLOOKUP(A422,PARAMETROS!A:A,PARAMETROS!C:C)=0,"",_xlfn.XLOOKUP(A422,PARAMETROS!A:A,PARAMETROS!C:C))</f>
        <v>40</v>
      </c>
      <c r="D422">
        <f>IF(_xlfn.XLOOKUP(A422,PARAMETROS!A:A,PARAMETROS!D:D)=0,"",_xlfn.XLOOKUP(A422,PARAMETROS!A:A,PARAMETROS!D:D))</f>
        <v>20</v>
      </c>
      <c r="E422" t="str">
        <f>IF(_xlfn.XLOOKUP('PREENCHIMENTO|LETIVAS'!A422,PARAMETROS!A:A,PARAMETROS!I:I)=0,"",_xlfn.XLOOKUP('PREENCHIMENTO|LETIVAS'!A422,PARAMETROS!A:A,PARAMETROS!I:I))</f>
        <v>PROFESSOR REGENTE</v>
      </c>
      <c r="F422" s="3" t="s">
        <v>38</v>
      </c>
      <c r="G422" s="3" t="s">
        <v>54</v>
      </c>
      <c r="H422" s="3" t="s">
        <v>63</v>
      </c>
      <c r="I422" s="3" t="s">
        <v>33</v>
      </c>
      <c r="J422" s="20" t="s">
        <v>1234</v>
      </c>
      <c r="K422" s="3"/>
      <c r="L422" s="19"/>
      <c r="W422">
        <f t="shared" si="6"/>
        <v>2</v>
      </c>
    </row>
    <row r="423" spans="1:23">
      <c r="A423" s="3" t="s">
        <v>703</v>
      </c>
      <c r="B423" t="str">
        <f>IF(_xlfn.XLOOKUP(A423,PARAMETROS!A:A,PARAMETROS!B:B)=0,"",_xlfn.XLOOKUP(A423,PARAMETROS!A:A,PARAMETROS!B:B))</f>
        <v>012009006333</v>
      </c>
      <c r="C423">
        <f>IF(_xlfn.XLOOKUP(A423,PARAMETROS!A:A,PARAMETROS!C:C)=0,"",_xlfn.XLOOKUP(A423,PARAMETROS!A:A,PARAMETROS!C:C))</f>
        <v>12</v>
      </c>
      <c r="D423">
        <f>IF(_xlfn.XLOOKUP(A423,PARAMETROS!A:A,PARAMETROS!D:D)=0,"",_xlfn.XLOOKUP(A423,PARAMETROS!A:A,PARAMETROS!D:D))</f>
        <v>9</v>
      </c>
      <c r="E423" t="str">
        <f>IF(_xlfn.XLOOKUP('PREENCHIMENTO|LETIVAS'!A423,PARAMETROS!A:A,PARAMETROS!I:I)=0,"",_xlfn.XLOOKUP('PREENCHIMENTO|LETIVAS'!A423,PARAMETROS!A:A,PARAMETROS!I:I))</f>
        <v>PROFESSOR REGENTE</v>
      </c>
      <c r="F423" s="3" t="s">
        <v>38</v>
      </c>
      <c r="G423" s="3" t="s">
        <v>54</v>
      </c>
      <c r="H423" s="3" t="s">
        <v>32</v>
      </c>
      <c r="I423" s="3" t="s">
        <v>33</v>
      </c>
      <c r="J423" s="3" t="s">
        <v>1250</v>
      </c>
      <c r="K423" s="3"/>
      <c r="L423" s="19"/>
      <c r="W423">
        <f t="shared" si="6"/>
        <v>2</v>
      </c>
    </row>
    <row r="424" spans="1:23">
      <c r="A424" s="3" t="s">
        <v>703</v>
      </c>
      <c r="B424" t="str">
        <f>IF(_xlfn.XLOOKUP(A424,PARAMETROS!A:A,PARAMETROS!B:B)=0,"",_xlfn.XLOOKUP(A424,PARAMETROS!A:A,PARAMETROS!B:B))</f>
        <v>012009006333</v>
      </c>
      <c r="C424">
        <f>IF(_xlfn.XLOOKUP(A424,PARAMETROS!A:A,PARAMETROS!C:C)=0,"",_xlfn.XLOOKUP(A424,PARAMETROS!A:A,PARAMETROS!C:C))</f>
        <v>12</v>
      </c>
      <c r="D424">
        <f>IF(_xlfn.XLOOKUP(A424,PARAMETROS!A:A,PARAMETROS!D:D)=0,"",_xlfn.XLOOKUP(A424,PARAMETROS!A:A,PARAMETROS!D:D))</f>
        <v>9</v>
      </c>
      <c r="E424" t="str">
        <f>IF(_xlfn.XLOOKUP('PREENCHIMENTO|LETIVAS'!A424,PARAMETROS!A:A,PARAMETROS!I:I)=0,"",_xlfn.XLOOKUP('PREENCHIMENTO|LETIVAS'!A424,PARAMETROS!A:A,PARAMETROS!I:I))</f>
        <v>PROFESSOR REGENTE</v>
      </c>
      <c r="F424" s="3" t="s">
        <v>38</v>
      </c>
      <c r="G424" s="3">
        <v>1</v>
      </c>
      <c r="H424" s="3" t="s">
        <v>63</v>
      </c>
      <c r="I424" s="3" t="s">
        <v>40</v>
      </c>
      <c r="J424" s="3" t="s">
        <v>1251</v>
      </c>
      <c r="K424" s="3"/>
      <c r="L424" s="19"/>
      <c r="W424">
        <f t="shared" si="6"/>
        <v>2</v>
      </c>
    </row>
    <row r="425" spans="1:23">
      <c r="A425" s="3" t="s">
        <v>374</v>
      </c>
      <c r="B425" t="str">
        <f>IF(_xlfn.XLOOKUP(A425,PARAMETROS!A:A,PARAMETROS!B:B)=0,"",_xlfn.XLOOKUP(A425,PARAMETROS!A:A,PARAMETROS!B:B))</f>
        <v>012009006201</v>
      </c>
      <c r="C425">
        <f>IF(_xlfn.XLOOKUP(A425,PARAMETROS!A:A,PARAMETROS!C:C)=0,"",_xlfn.XLOOKUP(A425,PARAMETROS!A:A,PARAMETROS!C:C))</f>
        <v>12</v>
      </c>
      <c r="D425">
        <f>IF(_xlfn.XLOOKUP(A425,PARAMETROS!A:A,PARAMETROS!D:D)=0,"",_xlfn.XLOOKUP(A425,PARAMETROS!A:A,PARAMETROS!D:D))</f>
        <v>9</v>
      </c>
      <c r="E425" t="str">
        <f>IF(_xlfn.XLOOKUP('PREENCHIMENTO|LETIVAS'!A425,PARAMETROS!A:A,PARAMETROS!I:I)=0,"",_xlfn.XLOOKUP('PREENCHIMENTO|LETIVAS'!A425,PARAMETROS!A:A,PARAMETROS!I:I))</f>
        <v>PROFESSOR REGENTE</v>
      </c>
      <c r="F425" s="3" t="s">
        <v>38</v>
      </c>
      <c r="G425" s="3" t="s">
        <v>54</v>
      </c>
      <c r="H425" s="3" t="s">
        <v>32</v>
      </c>
      <c r="I425" s="3" t="s">
        <v>40</v>
      </c>
      <c r="J425" s="3" t="s">
        <v>1252</v>
      </c>
      <c r="K425" s="3"/>
      <c r="L425" s="19"/>
      <c r="W425">
        <f t="shared" si="6"/>
        <v>2</v>
      </c>
    </row>
    <row r="426" spans="1:23">
      <c r="A426" s="3" t="s">
        <v>374</v>
      </c>
      <c r="B426" t="str">
        <f>IF(_xlfn.XLOOKUP(A426,PARAMETROS!A:A,PARAMETROS!B:B)=0,"",_xlfn.XLOOKUP(A426,PARAMETROS!A:A,PARAMETROS!B:B))</f>
        <v>012009006201</v>
      </c>
      <c r="C426">
        <f>IF(_xlfn.XLOOKUP(A426,PARAMETROS!A:A,PARAMETROS!C:C)=0,"",_xlfn.XLOOKUP(A426,PARAMETROS!A:A,PARAMETROS!C:C))</f>
        <v>12</v>
      </c>
      <c r="D426">
        <f>IF(_xlfn.XLOOKUP(A426,PARAMETROS!A:A,PARAMETROS!D:D)=0,"",_xlfn.XLOOKUP(A426,PARAMETROS!A:A,PARAMETROS!D:D))</f>
        <v>9</v>
      </c>
      <c r="E426" t="str">
        <f>IF(_xlfn.XLOOKUP('PREENCHIMENTO|LETIVAS'!A426,PARAMETROS!A:A,PARAMETROS!I:I)=0,"",_xlfn.XLOOKUP('PREENCHIMENTO|LETIVAS'!A426,PARAMETROS!A:A,PARAMETROS!I:I))</f>
        <v>PROFESSOR REGENTE</v>
      </c>
      <c r="F426" s="3" t="s">
        <v>38</v>
      </c>
      <c r="G426" s="3" t="s">
        <v>54</v>
      </c>
      <c r="H426" s="3" t="s">
        <v>32</v>
      </c>
      <c r="I426" s="3" t="s">
        <v>33</v>
      </c>
      <c r="J426" s="3" t="s">
        <v>1253</v>
      </c>
      <c r="K426" s="3"/>
      <c r="L426" s="19"/>
      <c r="W426">
        <f t="shared" si="6"/>
        <v>2</v>
      </c>
    </row>
    <row r="427" spans="1:23">
      <c r="A427" s="3" t="s">
        <v>659</v>
      </c>
      <c r="B427" t="str">
        <f>IF(_xlfn.XLOOKUP(A427,PARAMETROS!A:A,PARAMETROS!B:B)=0,"",_xlfn.XLOOKUP(A427,PARAMETROS!A:A,PARAMETROS!B:B))</f>
        <v>012009002566</v>
      </c>
      <c r="C427">
        <f>IF(_xlfn.XLOOKUP(A427,PARAMETROS!A:A,PARAMETROS!C:C)=0,"",_xlfn.XLOOKUP(A427,PARAMETROS!A:A,PARAMETROS!C:C))</f>
        <v>40</v>
      </c>
      <c r="D427">
        <f>IF(_xlfn.XLOOKUP(A427,PARAMETROS!A:A,PARAMETROS!D:D)=0,"",_xlfn.XLOOKUP(A427,PARAMETROS!A:A,PARAMETROS!D:D))</f>
        <v>20</v>
      </c>
      <c r="E427" t="str">
        <f>IF(_xlfn.XLOOKUP('PREENCHIMENTO|LETIVAS'!A427,PARAMETROS!A:A,PARAMETROS!I:I)=0,"",_xlfn.XLOOKUP('PREENCHIMENTO|LETIVAS'!A427,PARAMETROS!A:A,PARAMETROS!I:I))</f>
        <v>PROFESSOR REGENTE</v>
      </c>
      <c r="F427" s="3" t="s">
        <v>38</v>
      </c>
      <c r="G427" s="3" t="s">
        <v>54</v>
      </c>
      <c r="H427" s="3" t="s">
        <v>32</v>
      </c>
      <c r="I427" s="3" t="s">
        <v>40</v>
      </c>
      <c r="J427" s="3" t="s">
        <v>1254</v>
      </c>
      <c r="K427" s="3"/>
      <c r="L427" s="19"/>
      <c r="W427">
        <f t="shared" si="6"/>
        <v>2</v>
      </c>
    </row>
    <row r="428" spans="1:23">
      <c r="A428" s="3" t="s">
        <v>659</v>
      </c>
      <c r="B428" t="str">
        <f>IF(_xlfn.XLOOKUP(A428,PARAMETROS!A:A,PARAMETROS!B:B)=0,"",_xlfn.XLOOKUP(A428,PARAMETROS!A:A,PARAMETROS!B:B))</f>
        <v>012009002566</v>
      </c>
      <c r="C428">
        <f>IF(_xlfn.XLOOKUP(A428,PARAMETROS!A:A,PARAMETROS!C:C)=0,"",_xlfn.XLOOKUP(A428,PARAMETROS!A:A,PARAMETROS!C:C))</f>
        <v>40</v>
      </c>
      <c r="D428">
        <f>IF(_xlfn.XLOOKUP(A428,PARAMETROS!A:A,PARAMETROS!D:D)=0,"",_xlfn.XLOOKUP(A428,PARAMETROS!A:A,PARAMETROS!D:D))</f>
        <v>20</v>
      </c>
      <c r="E428" t="str">
        <f>IF(_xlfn.XLOOKUP('PREENCHIMENTO|LETIVAS'!A428,PARAMETROS!A:A,PARAMETROS!I:I)=0,"",_xlfn.XLOOKUP('PREENCHIMENTO|LETIVAS'!A428,PARAMETROS!A:A,PARAMETROS!I:I))</f>
        <v>PROFESSOR REGENTE</v>
      </c>
      <c r="F428" s="3" t="s">
        <v>38</v>
      </c>
      <c r="G428" s="3" t="s">
        <v>54</v>
      </c>
      <c r="H428" s="3" t="s">
        <v>55</v>
      </c>
      <c r="I428" s="3" t="s">
        <v>40</v>
      </c>
      <c r="J428" s="3" t="s">
        <v>1255</v>
      </c>
      <c r="K428" s="3"/>
      <c r="L428" s="19"/>
      <c r="W428">
        <f t="shared" si="6"/>
        <v>2</v>
      </c>
    </row>
    <row r="429" spans="1:23">
      <c r="A429" s="3" t="s">
        <v>659</v>
      </c>
      <c r="B429" t="str">
        <f>IF(_xlfn.XLOOKUP(A429,PARAMETROS!A:A,PARAMETROS!B:B)=0,"",_xlfn.XLOOKUP(A429,PARAMETROS!A:A,PARAMETROS!B:B))</f>
        <v>012009002566</v>
      </c>
      <c r="C429">
        <f>IF(_xlfn.XLOOKUP(A429,PARAMETROS!A:A,PARAMETROS!C:C)=0,"",_xlfn.XLOOKUP(A429,PARAMETROS!A:A,PARAMETROS!C:C))</f>
        <v>40</v>
      </c>
      <c r="D429">
        <f>IF(_xlfn.XLOOKUP(A429,PARAMETROS!A:A,PARAMETROS!D:D)=0,"",_xlfn.XLOOKUP(A429,PARAMETROS!A:A,PARAMETROS!D:D))</f>
        <v>20</v>
      </c>
      <c r="E429" t="str">
        <f>IF(_xlfn.XLOOKUP('PREENCHIMENTO|LETIVAS'!A429,PARAMETROS!A:A,PARAMETROS!I:I)=0,"",_xlfn.XLOOKUP('PREENCHIMENTO|LETIVAS'!A429,PARAMETROS!A:A,PARAMETROS!I:I))</f>
        <v>PROFESSOR REGENTE</v>
      </c>
      <c r="F429" s="3" t="s">
        <v>38</v>
      </c>
      <c r="G429" s="3">
        <v>2</v>
      </c>
      <c r="H429" s="3" t="s">
        <v>32</v>
      </c>
      <c r="I429" s="3" t="s">
        <v>33</v>
      </c>
      <c r="J429" s="3" t="s">
        <v>1256</v>
      </c>
      <c r="K429" s="3"/>
      <c r="L429" s="19"/>
      <c r="W429">
        <f t="shared" si="6"/>
        <v>2</v>
      </c>
    </row>
    <row r="430" spans="1:23">
      <c r="A430" s="3" t="s">
        <v>659</v>
      </c>
      <c r="B430" t="str">
        <f>IF(_xlfn.XLOOKUP(A430,PARAMETROS!A:A,PARAMETROS!B:B)=0,"",_xlfn.XLOOKUP(A430,PARAMETROS!A:A,PARAMETROS!B:B))</f>
        <v>012009002566</v>
      </c>
      <c r="C430">
        <f>IF(_xlfn.XLOOKUP(A430,PARAMETROS!A:A,PARAMETROS!C:C)=0,"",_xlfn.XLOOKUP(A430,PARAMETROS!A:A,PARAMETROS!C:C))</f>
        <v>40</v>
      </c>
      <c r="D430">
        <f>IF(_xlfn.XLOOKUP(A430,PARAMETROS!A:A,PARAMETROS!D:D)=0,"",_xlfn.XLOOKUP(A430,PARAMETROS!A:A,PARAMETROS!D:D))</f>
        <v>20</v>
      </c>
      <c r="E430" t="str">
        <f>IF(_xlfn.XLOOKUP('PREENCHIMENTO|LETIVAS'!A430,PARAMETROS!A:A,PARAMETROS!I:I)=0,"",_xlfn.XLOOKUP('PREENCHIMENTO|LETIVAS'!A430,PARAMETROS!A:A,PARAMETROS!I:I))</f>
        <v>PROFESSOR REGENTE</v>
      </c>
      <c r="F430" s="3" t="s">
        <v>38</v>
      </c>
      <c r="G430" s="3">
        <v>1</v>
      </c>
      <c r="H430" s="3" t="s">
        <v>32</v>
      </c>
      <c r="I430" s="3" t="s">
        <v>33</v>
      </c>
      <c r="J430" s="3" t="s">
        <v>1257</v>
      </c>
      <c r="K430" s="3"/>
      <c r="L430" s="19"/>
      <c r="W430">
        <f t="shared" si="6"/>
        <v>2</v>
      </c>
    </row>
    <row r="431" spans="1:23">
      <c r="A431" s="3" t="s">
        <v>706</v>
      </c>
      <c r="B431" t="str">
        <f>IF(_xlfn.XLOOKUP(A431,PARAMETROS!A:A,PARAMETROS!B:B)=0,"",_xlfn.XLOOKUP(A431,PARAMETROS!A:A,PARAMETROS!B:B))</f>
        <v>012009006360</v>
      </c>
      <c r="C431">
        <f>IF(_xlfn.XLOOKUP(A431,PARAMETROS!A:A,PARAMETROS!C:C)=0,"",_xlfn.XLOOKUP(A431,PARAMETROS!A:A,PARAMETROS!C:C))</f>
        <v>12</v>
      </c>
      <c r="D431">
        <f>IF(_xlfn.XLOOKUP(A431,PARAMETROS!A:A,PARAMETROS!D:D)=0,"",_xlfn.XLOOKUP(A431,PARAMETROS!A:A,PARAMETROS!D:D))</f>
        <v>9</v>
      </c>
      <c r="E431" t="str">
        <f>IF(_xlfn.XLOOKUP('PREENCHIMENTO|LETIVAS'!A431,PARAMETROS!A:A,PARAMETROS!I:I)=0,"",_xlfn.XLOOKUP('PREENCHIMENTO|LETIVAS'!A431,PARAMETROS!A:A,PARAMETROS!I:I))</f>
        <v>PROFESSOR REGENTE</v>
      </c>
      <c r="F431" s="3" t="s">
        <v>38</v>
      </c>
      <c r="G431" s="3" t="s">
        <v>54</v>
      </c>
      <c r="H431" s="3" t="s">
        <v>32</v>
      </c>
      <c r="I431" s="3" t="s">
        <v>33</v>
      </c>
      <c r="J431" s="3" t="s">
        <v>1258</v>
      </c>
      <c r="K431" s="3"/>
      <c r="L431" s="19"/>
      <c r="W431">
        <f t="shared" si="6"/>
        <v>2</v>
      </c>
    </row>
    <row r="432" spans="1:23">
      <c r="A432" s="3" t="s">
        <v>706</v>
      </c>
      <c r="B432" t="str">
        <f>IF(_xlfn.XLOOKUP(A432,PARAMETROS!A:A,PARAMETROS!B:B)=0,"",_xlfn.XLOOKUP(A432,PARAMETROS!A:A,PARAMETROS!B:B))</f>
        <v>012009006360</v>
      </c>
      <c r="C432">
        <f>IF(_xlfn.XLOOKUP(A432,PARAMETROS!A:A,PARAMETROS!C:C)=0,"",_xlfn.XLOOKUP(A432,PARAMETROS!A:A,PARAMETROS!C:C))</f>
        <v>12</v>
      </c>
      <c r="D432">
        <f>IF(_xlfn.XLOOKUP(A432,PARAMETROS!A:A,PARAMETROS!D:D)=0,"",_xlfn.XLOOKUP(A432,PARAMETROS!A:A,PARAMETROS!D:D))</f>
        <v>9</v>
      </c>
      <c r="E432" t="str">
        <f>IF(_xlfn.XLOOKUP('PREENCHIMENTO|LETIVAS'!A432,PARAMETROS!A:A,PARAMETROS!I:I)=0,"",_xlfn.XLOOKUP('PREENCHIMENTO|LETIVAS'!A432,PARAMETROS!A:A,PARAMETROS!I:I))</f>
        <v>PROFESSOR REGENTE</v>
      </c>
      <c r="F432" s="3" t="s">
        <v>38</v>
      </c>
      <c r="G432" s="3" t="s">
        <v>54</v>
      </c>
      <c r="H432" s="3" t="s">
        <v>32</v>
      </c>
      <c r="I432" s="3" t="s">
        <v>40</v>
      </c>
      <c r="J432" s="3" t="s">
        <v>1259</v>
      </c>
      <c r="K432" s="3"/>
      <c r="L432" s="19"/>
      <c r="W432">
        <f t="shared" si="6"/>
        <v>2</v>
      </c>
    </row>
    <row r="433" spans="1:23">
      <c r="A433" s="3" t="s">
        <v>468</v>
      </c>
      <c r="B433" t="str">
        <f>IF(_xlfn.XLOOKUP(A433,PARAMETROS!A:A,PARAMETROS!B:B)=0,"",_xlfn.XLOOKUP(A433,PARAMETROS!A:A,PARAMETROS!B:B))</f>
        <v>012009006223</v>
      </c>
      <c r="C433">
        <f>IF(_xlfn.XLOOKUP(A433,PARAMETROS!A:A,PARAMETROS!C:C)=0,"",_xlfn.XLOOKUP(A433,PARAMETROS!A:A,PARAMETROS!C:C))</f>
        <v>12</v>
      </c>
      <c r="D433">
        <f>IF(_xlfn.XLOOKUP(A433,PARAMETROS!A:A,PARAMETROS!D:D)=0,"",_xlfn.XLOOKUP(A433,PARAMETROS!A:A,PARAMETROS!D:D))</f>
        <v>9</v>
      </c>
      <c r="E433" t="str">
        <f>IF(_xlfn.XLOOKUP('PREENCHIMENTO|LETIVAS'!A433,PARAMETROS!A:A,PARAMETROS!I:I)=0,"",_xlfn.XLOOKUP('PREENCHIMENTO|LETIVAS'!A433,PARAMETROS!A:A,PARAMETROS!I:I))</f>
        <v>PROFESSOR REGENTE</v>
      </c>
      <c r="F433" s="3" t="s">
        <v>38</v>
      </c>
      <c r="G433" s="3" t="s">
        <v>54</v>
      </c>
      <c r="H433" s="3" t="s">
        <v>32</v>
      </c>
      <c r="I433" s="3" t="s">
        <v>40</v>
      </c>
      <c r="J433" s="3" t="s">
        <v>1260</v>
      </c>
      <c r="K433" s="3"/>
      <c r="L433" s="19"/>
      <c r="W433">
        <f t="shared" si="6"/>
        <v>2</v>
      </c>
    </row>
    <row r="434" spans="1:23">
      <c r="A434" s="3" t="s">
        <v>468</v>
      </c>
      <c r="B434" t="str">
        <f>IF(_xlfn.XLOOKUP(A434,PARAMETROS!A:A,PARAMETROS!B:B)=0,"",_xlfn.XLOOKUP(A434,PARAMETROS!A:A,PARAMETROS!B:B))</f>
        <v>012009006223</v>
      </c>
      <c r="C434">
        <f>IF(_xlfn.XLOOKUP(A434,PARAMETROS!A:A,PARAMETROS!C:C)=0,"",_xlfn.XLOOKUP(A434,PARAMETROS!A:A,PARAMETROS!C:C))</f>
        <v>12</v>
      </c>
      <c r="D434">
        <f>IF(_xlfn.XLOOKUP(A434,PARAMETROS!A:A,PARAMETROS!D:D)=0,"",_xlfn.XLOOKUP(A434,PARAMETROS!A:A,PARAMETROS!D:D))</f>
        <v>9</v>
      </c>
      <c r="E434" t="str">
        <f>IF(_xlfn.XLOOKUP('PREENCHIMENTO|LETIVAS'!A434,PARAMETROS!A:A,PARAMETROS!I:I)=0,"",_xlfn.XLOOKUP('PREENCHIMENTO|LETIVAS'!A434,PARAMETROS!A:A,PARAMETROS!I:I))</f>
        <v>PROFESSOR REGENTE</v>
      </c>
      <c r="F434" s="3" t="s">
        <v>38</v>
      </c>
      <c r="G434" s="3">
        <v>1</v>
      </c>
      <c r="H434" s="3" t="s">
        <v>63</v>
      </c>
      <c r="I434" s="3" t="s">
        <v>40</v>
      </c>
      <c r="J434" s="3" t="s">
        <v>1261</v>
      </c>
      <c r="K434" s="3"/>
      <c r="L434" s="19"/>
      <c r="W434">
        <f t="shared" si="6"/>
        <v>2</v>
      </c>
    </row>
    <row r="435" spans="1:23">
      <c r="A435" s="3" t="s">
        <v>590</v>
      </c>
      <c r="B435" t="str">
        <f>IF(_xlfn.XLOOKUP(A435,PARAMETROS!A:A,PARAMETROS!B:B)=0,"",_xlfn.XLOOKUP(A435,PARAMETROS!A:A,PARAMETROS!B:B))</f>
        <v>012009006311</v>
      </c>
      <c r="C435">
        <f>IF(_xlfn.XLOOKUP(A435,PARAMETROS!A:A,PARAMETROS!C:C)=0,"",_xlfn.XLOOKUP(A435,PARAMETROS!A:A,PARAMETROS!C:C))</f>
        <v>12</v>
      </c>
      <c r="D435">
        <f>IF(_xlfn.XLOOKUP(A435,PARAMETROS!A:A,PARAMETROS!D:D)=0,"",_xlfn.XLOOKUP(A435,PARAMETROS!A:A,PARAMETROS!D:D))</f>
        <v>9</v>
      </c>
      <c r="E435" t="str">
        <f>IF(_xlfn.XLOOKUP('PREENCHIMENTO|LETIVAS'!A435,PARAMETROS!A:A,PARAMETROS!I:I)=0,"",_xlfn.XLOOKUP('PREENCHIMENTO|LETIVAS'!A435,PARAMETROS!A:A,PARAMETROS!I:I))</f>
        <v>PROFESSOR REGENTE</v>
      </c>
      <c r="F435" s="3" t="s">
        <v>38</v>
      </c>
      <c r="G435" s="3" t="s">
        <v>54</v>
      </c>
      <c r="H435" s="3" t="s">
        <v>39</v>
      </c>
      <c r="I435" s="3" t="s">
        <v>33</v>
      </c>
      <c r="J435" s="3" t="s">
        <v>1262</v>
      </c>
      <c r="K435" s="3"/>
      <c r="L435" s="19"/>
      <c r="W435">
        <f t="shared" si="6"/>
        <v>2</v>
      </c>
    </row>
    <row r="436" spans="1:23">
      <c r="A436" s="3" t="s">
        <v>590</v>
      </c>
      <c r="B436" t="str">
        <f>IF(_xlfn.XLOOKUP(A436,PARAMETROS!A:A,PARAMETROS!B:B)=0,"",_xlfn.XLOOKUP(A436,PARAMETROS!A:A,PARAMETROS!B:B))</f>
        <v>012009006311</v>
      </c>
      <c r="C436">
        <f>IF(_xlfn.XLOOKUP(A436,PARAMETROS!A:A,PARAMETROS!C:C)=0,"",_xlfn.XLOOKUP(A436,PARAMETROS!A:A,PARAMETROS!C:C))</f>
        <v>12</v>
      </c>
      <c r="D436">
        <f>IF(_xlfn.XLOOKUP(A436,PARAMETROS!A:A,PARAMETROS!D:D)=0,"",_xlfn.XLOOKUP(A436,PARAMETROS!A:A,PARAMETROS!D:D))</f>
        <v>9</v>
      </c>
      <c r="E436" t="str">
        <f>IF(_xlfn.XLOOKUP('PREENCHIMENTO|LETIVAS'!A436,PARAMETROS!A:A,PARAMETROS!I:I)=0,"",_xlfn.XLOOKUP('PREENCHIMENTO|LETIVAS'!A436,PARAMETROS!A:A,PARAMETROS!I:I))</f>
        <v>PROFESSOR REGENTE</v>
      </c>
      <c r="F436" s="3" t="s">
        <v>38</v>
      </c>
      <c r="G436" s="3" t="s">
        <v>54</v>
      </c>
      <c r="H436" s="3" t="s">
        <v>55</v>
      </c>
      <c r="I436" s="3" t="s">
        <v>40</v>
      </c>
      <c r="J436" s="3" t="s">
        <v>1263</v>
      </c>
      <c r="K436" s="3"/>
      <c r="L436" s="19"/>
      <c r="W436">
        <f t="shared" si="6"/>
        <v>2</v>
      </c>
    </row>
    <row r="437" spans="1:23">
      <c r="A437" s="3" t="s">
        <v>590</v>
      </c>
      <c r="B437" t="str">
        <f>IF(_xlfn.XLOOKUP(A437,PARAMETROS!A:A,PARAMETROS!B:B)=0,"",_xlfn.XLOOKUP(A437,PARAMETROS!A:A,PARAMETROS!B:B))</f>
        <v>012009006311</v>
      </c>
      <c r="C437">
        <f>IF(_xlfn.XLOOKUP(A437,PARAMETROS!A:A,PARAMETROS!C:C)=0,"",_xlfn.XLOOKUP(A437,PARAMETROS!A:A,PARAMETROS!C:C))</f>
        <v>12</v>
      </c>
      <c r="D437">
        <f>IF(_xlfn.XLOOKUP(A437,PARAMETROS!A:A,PARAMETROS!D:D)=0,"",_xlfn.XLOOKUP(A437,PARAMETROS!A:A,PARAMETROS!D:D))</f>
        <v>9</v>
      </c>
      <c r="E437" t="str">
        <f>IF(_xlfn.XLOOKUP('PREENCHIMENTO|LETIVAS'!A437,PARAMETROS!A:A,PARAMETROS!I:I)=0,"",_xlfn.XLOOKUP('PREENCHIMENTO|LETIVAS'!A437,PARAMETROS!A:A,PARAMETROS!I:I))</f>
        <v>PROFESSOR REGENTE</v>
      </c>
      <c r="F437" s="3" t="s">
        <v>38</v>
      </c>
      <c r="G437" s="3" t="s">
        <v>54</v>
      </c>
      <c r="H437" s="3" t="s">
        <v>55</v>
      </c>
      <c r="I437" s="3" t="s">
        <v>33</v>
      </c>
      <c r="J437" s="3" t="s">
        <v>1264</v>
      </c>
      <c r="K437" s="3"/>
      <c r="L437" s="19"/>
      <c r="W437">
        <f t="shared" si="6"/>
        <v>2</v>
      </c>
    </row>
    <row r="438" spans="1:23">
      <c r="A438" s="3" t="s">
        <v>359</v>
      </c>
      <c r="B438" t="str">
        <f>IF(_xlfn.XLOOKUP(A438,PARAMETROS!A:A,PARAMETROS!B:B)=0,"",_xlfn.XLOOKUP(A438,PARAMETROS!A:A,PARAMETROS!B:B))</f>
        <v>012009006237</v>
      </c>
      <c r="C438">
        <f>IF(_xlfn.XLOOKUP(A438,PARAMETROS!A:A,PARAMETROS!C:C)=0,"",_xlfn.XLOOKUP(A438,PARAMETROS!A:A,PARAMETROS!C:C))</f>
        <v>12</v>
      </c>
      <c r="D438">
        <f>IF(_xlfn.XLOOKUP(A438,PARAMETROS!A:A,PARAMETROS!D:D)=0,"",_xlfn.XLOOKUP(A438,PARAMETROS!A:A,PARAMETROS!D:D))</f>
        <v>9</v>
      </c>
      <c r="E438" t="str">
        <f>IF(_xlfn.XLOOKUP('PREENCHIMENTO|LETIVAS'!A438,PARAMETROS!A:A,PARAMETROS!I:I)=0,"",_xlfn.XLOOKUP('PREENCHIMENTO|LETIVAS'!A438,PARAMETROS!A:A,PARAMETROS!I:I))</f>
        <v>PROFESSOR REGENTE</v>
      </c>
      <c r="F438" s="3" t="s">
        <v>38</v>
      </c>
      <c r="G438" s="3" t="s">
        <v>54</v>
      </c>
      <c r="H438" s="3" t="s">
        <v>55</v>
      </c>
      <c r="I438" s="3" t="s">
        <v>40</v>
      </c>
      <c r="J438" s="3" t="s">
        <v>1265</v>
      </c>
      <c r="K438" s="3"/>
      <c r="L438" s="19"/>
      <c r="W438">
        <f t="shared" si="6"/>
        <v>2</v>
      </c>
    </row>
    <row r="439" spans="1:23">
      <c r="A439" s="3" t="s">
        <v>359</v>
      </c>
      <c r="B439" t="str">
        <f>IF(_xlfn.XLOOKUP(A439,PARAMETROS!A:A,PARAMETROS!B:B)=0,"",_xlfn.XLOOKUP(A439,PARAMETROS!A:A,PARAMETROS!B:B))</f>
        <v>012009006237</v>
      </c>
      <c r="C439">
        <f>IF(_xlfn.XLOOKUP(A439,PARAMETROS!A:A,PARAMETROS!C:C)=0,"",_xlfn.XLOOKUP(A439,PARAMETROS!A:A,PARAMETROS!C:C))</f>
        <v>12</v>
      </c>
      <c r="D439">
        <f>IF(_xlfn.XLOOKUP(A439,PARAMETROS!A:A,PARAMETROS!D:D)=0,"",_xlfn.XLOOKUP(A439,PARAMETROS!A:A,PARAMETROS!D:D))</f>
        <v>9</v>
      </c>
      <c r="E439" t="str">
        <f>IF(_xlfn.XLOOKUP('PREENCHIMENTO|LETIVAS'!A439,PARAMETROS!A:A,PARAMETROS!I:I)=0,"",_xlfn.XLOOKUP('PREENCHIMENTO|LETIVAS'!A439,PARAMETROS!A:A,PARAMETROS!I:I))</f>
        <v>PROFESSOR REGENTE</v>
      </c>
      <c r="F439" s="3" t="s">
        <v>38</v>
      </c>
      <c r="G439" s="3" t="s">
        <v>54</v>
      </c>
      <c r="H439" s="3" t="s">
        <v>55</v>
      </c>
      <c r="I439" s="3" t="s">
        <v>33</v>
      </c>
      <c r="J439" s="3" t="s">
        <v>1266</v>
      </c>
      <c r="K439" s="3"/>
      <c r="L439" s="19"/>
      <c r="W439">
        <f t="shared" si="6"/>
        <v>2</v>
      </c>
    </row>
    <row r="440" spans="1:23">
      <c r="A440" s="3" t="s">
        <v>526</v>
      </c>
      <c r="B440" t="str">
        <f>IF(_xlfn.XLOOKUP(A440,PARAMETROS!A:A,PARAMETROS!B:B)=0,"",_xlfn.XLOOKUP(A440,PARAMETROS!A:A,PARAMETROS!B:B))</f>
        <v>012009006226</v>
      </c>
      <c r="C440">
        <f>IF(_xlfn.XLOOKUP(A440,PARAMETROS!A:A,PARAMETROS!C:C)=0,"",_xlfn.XLOOKUP(A440,PARAMETROS!A:A,PARAMETROS!C:C))</f>
        <v>40</v>
      </c>
      <c r="D440">
        <f>IF(_xlfn.XLOOKUP(A440,PARAMETROS!A:A,PARAMETROS!D:D)=0,"",_xlfn.XLOOKUP(A440,PARAMETROS!A:A,PARAMETROS!D:D))</f>
        <v>20</v>
      </c>
      <c r="E440" t="str">
        <f>IF(_xlfn.XLOOKUP('PREENCHIMENTO|LETIVAS'!A440,PARAMETROS!A:A,PARAMETROS!I:I)=0,"",_xlfn.XLOOKUP('PREENCHIMENTO|LETIVAS'!A440,PARAMETROS!A:A,PARAMETROS!I:I))</f>
        <v>PROFESSOR REGENTE</v>
      </c>
      <c r="F440" s="3" t="s">
        <v>38</v>
      </c>
      <c r="G440" s="3" t="s">
        <v>54</v>
      </c>
      <c r="H440" s="3" t="s">
        <v>55</v>
      </c>
      <c r="I440" s="3" t="s">
        <v>33</v>
      </c>
      <c r="J440" s="3" t="s">
        <v>1267</v>
      </c>
      <c r="K440" s="3"/>
      <c r="L440" s="19"/>
      <c r="W440">
        <f t="shared" si="6"/>
        <v>2</v>
      </c>
    </row>
    <row r="441" spans="1:23">
      <c r="A441" s="3" t="s">
        <v>526</v>
      </c>
      <c r="B441" t="str">
        <f>IF(_xlfn.XLOOKUP(A441,PARAMETROS!A:A,PARAMETROS!B:B)=0,"",_xlfn.XLOOKUP(A441,PARAMETROS!A:A,PARAMETROS!B:B))</f>
        <v>012009006226</v>
      </c>
      <c r="C441">
        <f>IF(_xlfn.XLOOKUP(A441,PARAMETROS!A:A,PARAMETROS!C:C)=0,"",_xlfn.XLOOKUP(A441,PARAMETROS!A:A,PARAMETROS!C:C))</f>
        <v>40</v>
      </c>
      <c r="D441">
        <f>IF(_xlfn.XLOOKUP(A441,PARAMETROS!A:A,PARAMETROS!D:D)=0,"",_xlfn.XLOOKUP(A441,PARAMETROS!A:A,PARAMETROS!D:D))</f>
        <v>20</v>
      </c>
      <c r="E441" t="str">
        <f>IF(_xlfn.XLOOKUP('PREENCHIMENTO|LETIVAS'!A441,PARAMETROS!A:A,PARAMETROS!I:I)=0,"",_xlfn.XLOOKUP('PREENCHIMENTO|LETIVAS'!A441,PARAMETROS!A:A,PARAMETROS!I:I))</f>
        <v>PROFESSOR REGENTE</v>
      </c>
      <c r="F441" s="3" t="s">
        <v>38</v>
      </c>
      <c r="G441" s="3" t="s">
        <v>54</v>
      </c>
      <c r="H441" s="3" t="s">
        <v>55</v>
      </c>
      <c r="I441" s="3" t="s">
        <v>40</v>
      </c>
      <c r="J441" s="3" t="s">
        <v>1268</v>
      </c>
      <c r="K441" s="3"/>
      <c r="L441" s="19"/>
      <c r="W441">
        <f t="shared" si="6"/>
        <v>2</v>
      </c>
    </row>
    <row r="442" spans="1:23">
      <c r="A442" s="3" t="s">
        <v>526</v>
      </c>
      <c r="B442" t="str">
        <f>IF(_xlfn.XLOOKUP(A442,PARAMETROS!A:A,PARAMETROS!B:B)=0,"",_xlfn.XLOOKUP(A442,PARAMETROS!A:A,PARAMETROS!B:B))</f>
        <v>012009006226</v>
      </c>
      <c r="C442">
        <f>IF(_xlfn.XLOOKUP(A442,PARAMETROS!A:A,PARAMETROS!C:C)=0,"",_xlfn.XLOOKUP(A442,PARAMETROS!A:A,PARAMETROS!C:C))</f>
        <v>40</v>
      </c>
      <c r="D442">
        <f>IF(_xlfn.XLOOKUP(A442,PARAMETROS!A:A,PARAMETROS!D:D)=0,"",_xlfn.XLOOKUP(A442,PARAMETROS!A:A,PARAMETROS!D:D))</f>
        <v>20</v>
      </c>
      <c r="E442" t="str">
        <f>IF(_xlfn.XLOOKUP('PREENCHIMENTO|LETIVAS'!A442,PARAMETROS!A:A,PARAMETROS!I:I)=0,"",_xlfn.XLOOKUP('PREENCHIMENTO|LETIVAS'!A442,PARAMETROS!A:A,PARAMETROS!I:I))</f>
        <v>PROFESSOR REGENTE</v>
      </c>
      <c r="F442" s="3" t="s">
        <v>38</v>
      </c>
      <c r="G442" s="3">
        <v>2</v>
      </c>
      <c r="H442" s="3" t="s">
        <v>39</v>
      </c>
      <c r="I442" s="3" t="s">
        <v>40</v>
      </c>
      <c r="J442" s="3" t="s">
        <v>1269</v>
      </c>
      <c r="K442" s="3"/>
      <c r="L442" s="19"/>
      <c r="W442">
        <f t="shared" si="6"/>
        <v>2</v>
      </c>
    </row>
    <row r="443" spans="1:23">
      <c r="A443" s="3" t="s">
        <v>623</v>
      </c>
      <c r="B443" t="str">
        <f>IF(_xlfn.XLOOKUP(A443,PARAMETROS!A:A,PARAMETROS!B:B)=0,"",_xlfn.XLOOKUP(A443,PARAMETROS!A:A,PARAMETROS!B:B))</f>
        <v>012009006280</v>
      </c>
      <c r="C443">
        <f>IF(_xlfn.XLOOKUP(A443,PARAMETROS!A:A,PARAMETROS!C:C)=0,"",_xlfn.XLOOKUP(A443,PARAMETROS!A:A,PARAMETROS!C:C))</f>
        <v>12</v>
      </c>
      <c r="D443">
        <f>IF(_xlfn.XLOOKUP(A443,PARAMETROS!A:A,PARAMETROS!D:D)=0,"",_xlfn.XLOOKUP(A443,PARAMETROS!A:A,PARAMETROS!D:D))</f>
        <v>9</v>
      </c>
      <c r="E443" t="str">
        <f>IF(_xlfn.XLOOKUP('PREENCHIMENTO|LETIVAS'!A443,PARAMETROS!A:A,PARAMETROS!I:I)=0,"",_xlfn.XLOOKUP('PREENCHIMENTO|LETIVAS'!A443,PARAMETROS!A:A,PARAMETROS!I:I))</f>
        <v>PROFESSOR REGENTE</v>
      </c>
      <c r="F443" s="3" t="s">
        <v>38</v>
      </c>
      <c r="G443" s="3" t="s">
        <v>54</v>
      </c>
      <c r="H443" s="3" t="s">
        <v>55</v>
      </c>
      <c r="I443" s="3" t="s">
        <v>40</v>
      </c>
      <c r="J443" s="3" t="s">
        <v>1270</v>
      </c>
      <c r="K443" s="3"/>
      <c r="L443" s="19"/>
      <c r="W443">
        <f t="shared" si="6"/>
        <v>2</v>
      </c>
    </row>
    <row r="444" spans="1:23">
      <c r="A444" s="3" t="s">
        <v>623</v>
      </c>
      <c r="B444" t="str">
        <f>IF(_xlfn.XLOOKUP(A444,PARAMETROS!A:A,PARAMETROS!B:B)=0,"",_xlfn.XLOOKUP(A444,PARAMETROS!A:A,PARAMETROS!B:B))</f>
        <v>012009006280</v>
      </c>
      <c r="C444">
        <f>IF(_xlfn.XLOOKUP(A444,PARAMETROS!A:A,PARAMETROS!C:C)=0,"",_xlfn.XLOOKUP(A444,PARAMETROS!A:A,PARAMETROS!C:C))</f>
        <v>12</v>
      </c>
      <c r="D444">
        <f>IF(_xlfn.XLOOKUP(A444,PARAMETROS!A:A,PARAMETROS!D:D)=0,"",_xlfn.XLOOKUP(A444,PARAMETROS!A:A,PARAMETROS!D:D))</f>
        <v>9</v>
      </c>
      <c r="E444" t="str">
        <f>IF(_xlfn.XLOOKUP('PREENCHIMENTO|LETIVAS'!A444,PARAMETROS!A:A,PARAMETROS!I:I)=0,"",_xlfn.XLOOKUP('PREENCHIMENTO|LETIVAS'!A444,PARAMETROS!A:A,PARAMETROS!I:I))</f>
        <v>PROFESSOR REGENTE</v>
      </c>
      <c r="F444" s="3" t="s">
        <v>38</v>
      </c>
      <c r="G444" s="3" t="s">
        <v>54</v>
      </c>
      <c r="H444" s="3" t="s">
        <v>32</v>
      </c>
      <c r="I444" s="3" t="s">
        <v>40</v>
      </c>
      <c r="J444" s="3" t="s">
        <v>1271</v>
      </c>
      <c r="K444" s="3"/>
      <c r="L444" s="19"/>
      <c r="W444">
        <f t="shared" si="6"/>
        <v>2</v>
      </c>
    </row>
    <row r="445" spans="1:23">
      <c r="A445" s="3" t="s">
        <v>623</v>
      </c>
      <c r="B445" t="str">
        <f>IF(_xlfn.XLOOKUP(A445,PARAMETROS!A:A,PARAMETROS!B:B)=0,"",_xlfn.XLOOKUP(A445,PARAMETROS!A:A,PARAMETROS!B:B))</f>
        <v>012009006280</v>
      </c>
      <c r="C445">
        <f>IF(_xlfn.XLOOKUP(A445,PARAMETROS!A:A,PARAMETROS!C:C)=0,"",_xlfn.XLOOKUP(A445,PARAMETROS!A:A,PARAMETROS!C:C))</f>
        <v>12</v>
      </c>
      <c r="D445">
        <f>IF(_xlfn.XLOOKUP(A445,PARAMETROS!A:A,PARAMETROS!D:D)=0,"",_xlfn.XLOOKUP(A445,PARAMETROS!A:A,PARAMETROS!D:D))</f>
        <v>9</v>
      </c>
      <c r="E445" t="str">
        <f>IF(_xlfn.XLOOKUP('PREENCHIMENTO|LETIVAS'!A445,PARAMETROS!A:A,PARAMETROS!I:I)=0,"",_xlfn.XLOOKUP('PREENCHIMENTO|LETIVAS'!A445,PARAMETROS!A:A,PARAMETROS!I:I))</f>
        <v>PROFESSOR REGENTE</v>
      </c>
      <c r="F445" s="3" t="s">
        <v>38</v>
      </c>
      <c r="G445" s="3" t="s">
        <v>54</v>
      </c>
      <c r="H445" s="3" t="s">
        <v>32</v>
      </c>
      <c r="I445" s="3" t="s">
        <v>33</v>
      </c>
      <c r="J445" s="3" t="s">
        <v>1270</v>
      </c>
      <c r="K445" s="3"/>
      <c r="L445" s="19"/>
      <c r="W445">
        <f t="shared" si="6"/>
        <v>2</v>
      </c>
    </row>
    <row r="446" spans="1:23">
      <c r="A446" s="3" t="s">
        <v>459</v>
      </c>
      <c r="B446" t="str">
        <f>IF(_xlfn.XLOOKUP(A446,PARAMETROS!A:A,PARAMETROS!B:B)=0,"",_xlfn.XLOOKUP(A446,PARAMETROS!A:A,PARAMETROS!B:B))</f>
        <v>012009006222</v>
      </c>
      <c r="C446">
        <f>IF(_xlfn.XLOOKUP(A446,PARAMETROS!A:A,PARAMETROS!C:C)=0,"",_xlfn.XLOOKUP(A446,PARAMETROS!A:A,PARAMETROS!C:C))</f>
        <v>12</v>
      </c>
      <c r="D446">
        <f>IF(_xlfn.XLOOKUP(A446,PARAMETROS!A:A,PARAMETROS!D:D)=0,"",_xlfn.XLOOKUP(A446,PARAMETROS!A:A,PARAMETROS!D:D))</f>
        <v>9</v>
      </c>
      <c r="E446" t="str">
        <f>IF(_xlfn.XLOOKUP('PREENCHIMENTO|LETIVAS'!A446,PARAMETROS!A:A,PARAMETROS!I:I)=0,"",_xlfn.XLOOKUP('PREENCHIMENTO|LETIVAS'!A446,PARAMETROS!A:A,PARAMETROS!I:I))</f>
        <v>PROFESSOR REGENTE</v>
      </c>
      <c r="F446" s="3" t="s">
        <v>38</v>
      </c>
      <c r="G446" s="3">
        <v>2</v>
      </c>
      <c r="H446" s="3" t="s">
        <v>63</v>
      </c>
      <c r="I446" s="3" t="s">
        <v>40</v>
      </c>
      <c r="J446" s="3" t="s">
        <v>1272</v>
      </c>
      <c r="K446" s="3"/>
      <c r="L446" s="19"/>
      <c r="W446">
        <f t="shared" si="6"/>
        <v>2</v>
      </c>
    </row>
    <row r="447" spans="1:23">
      <c r="A447" s="3" t="s">
        <v>459</v>
      </c>
      <c r="B447" t="str">
        <f>IF(_xlfn.XLOOKUP(A447,PARAMETROS!A:A,PARAMETROS!B:B)=0,"",_xlfn.XLOOKUP(A447,PARAMETROS!A:A,PARAMETROS!B:B))</f>
        <v>012009006222</v>
      </c>
      <c r="C447">
        <f>IF(_xlfn.XLOOKUP(A447,PARAMETROS!A:A,PARAMETROS!C:C)=0,"",_xlfn.XLOOKUP(A447,PARAMETROS!A:A,PARAMETROS!C:C))</f>
        <v>12</v>
      </c>
      <c r="D447">
        <f>IF(_xlfn.XLOOKUP(A447,PARAMETROS!A:A,PARAMETROS!D:D)=0,"",_xlfn.XLOOKUP(A447,PARAMETROS!A:A,PARAMETROS!D:D))</f>
        <v>9</v>
      </c>
      <c r="E447" t="str">
        <f>IF(_xlfn.XLOOKUP('PREENCHIMENTO|LETIVAS'!A447,PARAMETROS!A:A,PARAMETROS!I:I)=0,"",_xlfn.XLOOKUP('PREENCHIMENTO|LETIVAS'!A447,PARAMETROS!A:A,PARAMETROS!I:I))</f>
        <v>PROFESSOR REGENTE</v>
      </c>
      <c r="F447" s="3" t="s">
        <v>38</v>
      </c>
      <c r="G447" s="3">
        <v>2</v>
      </c>
      <c r="H447" s="3" t="s">
        <v>63</v>
      </c>
      <c r="I447" s="3" t="s">
        <v>33</v>
      </c>
      <c r="J447" s="3" t="s">
        <v>1273</v>
      </c>
      <c r="K447" s="3"/>
      <c r="L447" s="19"/>
      <c r="W447">
        <f t="shared" si="6"/>
        <v>2</v>
      </c>
    </row>
    <row r="448" spans="1:23">
      <c r="A448" s="3" t="s">
        <v>459</v>
      </c>
      <c r="B448" t="str">
        <f>IF(_xlfn.XLOOKUP(A448,PARAMETROS!A:A,PARAMETROS!B:B)=0,"",_xlfn.XLOOKUP(A448,PARAMETROS!A:A,PARAMETROS!B:B))</f>
        <v>012009006222</v>
      </c>
      <c r="C448">
        <f>IF(_xlfn.XLOOKUP(A448,PARAMETROS!A:A,PARAMETROS!C:C)=0,"",_xlfn.XLOOKUP(A448,PARAMETROS!A:A,PARAMETROS!C:C))</f>
        <v>12</v>
      </c>
      <c r="D448">
        <f>IF(_xlfn.XLOOKUP(A448,PARAMETROS!A:A,PARAMETROS!D:D)=0,"",_xlfn.XLOOKUP(A448,PARAMETROS!A:A,PARAMETROS!D:D))</f>
        <v>9</v>
      </c>
      <c r="E448" t="str">
        <f>IF(_xlfn.XLOOKUP('PREENCHIMENTO|LETIVAS'!A448,PARAMETROS!A:A,PARAMETROS!I:I)=0,"",_xlfn.XLOOKUP('PREENCHIMENTO|LETIVAS'!A448,PARAMETROS!A:A,PARAMETROS!I:I))</f>
        <v>PROFESSOR REGENTE</v>
      </c>
      <c r="F448" s="3" t="s">
        <v>38</v>
      </c>
      <c r="G448" s="3">
        <v>2</v>
      </c>
      <c r="H448" s="3" t="s">
        <v>39</v>
      </c>
      <c r="I448" s="3" t="s">
        <v>40</v>
      </c>
      <c r="J448" s="3" t="s">
        <v>1274</v>
      </c>
      <c r="K448" s="3"/>
      <c r="L448" s="19"/>
      <c r="W448">
        <f t="shared" si="6"/>
        <v>2</v>
      </c>
    </row>
    <row r="449" spans="1:23">
      <c r="A449" s="3" t="s">
        <v>478</v>
      </c>
      <c r="B449" t="str">
        <f>IF(_xlfn.XLOOKUP(A449,PARAMETROS!A:A,PARAMETROS!B:B)=0,"",_xlfn.XLOOKUP(A449,PARAMETROS!A:A,PARAMETROS!B:B))</f>
        <v>012009005535</v>
      </c>
      <c r="C449">
        <f>IF(_xlfn.XLOOKUP(A449,PARAMETROS!A:A,PARAMETROS!C:C)=0,"",_xlfn.XLOOKUP(A449,PARAMETROS!A:A,PARAMETROS!C:C))</f>
        <v>40</v>
      </c>
      <c r="D449">
        <f>IF(_xlfn.XLOOKUP(A449,PARAMETROS!A:A,PARAMETROS!D:D)=0,"",_xlfn.XLOOKUP(A449,PARAMETROS!A:A,PARAMETROS!D:D))</f>
        <v>4</v>
      </c>
      <c r="E449" t="str">
        <f>IF(_xlfn.XLOOKUP('PREENCHIMENTO|LETIVAS'!A449,PARAMETROS!A:A,PARAMETROS!I:I)=0,"",_xlfn.XLOOKUP('PREENCHIMENTO|LETIVAS'!A449,PARAMETROS!A:A,PARAMETROS!I:I))</f>
        <v>PROFESSOR DE ENSINO SUPERIOR EAD</v>
      </c>
      <c r="F449" s="3" t="s">
        <v>38</v>
      </c>
      <c r="G449" s="3">
        <v>1</v>
      </c>
      <c r="H449" s="3" t="s">
        <v>63</v>
      </c>
      <c r="I449" s="3" t="s">
        <v>33</v>
      </c>
      <c r="J449" s="3" t="s">
        <v>1275</v>
      </c>
      <c r="K449" s="3"/>
      <c r="L449" s="19"/>
      <c r="W449">
        <f t="shared" si="6"/>
        <v>2</v>
      </c>
    </row>
    <row r="450" spans="1:23">
      <c r="A450" s="3" t="s">
        <v>556</v>
      </c>
      <c r="B450" t="str">
        <f>IF(_xlfn.XLOOKUP(A450,PARAMETROS!A:A,PARAMETROS!B:B)=0,"",_xlfn.XLOOKUP(A450,PARAMETROS!A:A,PARAMETROS!B:B))</f>
        <v>012009006258</v>
      </c>
      <c r="C450">
        <f>IF(_xlfn.XLOOKUP(A450,PARAMETROS!A:A,PARAMETROS!C:C)=0,"",_xlfn.XLOOKUP(A450,PARAMETROS!A:A,PARAMETROS!C:C))</f>
        <v>12</v>
      </c>
      <c r="D450">
        <f>IF(_xlfn.XLOOKUP(A450,PARAMETROS!A:A,PARAMETROS!D:D)=0,"",_xlfn.XLOOKUP(A450,PARAMETROS!A:A,PARAMETROS!D:D))</f>
        <v>9</v>
      </c>
      <c r="E450" t="str">
        <f>IF(_xlfn.XLOOKUP('PREENCHIMENTO|LETIVAS'!A450,PARAMETROS!A:A,PARAMETROS!I:I)=0,"",_xlfn.XLOOKUP('PREENCHIMENTO|LETIVAS'!A450,PARAMETROS!A:A,PARAMETROS!I:I))</f>
        <v>PROFESSOR REGENTE</v>
      </c>
      <c r="F450" s="3" t="s">
        <v>38</v>
      </c>
      <c r="G450" s="3">
        <v>1</v>
      </c>
      <c r="H450" s="3" t="s">
        <v>63</v>
      </c>
      <c r="I450" s="3" t="s">
        <v>40</v>
      </c>
      <c r="J450" s="3" t="s">
        <v>1274</v>
      </c>
      <c r="K450" s="3"/>
      <c r="L450" s="19"/>
      <c r="W450">
        <f t="shared" ref="W450:W491" si="7">IF(I450&lt;&gt;"",2,0)</f>
        <v>2</v>
      </c>
    </row>
    <row r="451" spans="1:23">
      <c r="A451" s="3" t="s">
        <v>556</v>
      </c>
      <c r="B451" t="str">
        <f>IF(_xlfn.XLOOKUP(A451,PARAMETROS!A:A,PARAMETROS!B:B)=0,"",_xlfn.XLOOKUP(A451,PARAMETROS!A:A,PARAMETROS!B:B))</f>
        <v>012009006258</v>
      </c>
      <c r="C451">
        <f>IF(_xlfn.XLOOKUP(A451,PARAMETROS!A:A,PARAMETROS!C:C)=0,"",_xlfn.XLOOKUP(A451,PARAMETROS!A:A,PARAMETROS!C:C))</f>
        <v>12</v>
      </c>
      <c r="D451">
        <f>IF(_xlfn.XLOOKUP(A451,PARAMETROS!A:A,PARAMETROS!D:D)=0,"",_xlfn.XLOOKUP(A451,PARAMETROS!A:A,PARAMETROS!D:D))</f>
        <v>9</v>
      </c>
      <c r="E451" t="str">
        <f>IF(_xlfn.XLOOKUP('PREENCHIMENTO|LETIVAS'!A451,PARAMETROS!A:A,PARAMETROS!I:I)=0,"",_xlfn.XLOOKUP('PREENCHIMENTO|LETIVAS'!A451,PARAMETROS!A:A,PARAMETROS!I:I))</f>
        <v>PROFESSOR REGENTE</v>
      </c>
      <c r="F451" s="3" t="s">
        <v>38</v>
      </c>
      <c r="G451" s="3">
        <v>1</v>
      </c>
      <c r="H451" s="3" t="s">
        <v>63</v>
      </c>
      <c r="I451" s="3" t="s">
        <v>40</v>
      </c>
      <c r="J451" s="3" t="s">
        <v>1276</v>
      </c>
      <c r="K451" s="3"/>
      <c r="L451" s="19"/>
      <c r="W451">
        <f t="shared" si="7"/>
        <v>2</v>
      </c>
    </row>
    <row r="452" spans="1:23">
      <c r="A452" s="3" t="s">
        <v>635</v>
      </c>
      <c r="B452" t="str">
        <f>IF(_xlfn.XLOOKUP(A452,PARAMETROS!A:A,PARAMETROS!B:B)=0,"",_xlfn.XLOOKUP(A452,PARAMETROS!A:A,PARAMETROS!B:B))</f>
        <v>012009006283</v>
      </c>
      <c r="C452">
        <f>IF(_xlfn.XLOOKUP(A452,PARAMETROS!A:A,PARAMETROS!C:C)=0,"",_xlfn.XLOOKUP(A452,PARAMETROS!A:A,PARAMETROS!C:C))</f>
        <v>12</v>
      </c>
      <c r="D452">
        <f>IF(_xlfn.XLOOKUP(A452,PARAMETROS!A:A,PARAMETROS!D:D)=0,"",_xlfn.XLOOKUP(A452,PARAMETROS!A:A,PARAMETROS!D:D))</f>
        <v>9</v>
      </c>
      <c r="E452" t="str">
        <f>IF(_xlfn.XLOOKUP('PREENCHIMENTO|LETIVAS'!A452,PARAMETROS!A:A,PARAMETROS!I:I)=0,"",_xlfn.XLOOKUP('PREENCHIMENTO|LETIVAS'!A452,PARAMETROS!A:A,PARAMETROS!I:I))</f>
        <v>PROFESSOR REGENTE</v>
      </c>
      <c r="F452" s="3" t="s">
        <v>38</v>
      </c>
      <c r="G452" s="3">
        <v>2</v>
      </c>
      <c r="H452" s="3" t="s">
        <v>39</v>
      </c>
      <c r="I452" s="3" t="s">
        <v>40</v>
      </c>
      <c r="J452" s="3" t="s">
        <v>1277</v>
      </c>
      <c r="K452" s="3"/>
      <c r="L452" s="19"/>
      <c r="W452">
        <f t="shared" si="7"/>
        <v>2</v>
      </c>
    </row>
    <row r="453" spans="1:23">
      <c r="A453" s="3" t="s">
        <v>635</v>
      </c>
      <c r="B453" t="str">
        <f>IF(_xlfn.XLOOKUP(A453,PARAMETROS!A:A,PARAMETROS!B:B)=0,"",_xlfn.XLOOKUP(A453,PARAMETROS!A:A,PARAMETROS!B:B))</f>
        <v>012009006283</v>
      </c>
      <c r="C453">
        <f>IF(_xlfn.XLOOKUP(A453,PARAMETROS!A:A,PARAMETROS!C:C)=0,"",_xlfn.XLOOKUP(A453,PARAMETROS!A:A,PARAMETROS!C:C))</f>
        <v>12</v>
      </c>
      <c r="D453">
        <f>IF(_xlfn.XLOOKUP(A453,PARAMETROS!A:A,PARAMETROS!D:D)=0,"",_xlfn.XLOOKUP(A453,PARAMETROS!A:A,PARAMETROS!D:D))</f>
        <v>9</v>
      </c>
      <c r="E453" t="str">
        <f>IF(_xlfn.XLOOKUP('PREENCHIMENTO|LETIVAS'!A453,PARAMETROS!A:A,PARAMETROS!I:I)=0,"",_xlfn.XLOOKUP('PREENCHIMENTO|LETIVAS'!A453,PARAMETROS!A:A,PARAMETROS!I:I))</f>
        <v>PROFESSOR REGENTE</v>
      </c>
      <c r="F453" s="3" t="s">
        <v>38</v>
      </c>
      <c r="G453" s="3" t="s">
        <v>54</v>
      </c>
      <c r="H453" s="3" t="s">
        <v>39</v>
      </c>
      <c r="I453" s="3" t="s">
        <v>33</v>
      </c>
      <c r="J453" s="3" t="s">
        <v>1278</v>
      </c>
      <c r="K453" s="3"/>
      <c r="L453" s="19"/>
      <c r="W453">
        <f t="shared" si="7"/>
        <v>2</v>
      </c>
    </row>
    <row r="454" spans="1:23">
      <c r="A454" s="3" t="s">
        <v>635</v>
      </c>
      <c r="B454" t="str">
        <f>IF(_xlfn.XLOOKUP(A454,PARAMETROS!A:A,PARAMETROS!B:B)=0,"",_xlfn.XLOOKUP(A454,PARAMETROS!A:A,PARAMETROS!B:B))</f>
        <v>012009006283</v>
      </c>
      <c r="C454">
        <f>IF(_xlfn.XLOOKUP(A454,PARAMETROS!A:A,PARAMETROS!C:C)=0,"",_xlfn.XLOOKUP(A454,PARAMETROS!A:A,PARAMETROS!C:C))</f>
        <v>12</v>
      </c>
      <c r="D454">
        <f>IF(_xlfn.XLOOKUP(A454,PARAMETROS!A:A,PARAMETROS!D:D)=0,"",_xlfn.XLOOKUP(A454,PARAMETROS!A:A,PARAMETROS!D:D))</f>
        <v>9</v>
      </c>
      <c r="E454" t="str">
        <f>IF(_xlfn.XLOOKUP('PREENCHIMENTO|LETIVAS'!A454,PARAMETROS!A:A,PARAMETROS!I:I)=0,"",_xlfn.XLOOKUP('PREENCHIMENTO|LETIVAS'!A454,PARAMETROS!A:A,PARAMETROS!I:I))</f>
        <v>PROFESSOR REGENTE</v>
      </c>
      <c r="F454" s="3" t="s">
        <v>38</v>
      </c>
      <c r="G454" s="3" t="s">
        <v>54</v>
      </c>
      <c r="H454" s="3" t="s">
        <v>63</v>
      </c>
      <c r="I454" s="3" t="s">
        <v>40</v>
      </c>
      <c r="J454" s="3" t="s">
        <v>1279</v>
      </c>
      <c r="K454" s="3"/>
      <c r="L454" s="19"/>
      <c r="W454">
        <f t="shared" si="7"/>
        <v>2</v>
      </c>
    </row>
    <row r="455" spans="1:23">
      <c r="A455" s="3" t="s">
        <v>635</v>
      </c>
      <c r="B455" t="str">
        <f>IF(_xlfn.XLOOKUP(A455,PARAMETROS!A:A,PARAMETROS!B:B)=0,"",_xlfn.XLOOKUP(A455,PARAMETROS!A:A,PARAMETROS!B:B))</f>
        <v>012009006283</v>
      </c>
      <c r="C455">
        <f>IF(_xlfn.XLOOKUP(A455,PARAMETROS!A:A,PARAMETROS!C:C)=0,"",_xlfn.XLOOKUP(A455,PARAMETROS!A:A,PARAMETROS!C:C))</f>
        <v>12</v>
      </c>
      <c r="D455">
        <f>IF(_xlfn.XLOOKUP(A455,PARAMETROS!A:A,PARAMETROS!D:D)=0,"",_xlfn.XLOOKUP(A455,PARAMETROS!A:A,PARAMETROS!D:D))</f>
        <v>9</v>
      </c>
      <c r="E455" t="str">
        <f>IF(_xlfn.XLOOKUP('PREENCHIMENTO|LETIVAS'!A455,PARAMETROS!A:A,PARAMETROS!I:I)=0,"",_xlfn.XLOOKUP('PREENCHIMENTO|LETIVAS'!A455,PARAMETROS!A:A,PARAMETROS!I:I))</f>
        <v>PROFESSOR REGENTE</v>
      </c>
      <c r="F455" s="3" t="s">
        <v>38</v>
      </c>
      <c r="G455" s="3" t="s">
        <v>54</v>
      </c>
      <c r="H455" s="3" t="s">
        <v>63</v>
      </c>
      <c r="I455" s="3" t="s">
        <v>33</v>
      </c>
      <c r="J455" s="3" t="s">
        <v>1280</v>
      </c>
      <c r="K455" s="3"/>
      <c r="L455" s="19"/>
      <c r="W455">
        <f t="shared" si="7"/>
        <v>2</v>
      </c>
    </row>
    <row r="456" spans="1:23">
      <c r="A456" s="3" t="s">
        <v>635</v>
      </c>
      <c r="B456" t="str">
        <f>IF(_xlfn.XLOOKUP(A456,PARAMETROS!A:A,PARAMETROS!B:B)=0,"",_xlfn.XLOOKUP(A456,PARAMETROS!A:A,PARAMETROS!B:B))</f>
        <v>012009006283</v>
      </c>
      <c r="C456">
        <f>IF(_xlfn.XLOOKUP(A456,PARAMETROS!A:A,PARAMETROS!C:C)=0,"",_xlfn.XLOOKUP(A456,PARAMETROS!A:A,PARAMETROS!C:C))</f>
        <v>12</v>
      </c>
      <c r="D456">
        <f>IF(_xlfn.XLOOKUP(A456,PARAMETROS!A:A,PARAMETROS!D:D)=0,"",_xlfn.XLOOKUP(A456,PARAMETROS!A:A,PARAMETROS!D:D))</f>
        <v>9</v>
      </c>
      <c r="E456" t="str">
        <f>IF(_xlfn.XLOOKUP('PREENCHIMENTO|LETIVAS'!A456,PARAMETROS!A:A,PARAMETROS!I:I)=0,"",_xlfn.XLOOKUP('PREENCHIMENTO|LETIVAS'!A456,PARAMETROS!A:A,PARAMETROS!I:I))</f>
        <v>PROFESSOR REGENTE</v>
      </c>
      <c r="F456" s="3" t="s">
        <v>38</v>
      </c>
      <c r="G456" s="3">
        <v>1</v>
      </c>
      <c r="H456" s="3" t="s">
        <v>39</v>
      </c>
      <c r="I456" s="3" t="s">
        <v>33</v>
      </c>
      <c r="J456" s="3" t="s">
        <v>1281</v>
      </c>
      <c r="K456" s="3"/>
      <c r="L456" s="19"/>
      <c r="W456">
        <f t="shared" si="7"/>
        <v>2</v>
      </c>
    </row>
    <row r="457" spans="1:23">
      <c r="A457" s="3" t="s">
        <v>736</v>
      </c>
      <c r="B457" t="str">
        <f>IF(_xlfn.XLOOKUP(A457,PARAMETROS!A:A,PARAMETROS!B:B)=0,"",_xlfn.XLOOKUP(A457,PARAMETROS!A:A,PARAMETROS!B:B))</f>
        <v>012009006373</v>
      </c>
      <c r="C457">
        <f>IF(_xlfn.XLOOKUP(A457,PARAMETROS!A:A,PARAMETROS!C:C)=0,"",_xlfn.XLOOKUP(A457,PARAMETROS!A:A,PARAMETROS!C:C))</f>
        <v>12</v>
      </c>
      <c r="D457">
        <f>IF(_xlfn.XLOOKUP(A457,PARAMETROS!A:A,PARAMETROS!D:D)=0,"",_xlfn.XLOOKUP(A457,PARAMETROS!A:A,PARAMETROS!D:D))</f>
        <v>9</v>
      </c>
      <c r="E457" t="str">
        <f>IF(_xlfn.XLOOKUP('PREENCHIMENTO|LETIVAS'!A457,PARAMETROS!A:A,PARAMETROS!I:I)=0,"",_xlfn.XLOOKUP('PREENCHIMENTO|LETIVAS'!A457,PARAMETROS!A:A,PARAMETROS!I:I))</f>
        <v>PROFESSOR REGENTE</v>
      </c>
      <c r="F457" s="3" t="s">
        <v>38</v>
      </c>
      <c r="G457" s="3">
        <v>2</v>
      </c>
      <c r="H457" s="3" t="s">
        <v>39</v>
      </c>
      <c r="I457" s="3" t="s">
        <v>33</v>
      </c>
      <c r="J457" s="3" t="s">
        <v>1282</v>
      </c>
      <c r="K457" s="3"/>
      <c r="L457" s="19"/>
      <c r="W457">
        <f t="shared" si="7"/>
        <v>2</v>
      </c>
    </row>
    <row r="458" spans="1:23">
      <c r="A458" s="3" t="s">
        <v>736</v>
      </c>
      <c r="B458" t="str">
        <f>IF(_xlfn.XLOOKUP(A458,PARAMETROS!A:A,PARAMETROS!B:B)=0,"",_xlfn.XLOOKUP(A458,PARAMETROS!A:A,PARAMETROS!B:B))</f>
        <v>012009006373</v>
      </c>
      <c r="C458">
        <f>IF(_xlfn.XLOOKUP(A458,PARAMETROS!A:A,PARAMETROS!C:C)=0,"",_xlfn.XLOOKUP(A458,PARAMETROS!A:A,PARAMETROS!C:C))</f>
        <v>12</v>
      </c>
      <c r="D458">
        <f>IF(_xlfn.XLOOKUP(A458,PARAMETROS!A:A,PARAMETROS!D:D)=0,"",_xlfn.XLOOKUP(A458,PARAMETROS!A:A,PARAMETROS!D:D))</f>
        <v>9</v>
      </c>
      <c r="E458" t="str">
        <f>IF(_xlfn.XLOOKUP('PREENCHIMENTO|LETIVAS'!A458,PARAMETROS!A:A,PARAMETROS!I:I)=0,"",_xlfn.XLOOKUP('PREENCHIMENTO|LETIVAS'!A458,PARAMETROS!A:A,PARAMETROS!I:I))</f>
        <v>PROFESSOR REGENTE</v>
      </c>
      <c r="F458" s="3" t="s">
        <v>38</v>
      </c>
      <c r="G458" s="3">
        <v>2</v>
      </c>
      <c r="H458" s="3" t="s">
        <v>39</v>
      </c>
      <c r="I458" s="3" t="s">
        <v>33</v>
      </c>
      <c r="J458" s="3" t="s">
        <v>1283</v>
      </c>
      <c r="K458" s="3"/>
      <c r="L458" s="19"/>
      <c r="W458">
        <f t="shared" si="7"/>
        <v>2</v>
      </c>
    </row>
    <row r="459" spans="1:23">
      <c r="A459" s="3" t="s">
        <v>736</v>
      </c>
      <c r="B459" t="str">
        <f>IF(_xlfn.XLOOKUP(A459,PARAMETROS!A:A,PARAMETROS!B:B)=0,"",_xlfn.XLOOKUP(A459,PARAMETROS!A:A,PARAMETROS!B:B))</f>
        <v>012009006373</v>
      </c>
      <c r="C459">
        <f>IF(_xlfn.XLOOKUP(A459,PARAMETROS!A:A,PARAMETROS!C:C)=0,"",_xlfn.XLOOKUP(A459,PARAMETROS!A:A,PARAMETROS!C:C))</f>
        <v>12</v>
      </c>
      <c r="D459">
        <f>IF(_xlfn.XLOOKUP(A459,PARAMETROS!A:A,PARAMETROS!D:D)=0,"",_xlfn.XLOOKUP(A459,PARAMETROS!A:A,PARAMETROS!D:D))</f>
        <v>9</v>
      </c>
      <c r="E459" t="str">
        <f>IF(_xlfn.XLOOKUP('PREENCHIMENTO|LETIVAS'!A459,PARAMETROS!A:A,PARAMETROS!I:I)=0,"",_xlfn.XLOOKUP('PREENCHIMENTO|LETIVAS'!A459,PARAMETROS!A:A,PARAMETROS!I:I))</f>
        <v>PROFESSOR REGENTE</v>
      </c>
      <c r="F459" s="3" t="s">
        <v>38</v>
      </c>
      <c r="G459" s="3">
        <v>1</v>
      </c>
      <c r="H459" s="3" t="s">
        <v>39</v>
      </c>
      <c r="I459" s="3" t="s">
        <v>40</v>
      </c>
      <c r="J459" s="3" t="s">
        <v>1284</v>
      </c>
      <c r="K459" s="3"/>
      <c r="L459" s="19"/>
      <c r="W459">
        <f t="shared" si="7"/>
        <v>2</v>
      </c>
    </row>
    <row r="460" spans="1:23">
      <c r="A460" s="3" t="s">
        <v>736</v>
      </c>
      <c r="B460" t="str">
        <f>IF(_xlfn.XLOOKUP(A460,PARAMETROS!A:A,PARAMETROS!B:B)=0,"",_xlfn.XLOOKUP(A460,PARAMETROS!A:A,PARAMETROS!B:B))</f>
        <v>012009006373</v>
      </c>
      <c r="C460">
        <f>IF(_xlfn.XLOOKUP(A460,PARAMETROS!A:A,PARAMETROS!C:C)=0,"",_xlfn.XLOOKUP(A460,PARAMETROS!A:A,PARAMETROS!C:C))</f>
        <v>12</v>
      </c>
      <c r="D460">
        <f>IF(_xlfn.XLOOKUP(A460,PARAMETROS!A:A,PARAMETROS!D:D)=0,"",_xlfn.XLOOKUP(A460,PARAMETROS!A:A,PARAMETROS!D:D))</f>
        <v>9</v>
      </c>
      <c r="E460" t="str">
        <f>IF(_xlfn.XLOOKUP('PREENCHIMENTO|LETIVAS'!A460,PARAMETROS!A:A,PARAMETROS!I:I)=0,"",_xlfn.XLOOKUP('PREENCHIMENTO|LETIVAS'!A460,PARAMETROS!A:A,PARAMETROS!I:I))</f>
        <v>PROFESSOR REGENTE</v>
      </c>
      <c r="F460" s="3" t="s">
        <v>38</v>
      </c>
      <c r="G460" s="3">
        <v>2</v>
      </c>
      <c r="H460" s="3" t="s">
        <v>39</v>
      </c>
      <c r="I460" s="3" t="s">
        <v>33</v>
      </c>
      <c r="J460" s="3" t="s">
        <v>1285</v>
      </c>
      <c r="K460" s="3"/>
      <c r="L460" s="19"/>
      <c r="W460">
        <f t="shared" si="7"/>
        <v>2</v>
      </c>
    </row>
    <row r="461" spans="1:23">
      <c r="A461" s="3" t="s">
        <v>736</v>
      </c>
      <c r="B461" t="str">
        <f>IF(_xlfn.XLOOKUP(A461,PARAMETROS!A:A,PARAMETROS!B:B)=0,"",_xlfn.XLOOKUP(A461,PARAMETROS!A:A,PARAMETROS!B:B))</f>
        <v>012009006373</v>
      </c>
      <c r="C461">
        <f>IF(_xlfn.XLOOKUP(A461,PARAMETROS!A:A,PARAMETROS!C:C)=0,"",_xlfn.XLOOKUP(A461,PARAMETROS!A:A,PARAMETROS!C:C))</f>
        <v>12</v>
      </c>
      <c r="D461">
        <f>IF(_xlfn.XLOOKUP(A461,PARAMETROS!A:A,PARAMETROS!D:D)=0,"",_xlfn.XLOOKUP(A461,PARAMETROS!A:A,PARAMETROS!D:D))</f>
        <v>9</v>
      </c>
      <c r="E461" t="str">
        <f>IF(_xlfn.XLOOKUP('PREENCHIMENTO|LETIVAS'!A461,PARAMETROS!A:A,PARAMETROS!I:I)=0,"",_xlfn.XLOOKUP('PREENCHIMENTO|LETIVAS'!A461,PARAMETROS!A:A,PARAMETROS!I:I))</f>
        <v>PROFESSOR REGENTE</v>
      </c>
      <c r="F461" s="3" t="s">
        <v>38</v>
      </c>
      <c r="G461" s="3" t="s">
        <v>54</v>
      </c>
      <c r="H461" s="3" t="s">
        <v>39</v>
      </c>
      <c r="I461" s="3" t="s">
        <v>40</v>
      </c>
      <c r="J461" s="3" t="s">
        <v>1286</v>
      </c>
      <c r="K461" s="3"/>
      <c r="L461" s="19"/>
      <c r="W461">
        <f t="shared" si="7"/>
        <v>2</v>
      </c>
    </row>
    <row r="462" spans="1:23">
      <c r="A462" s="3" t="s">
        <v>456</v>
      </c>
      <c r="B462" t="str">
        <f>IF(_xlfn.XLOOKUP(A462,PARAMETROS!A:A,PARAMETROS!B:B)=0,"",_xlfn.XLOOKUP(A462,PARAMETROS!A:A,PARAMETROS!B:B))</f>
        <v>012009006221</v>
      </c>
      <c r="C462">
        <f>IF(_xlfn.XLOOKUP(A462,PARAMETROS!A:A,PARAMETROS!C:C)=0,"",_xlfn.XLOOKUP(A462,PARAMETROS!A:A,PARAMETROS!C:C))</f>
        <v>12</v>
      </c>
      <c r="D462">
        <f>IF(_xlfn.XLOOKUP(A462,PARAMETROS!A:A,PARAMETROS!D:D)=0,"",_xlfn.XLOOKUP(A462,PARAMETROS!A:A,PARAMETROS!D:D))</f>
        <v>9</v>
      </c>
      <c r="E462" t="str">
        <f>IF(_xlfn.XLOOKUP('PREENCHIMENTO|LETIVAS'!A462,PARAMETROS!A:A,PARAMETROS!I:I)=0,"",_xlfn.XLOOKUP('PREENCHIMENTO|LETIVAS'!A462,PARAMETROS!A:A,PARAMETROS!I:I))</f>
        <v>PROFESSOR REGENTE</v>
      </c>
      <c r="F462" s="3" t="s">
        <v>38</v>
      </c>
      <c r="G462" s="3">
        <v>1</v>
      </c>
      <c r="H462" s="3" t="s">
        <v>32</v>
      </c>
      <c r="I462" s="3" t="s">
        <v>40</v>
      </c>
      <c r="J462" s="3" t="s">
        <v>1287</v>
      </c>
      <c r="K462" s="3"/>
      <c r="L462" s="19"/>
      <c r="W462">
        <f t="shared" si="7"/>
        <v>2</v>
      </c>
    </row>
    <row r="463" spans="1:23">
      <c r="A463" s="3" t="s">
        <v>456</v>
      </c>
      <c r="B463" t="str">
        <f>IF(_xlfn.XLOOKUP(A463,PARAMETROS!A:A,PARAMETROS!B:B)=0,"",_xlfn.XLOOKUP(A463,PARAMETROS!A:A,PARAMETROS!B:B))</f>
        <v>012009006221</v>
      </c>
      <c r="C463">
        <f>IF(_xlfn.XLOOKUP(A463,PARAMETROS!A:A,PARAMETROS!C:C)=0,"",_xlfn.XLOOKUP(A463,PARAMETROS!A:A,PARAMETROS!C:C))</f>
        <v>12</v>
      </c>
      <c r="D463">
        <f>IF(_xlfn.XLOOKUP(A463,PARAMETROS!A:A,PARAMETROS!D:D)=0,"",_xlfn.XLOOKUP(A463,PARAMETROS!A:A,PARAMETROS!D:D))</f>
        <v>9</v>
      </c>
      <c r="E463" t="str">
        <f>IF(_xlfn.XLOOKUP('PREENCHIMENTO|LETIVAS'!A463,PARAMETROS!A:A,PARAMETROS!I:I)=0,"",_xlfn.XLOOKUP('PREENCHIMENTO|LETIVAS'!A463,PARAMETROS!A:A,PARAMETROS!I:I))</f>
        <v>PROFESSOR REGENTE</v>
      </c>
      <c r="F463" s="3" t="s">
        <v>38</v>
      </c>
      <c r="G463" s="3">
        <v>2</v>
      </c>
      <c r="H463" s="3" t="s">
        <v>32</v>
      </c>
      <c r="I463" s="3" t="s">
        <v>40</v>
      </c>
      <c r="J463" s="3" t="s">
        <v>1288</v>
      </c>
      <c r="K463" s="3"/>
      <c r="L463" s="19"/>
      <c r="W463">
        <f t="shared" si="7"/>
        <v>2</v>
      </c>
    </row>
    <row r="464" spans="1:23">
      <c r="A464" s="3" t="s">
        <v>426</v>
      </c>
      <c r="B464" t="str">
        <f>IF(_xlfn.XLOOKUP(A464,PARAMETROS!A:A,PARAMETROS!B:B)=0,"",_xlfn.XLOOKUP(A464,PARAMETROS!A:A,PARAMETROS!B:B))</f>
        <v>012009004311</v>
      </c>
      <c r="C464">
        <f>IF(_xlfn.XLOOKUP(A464,PARAMETROS!A:A,PARAMETROS!C:C)=0,"",_xlfn.XLOOKUP(A464,PARAMETROS!A:A,PARAMETROS!C:C))</f>
        <v>20</v>
      </c>
      <c r="D464">
        <f>IF(_xlfn.XLOOKUP(A464,PARAMETROS!A:A,PARAMETROS!D:D)=0,"",_xlfn.XLOOKUP(A464,PARAMETROS!A:A,PARAMETROS!D:D))</f>
        <v>2</v>
      </c>
      <c r="E464" t="str">
        <f>IF(_xlfn.XLOOKUP('PREENCHIMENTO|LETIVAS'!A464,PARAMETROS!A:A,PARAMETROS!I:I)=0,"",_xlfn.XLOOKUP('PREENCHIMENTO|LETIVAS'!A464,PARAMETROS!A:A,PARAMETROS!I:I))</f>
        <v>PROFESSOR DE ENSINO SUPERIOR EAD</v>
      </c>
      <c r="F464" s="3" t="s">
        <v>38</v>
      </c>
      <c r="G464" s="3" t="s">
        <v>54</v>
      </c>
      <c r="H464" s="3" t="s">
        <v>39</v>
      </c>
      <c r="I464" s="3" t="s">
        <v>33</v>
      </c>
      <c r="J464" s="3" t="s">
        <v>1289</v>
      </c>
      <c r="K464" s="3"/>
      <c r="L464" s="19"/>
      <c r="W464">
        <f t="shared" si="7"/>
        <v>2</v>
      </c>
    </row>
    <row r="465" spans="1:23">
      <c r="A465" s="3" t="s">
        <v>426</v>
      </c>
      <c r="B465" t="str">
        <f>IF(_xlfn.XLOOKUP(A465,PARAMETROS!A:A,PARAMETROS!B:B)=0,"",_xlfn.XLOOKUP(A465,PARAMETROS!A:A,PARAMETROS!B:B))</f>
        <v>012009004311</v>
      </c>
      <c r="C465">
        <f>IF(_xlfn.XLOOKUP(A465,PARAMETROS!A:A,PARAMETROS!C:C)=0,"",_xlfn.XLOOKUP(A465,PARAMETROS!A:A,PARAMETROS!C:C))</f>
        <v>20</v>
      </c>
      <c r="D465">
        <f>IF(_xlfn.XLOOKUP(A465,PARAMETROS!A:A,PARAMETROS!D:D)=0,"",_xlfn.XLOOKUP(A465,PARAMETROS!A:A,PARAMETROS!D:D))</f>
        <v>2</v>
      </c>
      <c r="E465" t="str">
        <f>IF(_xlfn.XLOOKUP('PREENCHIMENTO|LETIVAS'!A465,PARAMETROS!A:A,PARAMETROS!I:I)=0,"",_xlfn.XLOOKUP('PREENCHIMENTO|LETIVAS'!A465,PARAMETROS!A:A,PARAMETROS!I:I))</f>
        <v>PROFESSOR DE ENSINO SUPERIOR EAD</v>
      </c>
      <c r="F465" s="3" t="s">
        <v>38</v>
      </c>
      <c r="G465" s="3">
        <v>1</v>
      </c>
      <c r="H465" s="3" t="s">
        <v>39</v>
      </c>
      <c r="I465" s="3" t="s">
        <v>33</v>
      </c>
      <c r="J465" s="3" t="s">
        <v>1290</v>
      </c>
      <c r="K465" s="3"/>
      <c r="L465" s="19"/>
      <c r="W465">
        <f t="shared" si="7"/>
        <v>2</v>
      </c>
    </row>
    <row r="466" spans="1:23">
      <c r="A466" s="3" t="s">
        <v>653</v>
      </c>
      <c r="B466" t="str">
        <f>IF(_xlfn.XLOOKUP(A466,PARAMETROS!A:A,PARAMETROS!B:B)=0,"",_xlfn.XLOOKUP(A466,PARAMETROS!A:A,PARAMETROS!B:B))</f>
        <v>012009002882</v>
      </c>
      <c r="C466">
        <f>IF(_xlfn.XLOOKUP(A466,PARAMETROS!A:A,PARAMETROS!C:C)=0,"",_xlfn.XLOOKUP(A466,PARAMETROS!A:A,PARAMETROS!C:C))</f>
        <v>24</v>
      </c>
      <c r="D466">
        <f>IF(_xlfn.XLOOKUP(A466,PARAMETROS!A:A,PARAMETROS!D:D)=0,"",_xlfn.XLOOKUP(A466,PARAMETROS!A:A,PARAMETROS!D:D))</f>
        <v>18</v>
      </c>
      <c r="E466" t="str">
        <f>IF(_xlfn.XLOOKUP('PREENCHIMENTO|LETIVAS'!A466,PARAMETROS!A:A,PARAMETROS!I:I)=0,"",_xlfn.XLOOKUP('PREENCHIMENTO|LETIVAS'!A466,PARAMETROS!A:A,PARAMETROS!I:I))</f>
        <v>PROFESSOR REGENTE</v>
      </c>
      <c r="F466" s="3" t="s">
        <v>38</v>
      </c>
      <c r="G466" s="3">
        <v>2</v>
      </c>
      <c r="H466" s="3" t="s">
        <v>39</v>
      </c>
      <c r="I466" s="3" t="s">
        <v>40</v>
      </c>
      <c r="J466" s="3" t="s">
        <v>1291</v>
      </c>
      <c r="K466" s="3"/>
      <c r="L466" s="19"/>
      <c r="W466">
        <f t="shared" si="7"/>
        <v>2</v>
      </c>
    </row>
    <row r="467" spans="1:23">
      <c r="A467" s="3" t="s">
        <v>653</v>
      </c>
      <c r="B467" t="str">
        <f>IF(_xlfn.XLOOKUP(A467,PARAMETROS!A:A,PARAMETROS!B:B)=0,"",_xlfn.XLOOKUP(A467,PARAMETROS!A:A,PARAMETROS!B:B))</f>
        <v>012009002882</v>
      </c>
      <c r="C467">
        <f>IF(_xlfn.XLOOKUP(A467,PARAMETROS!A:A,PARAMETROS!C:C)=0,"",_xlfn.XLOOKUP(A467,PARAMETROS!A:A,PARAMETROS!C:C))</f>
        <v>24</v>
      </c>
      <c r="D467">
        <f>IF(_xlfn.XLOOKUP(A467,PARAMETROS!A:A,PARAMETROS!D:D)=0,"",_xlfn.XLOOKUP(A467,PARAMETROS!A:A,PARAMETROS!D:D))</f>
        <v>18</v>
      </c>
      <c r="E467" t="str">
        <f>IF(_xlfn.XLOOKUP('PREENCHIMENTO|LETIVAS'!A467,PARAMETROS!A:A,PARAMETROS!I:I)=0,"",_xlfn.XLOOKUP('PREENCHIMENTO|LETIVAS'!A467,PARAMETROS!A:A,PARAMETROS!I:I))</f>
        <v>PROFESSOR REGENTE</v>
      </c>
      <c r="F467" s="3" t="s">
        <v>38</v>
      </c>
      <c r="G467" s="3">
        <v>1</v>
      </c>
      <c r="H467" s="3" t="s">
        <v>39</v>
      </c>
      <c r="I467" s="3" t="s">
        <v>33</v>
      </c>
      <c r="J467" s="3" t="s">
        <v>1292</v>
      </c>
      <c r="K467" s="3"/>
      <c r="L467" s="19"/>
      <c r="W467">
        <f t="shared" si="7"/>
        <v>2</v>
      </c>
    </row>
    <row r="468" spans="1:23">
      <c r="A468" s="3" t="s">
        <v>234</v>
      </c>
      <c r="B468" t="str">
        <f>IF(_xlfn.XLOOKUP(A468,PARAMETROS!A:A,PARAMETROS!B:B)=0,"",_xlfn.XLOOKUP(A468,PARAMETROS!A:A,PARAMETROS!B:B))</f>
        <v>012009006141</v>
      </c>
      <c r="C468">
        <f>IF(_xlfn.XLOOKUP(A468,PARAMETROS!A:A,PARAMETROS!C:C)=0,"",_xlfn.XLOOKUP(A468,PARAMETROS!A:A,PARAMETROS!C:C))</f>
        <v>20</v>
      </c>
      <c r="D468">
        <f>IF(_xlfn.XLOOKUP(A468,PARAMETROS!A:A,PARAMETROS!D:D)=0,"",_xlfn.XLOOKUP(A468,PARAMETROS!A:A,PARAMETROS!D:D))</f>
        <v>2</v>
      </c>
      <c r="E468" t="str">
        <f>IF(_xlfn.XLOOKUP('PREENCHIMENTO|LETIVAS'!A468,PARAMETROS!A:A,PARAMETROS!I:I)=0,"",_xlfn.XLOOKUP('PREENCHIMENTO|LETIVAS'!A468,PARAMETROS!A:A,PARAMETROS!I:I))</f>
        <v>PROFESSOR DE ENSINO SUPERIOR EAD</v>
      </c>
      <c r="F468" s="3" t="s">
        <v>38</v>
      </c>
      <c r="G468" s="3">
        <v>2</v>
      </c>
      <c r="H468" s="3" t="s">
        <v>39</v>
      </c>
      <c r="I468" s="3" t="s">
        <v>33</v>
      </c>
      <c r="J468" s="3" t="s">
        <v>1293</v>
      </c>
      <c r="K468" s="3"/>
      <c r="L468" s="19"/>
      <c r="W468">
        <f t="shared" si="7"/>
        <v>2</v>
      </c>
    </row>
    <row r="469" spans="1:23">
      <c r="A469" s="3" t="s">
        <v>50</v>
      </c>
      <c r="B469" t="str">
        <f>IF(_xlfn.XLOOKUP(A469,PARAMETROS!A:A,PARAMETROS!B:B)=0,"",_xlfn.XLOOKUP(A469,PARAMETROS!A:A,PARAMETROS!B:B))</f>
        <v>012009003801</v>
      </c>
      <c r="C469">
        <f>IF(_xlfn.XLOOKUP(A469,PARAMETROS!A:A,PARAMETROS!C:C)=0,"",_xlfn.XLOOKUP(A469,PARAMETROS!A:A,PARAMETROS!C:C))</f>
        <v>40</v>
      </c>
      <c r="D469">
        <f>IF(_xlfn.XLOOKUP(A469,PARAMETROS!A:A,PARAMETROS!D:D)=0,"",_xlfn.XLOOKUP(A469,PARAMETROS!A:A,PARAMETROS!D:D))</f>
        <v>4</v>
      </c>
      <c r="E469" t="str">
        <f>IF(_xlfn.XLOOKUP('PREENCHIMENTO|LETIVAS'!A469,PARAMETROS!A:A,PARAMETROS!I:I)=0,"",_xlfn.XLOOKUP('PREENCHIMENTO|LETIVAS'!A469,PARAMETROS!A:A,PARAMETROS!I:I))</f>
        <v>PROFESSOR DE ENSINO SUPERIOR EAD</v>
      </c>
      <c r="F469" s="3" t="s">
        <v>38</v>
      </c>
      <c r="G469" s="3">
        <v>1</v>
      </c>
      <c r="H469" s="3" t="s">
        <v>39</v>
      </c>
      <c r="I469" s="3" t="s">
        <v>40</v>
      </c>
      <c r="J469" s="3" t="s">
        <v>1294</v>
      </c>
      <c r="K469" s="3"/>
      <c r="L469" s="19"/>
      <c r="W469">
        <f t="shared" si="7"/>
        <v>2</v>
      </c>
    </row>
    <row r="470" spans="1:23">
      <c r="A470" s="3" t="s">
        <v>50</v>
      </c>
      <c r="B470" t="str">
        <f>IF(_xlfn.XLOOKUP(A470,PARAMETROS!A:A,PARAMETROS!B:B)=0,"",_xlfn.XLOOKUP(A470,PARAMETROS!A:A,PARAMETROS!B:B))</f>
        <v>012009003801</v>
      </c>
      <c r="C470">
        <f>IF(_xlfn.XLOOKUP(A470,PARAMETROS!A:A,PARAMETROS!C:C)=0,"",_xlfn.XLOOKUP(A470,PARAMETROS!A:A,PARAMETROS!C:C))</f>
        <v>40</v>
      </c>
      <c r="D470">
        <f>IF(_xlfn.XLOOKUP(A470,PARAMETROS!A:A,PARAMETROS!D:D)=0,"",_xlfn.XLOOKUP(A470,PARAMETROS!A:A,PARAMETROS!D:D))</f>
        <v>4</v>
      </c>
      <c r="E470" t="str">
        <f>IF(_xlfn.XLOOKUP('PREENCHIMENTO|LETIVAS'!A470,PARAMETROS!A:A,PARAMETROS!I:I)=0,"",_xlfn.XLOOKUP('PREENCHIMENTO|LETIVAS'!A470,PARAMETROS!A:A,PARAMETROS!I:I))</f>
        <v>PROFESSOR DE ENSINO SUPERIOR EAD</v>
      </c>
      <c r="F470" s="3" t="s">
        <v>38</v>
      </c>
      <c r="G470" s="3">
        <v>2</v>
      </c>
      <c r="H470" s="3" t="s">
        <v>39</v>
      </c>
      <c r="I470" s="3" t="s">
        <v>40</v>
      </c>
      <c r="J470" s="3" t="s">
        <v>1295</v>
      </c>
      <c r="K470" s="3"/>
      <c r="L470" s="19"/>
      <c r="W470">
        <f t="shared" si="7"/>
        <v>2</v>
      </c>
    </row>
    <row r="471" spans="1:23">
      <c r="A471" s="3" t="s">
        <v>401</v>
      </c>
      <c r="B471" t="str">
        <f>IF(_xlfn.XLOOKUP(A471,PARAMETROS!A:A,PARAMETROS!B:B)=0,"",_xlfn.XLOOKUP(A471,PARAMETROS!A:A,PARAMETROS!B:B))</f>
        <v>012009004121</v>
      </c>
      <c r="C471">
        <f>IF(_xlfn.XLOOKUP(A471,PARAMETROS!A:A,PARAMETROS!C:C)=0,"",_xlfn.XLOOKUP(A471,PARAMETROS!A:A,PARAMETROS!C:C))</f>
        <v>20</v>
      </c>
      <c r="D471">
        <f>IF(_xlfn.XLOOKUP(A471,PARAMETROS!A:A,PARAMETROS!D:D)=0,"",_xlfn.XLOOKUP(A471,PARAMETROS!A:A,PARAMETROS!D:D))</f>
        <v>2</v>
      </c>
      <c r="E471" t="str">
        <f>IF(_xlfn.XLOOKUP('PREENCHIMENTO|LETIVAS'!A471,PARAMETROS!A:A,PARAMETROS!I:I)=0,"",_xlfn.XLOOKUP('PREENCHIMENTO|LETIVAS'!A471,PARAMETROS!A:A,PARAMETROS!I:I))</f>
        <v>PROFESSOR DE ENSINO SUPERIOR EAD</v>
      </c>
      <c r="F471" s="3" t="s">
        <v>38</v>
      </c>
      <c r="G471" s="3">
        <v>2</v>
      </c>
      <c r="H471" s="3" t="s">
        <v>39</v>
      </c>
      <c r="I471" s="3" t="s">
        <v>40</v>
      </c>
      <c r="J471" s="3" t="s">
        <v>1296</v>
      </c>
      <c r="K471" s="3"/>
      <c r="L471" s="19"/>
      <c r="W471">
        <f t="shared" si="7"/>
        <v>2</v>
      </c>
    </row>
    <row r="472" spans="1:23">
      <c r="A472" s="3" t="s">
        <v>721</v>
      </c>
      <c r="B472" t="str">
        <f>IF(_xlfn.XLOOKUP(A472,PARAMETROS!A:A,PARAMETROS!B:B)=0,"",_xlfn.XLOOKUP(A472,PARAMETROS!A:A,PARAMETROS!B:B))</f>
        <v>012009006374</v>
      </c>
      <c r="C472">
        <f>IF(_xlfn.XLOOKUP(A472,PARAMETROS!A:A,PARAMETROS!C:C)=0,"",_xlfn.XLOOKUP(A472,PARAMETROS!A:A,PARAMETROS!C:C))</f>
        <v>12</v>
      </c>
      <c r="D472">
        <f>IF(_xlfn.XLOOKUP(A472,PARAMETROS!A:A,PARAMETROS!D:D)=0,"",_xlfn.XLOOKUP(A472,PARAMETROS!A:A,PARAMETROS!D:D))</f>
        <v>9</v>
      </c>
      <c r="E472" t="str">
        <f>IF(_xlfn.XLOOKUP('PREENCHIMENTO|LETIVAS'!A472,PARAMETROS!A:A,PARAMETROS!I:I)=0,"",_xlfn.XLOOKUP('PREENCHIMENTO|LETIVAS'!A472,PARAMETROS!A:A,PARAMETROS!I:I))</f>
        <v>PROFESSOR REGENTE</v>
      </c>
      <c r="F472" s="3" t="s">
        <v>38</v>
      </c>
      <c r="G472" s="3">
        <v>1</v>
      </c>
      <c r="H472" s="3" t="s">
        <v>39</v>
      </c>
      <c r="I472" s="3" t="s">
        <v>40</v>
      </c>
      <c r="J472" s="3" t="s">
        <v>1297</v>
      </c>
      <c r="K472" s="3"/>
      <c r="L472" s="19"/>
      <c r="W472">
        <f t="shared" si="7"/>
        <v>2</v>
      </c>
    </row>
    <row r="473" spans="1:23">
      <c r="A473" s="3" t="s">
        <v>721</v>
      </c>
      <c r="B473" t="str">
        <f>IF(_xlfn.XLOOKUP(A473,PARAMETROS!A:A,PARAMETROS!B:B)=0,"",_xlfn.XLOOKUP(A473,PARAMETROS!A:A,PARAMETROS!B:B))</f>
        <v>012009006374</v>
      </c>
      <c r="C473">
        <f>IF(_xlfn.XLOOKUP(A473,PARAMETROS!A:A,PARAMETROS!C:C)=0,"",_xlfn.XLOOKUP(A473,PARAMETROS!A:A,PARAMETROS!C:C))</f>
        <v>12</v>
      </c>
      <c r="D473">
        <f>IF(_xlfn.XLOOKUP(A473,PARAMETROS!A:A,PARAMETROS!D:D)=0,"",_xlfn.XLOOKUP(A473,PARAMETROS!A:A,PARAMETROS!D:D))</f>
        <v>9</v>
      </c>
      <c r="E473" t="str">
        <f>IF(_xlfn.XLOOKUP('PREENCHIMENTO|LETIVAS'!A473,PARAMETROS!A:A,PARAMETROS!I:I)=0,"",_xlfn.XLOOKUP('PREENCHIMENTO|LETIVAS'!A473,PARAMETROS!A:A,PARAMETROS!I:I))</f>
        <v>PROFESSOR REGENTE</v>
      </c>
      <c r="F473" s="3" t="s">
        <v>38</v>
      </c>
      <c r="G473" s="3">
        <v>2</v>
      </c>
      <c r="H473" s="3" t="s">
        <v>39</v>
      </c>
      <c r="I473" s="3" t="s">
        <v>33</v>
      </c>
      <c r="J473" s="3" t="s">
        <v>868</v>
      </c>
      <c r="K473" s="3"/>
      <c r="L473" s="19"/>
      <c r="W473">
        <f t="shared" si="7"/>
        <v>2</v>
      </c>
    </row>
    <row r="474" spans="1:23">
      <c r="A474" s="3" t="s">
        <v>389</v>
      </c>
      <c r="B474" t="str">
        <f>IF(_xlfn.XLOOKUP(A474,PARAMETROS!A:A,PARAMETROS!B:B)=0,"",_xlfn.XLOOKUP(A474,PARAMETROS!A:A,PARAMETROS!B:B))</f>
        <v>012009005713</v>
      </c>
      <c r="C474">
        <f>IF(_xlfn.XLOOKUP(A474,PARAMETROS!A:A,PARAMETROS!C:C)=0,"",_xlfn.XLOOKUP(A474,PARAMETROS!A:A,PARAMETROS!C:C))</f>
        <v>20</v>
      </c>
      <c r="D474">
        <f>IF(_xlfn.XLOOKUP(A474,PARAMETROS!A:A,PARAMETROS!D:D)=0,"",_xlfn.XLOOKUP(A474,PARAMETROS!A:A,PARAMETROS!D:D))</f>
        <v>2</v>
      </c>
      <c r="E474" t="str">
        <f>IF(_xlfn.XLOOKUP('PREENCHIMENTO|LETIVAS'!A474,PARAMETROS!A:A,PARAMETROS!I:I)=0,"",_xlfn.XLOOKUP('PREENCHIMENTO|LETIVAS'!A474,PARAMETROS!A:A,PARAMETROS!I:I))</f>
        <v>PROFESSOR DE ENSINO SUPERIOR EAD</v>
      </c>
      <c r="F474" s="3" t="s">
        <v>38</v>
      </c>
      <c r="G474" s="3">
        <v>1</v>
      </c>
      <c r="H474" s="3" t="s">
        <v>39</v>
      </c>
      <c r="I474" s="3" t="s">
        <v>33</v>
      </c>
      <c r="J474" s="3" t="s">
        <v>1298</v>
      </c>
      <c r="K474" s="3"/>
      <c r="L474" s="19"/>
      <c r="W474">
        <f t="shared" si="7"/>
        <v>2</v>
      </c>
    </row>
    <row r="475" spans="1:23">
      <c r="A475" s="3" t="s">
        <v>297</v>
      </c>
      <c r="B475" t="str">
        <f>IF(_xlfn.XLOOKUP(A475,PARAMETROS!A:A,PARAMETROS!B:B)=0,"",_xlfn.XLOOKUP(A475,PARAMETROS!A:A,PARAMETROS!B:B))</f>
        <v>012009005858</v>
      </c>
      <c r="C475">
        <f>IF(_xlfn.XLOOKUP(A475,PARAMETROS!A:A,PARAMETROS!C:C)=0,"",_xlfn.XLOOKUP(A475,PARAMETROS!A:A,PARAMETROS!C:C))</f>
        <v>40</v>
      </c>
      <c r="D475">
        <f>IF(_xlfn.XLOOKUP(A475,PARAMETROS!A:A,PARAMETROS!D:D)=0,"",_xlfn.XLOOKUP(A475,PARAMETROS!A:A,PARAMETROS!D:D))</f>
        <v>4</v>
      </c>
      <c r="E475" t="str">
        <f>IF(_xlfn.XLOOKUP('PREENCHIMENTO|LETIVAS'!A475,PARAMETROS!A:A,PARAMETROS!I:I)=0,"",_xlfn.XLOOKUP('PREENCHIMENTO|LETIVAS'!A475,PARAMETROS!A:A,PARAMETROS!I:I))</f>
        <v>PROFESSOR DE ENSINO SUPERIOR EAD</v>
      </c>
      <c r="F475" s="3" t="s">
        <v>38</v>
      </c>
      <c r="G475" s="3">
        <v>2</v>
      </c>
      <c r="H475" s="3" t="s">
        <v>39</v>
      </c>
      <c r="I475" s="3" t="s">
        <v>33</v>
      </c>
      <c r="J475" s="3" t="s">
        <v>1299</v>
      </c>
      <c r="K475" s="3"/>
      <c r="L475" s="19"/>
      <c r="W475">
        <f t="shared" si="7"/>
        <v>2</v>
      </c>
    </row>
    <row r="476" spans="1:23">
      <c r="A476" s="3" t="s">
        <v>398</v>
      </c>
      <c r="B476" t="str">
        <f>IF(_xlfn.XLOOKUP(A476,PARAMETROS!A:A,PARAMETROS!B:B)=0,"",_xlfn.XLOOKUP(A476,PARAMETROS!A:A,PARAMETROS!B:B))</f>
        <v>012009006236</v>
      </c>
      <c r="C476">
        <f>IF(_xlfn.XLOOKUP(A476,PARAMETROS!A:A,PARAMETROS!C:C)=0,"",_xlfn.XLOOKUP(A476,PARAMETROS!A:A,PARAMETROS!C:C))</f>
        <v>12</v>
      </c>
      <c r="D476">
        <f>IF(_xlfn.XLOOKUP(A476,PARAMETROS!A:A,PARAMETROS!D:D)=0,"",_xlfn.XLOOKUP(A476,PARAMETROS!A:A,PARAMETROS!D:D))</f>
        <v>9</v>
      </c>
      <c r="E476" t="str">
        <f>IF(_xlfn.XLOOKUP('PREENCHIMENTO|LETIVAS'!A476,PARAMETROS!A:A,PARAMETROS!I:I)=0,"",_xlfn.XLOOKUP('PREENCHIMENTO|LETIVAS'!A476,PARAMETROS!A:A,PARAMETROS!I:I))</f>
        <v>PROFESSOR REGENTE</v>
      </c>
      <c r="F476" s="3" t="s">
        <v>38</v>
      </c>
      <c r="G476" s="3" t="s">
        <v>54</v>
      </c>
      <c r="H476" s="3" t="s">
        <v>55</v>
      </c>
      <c r="I476" s="3" t="s">
        <v>40</v>
      </c>
      <c r="J476" s="3" t="s">
        <v>1300</v>
      </c>
      <c r="K476" s="3"/>
      <c r="L476" s="19"/>
      <c r="W476">
        <f t="shared" si="7"/>
        <v>2</v>
      </c>
    </row>
    <row r="477" spans="1:23">
      <c r="A477" s="3" t="s">
        <v>700</v>
      </c>
      <c r="B477" t="str">
        <f>IF(_xlfn.XLOOKUP(A477,PARAMETROS!A:A,PARAMETROS!B:B)=0,"",_xlfn.XLOOKUP(A477,PARAMETROS!A:A,PARAMETROS!B:B))</f>
        <v>012009006356</v>
      </c>
      <c r="C477">
        <f>IF(_xlfn.XLOOKUP(A477,PARAMETROS!A:A,PARAMETROS!C:C)=0,"",_xlfn.XLOOKUP(A477,PARAMETROS!A:A,PARAMETROS!C:C))</f>
        <v>12</v>
      </c>
      <c r="D477">
        <f>IF(_xlfn.XLOOKUP(A477,PARAMETROS!A:A,PARAMETROS!D:D)=0,"",_xlfn.XLOOKUP(A477,PARAMETROS!A:A,PARAMETROS!D:D))</f>
        <v>9</v>
      </c>
      <c r="E477" t="str">
        <f>IF(_xlfn.XLOOKUP('PREENCHIMENTO|LETIVAS'!A477,PARAMETROS!A:A,PARAMETROS!I:I)=0,"",_xlfn.XLOOKUP('PREENCHIMENTO|LETIVAS'!A477,PARAMETROS!A:A,PARAMETROS!I:I))</f>
        <v>PROFESSOR REGENTE</v>
      </c>
      <c r="F477" s="3" t="s">
        <v>38</v>
      </c>
      <c r="G477" s="3" t="s">
        <v>54</v>
      </c>
      <c r="H477" s="3" t="s">
        <v>55</v>
      </c>
      <c r="I477" s="3" t="s">
        <v>33</v>
      </c>
      <c r="J477" s="3" t="s">
        <v>1301</v>
      </c>
      <c r="K477" s="3"/>
      <c r="L477" s="19"/>
      <c r="W477">
        <f t="shared" si="7"/>
        <v>2</v>
      </c>
    </row>
    <row r="478" spans="1:23">
      <c r="A478" s="3" t="s">
        <v>700</v>
      </c>
      <c r="B478" t="str">
        <f>IF(_xlfn.XLOOKUP(A478,PARAMETROS!A:A,PARAMETROS!B:B)=0,"",_xlfn.XLOOKUP(A478,PARAMETROS!A:A,PARAMETROS!B:B))</f>
        <v>012009006356</v>
      </c>
      <c r="C478">
        <f>IF(_xlfn.XLOOKUP(A478,PARAMETROS!A:A,PARAMETROS!C:C)=0,"",_xlfn.XLOOKUP(A478,PARAMETROS!A:A,PARAMETROS!C:C))</f>
        <v>12</v>
      </c>
      <c r="D478">
        <f>IF(_xlfn.XLOOKUP(A478,PARAMETROS!A:A,PARAMETROS!D:D)=0,"",_xlfn.XLOOKUP(A478,PARAMETROS!A:A,PARAMETROS!D:D))</f>
        <v>9</v>
      </c>
      <c r="E478" t="str">
        <f>IF(_xlfn.XLOOKUP('PREENCHIMENTO|LETIVAS'!A478,PARAMETROS!A:A,PARAMETROS!I:I)=0,"",_xlfn.XLOOKUP('PREENCHIMENTO|LETIVAS'!A478,PARAMETROS!A:A,PARAMETROS!I:I))</f>
        <v>PROFESSOR REGENTE</v>
      </c>
      <c r="F478" s="3" t="s">
        <v>38</v>
      </c>
      <c r="G478" s="3">
        <v>2</v>
      </c>
      <c r="H478" s="3" t="s">
        <v>63</v>
      </c>
      <c r="I478" s="3" t="s">
        <v>40</v>
      </c>
      <c r="J478" s="3" t="s">
        <v>1302</v>
      </c>
      <c r="K478" s="3"/>
      <c r="L478" s="19"/>
      <c r="W478">
        <f t="shared" si="7"/>
        <v>2</v>
      </c>
    </row>
    <row r="479" spans="1:23">
      <c r="A479" s="3" t="s">
        <v>700</v>
      </c>
      <c r="B479" t="str">
        <f>IF(_xlfn.XLOOKUP(A479,PARAMETROS!A:A,PARAMETROS!B:B)=0,"",_xlfn.XLOOKUP(A479,PARAMETROS!A:A,PARAMETROS!B:B))</f>
        <v>012009006356</v>
      </c>
      <c r="C479">
        <f>IF(_xlfn.XLOOKUP(A479,PARAMETROS!A:A,PARAMETROS!C:C)=0,"",_xlfn.XLOOKUP(A479,PARAMETROS!A:A,PARAMETROS!C:C))</f>
        <v>12</v>
      </c>
      <c r="D479">
        <f>IF(_xlfn.XLOOKUP(A479,PARAMETROS!A:A,PARAMETROS!D:D)=0,"",_xlfn.XLOOKUP(A479,PARAMETROS!A:A,PARAMETROS!D:D))</f>
        <v>9</v>
      </c>
      <c r="E479" t="str">
        <f>IF(_xlfn.XLOOKUP('PREENCHIMENTO|LETIVAS'!A479,PARAMETROS!A:A,PARAMETROS!I:I)=0,"",_xlfn.XLOOKUP('PREENCHIMENTO|LETIVAS'!A479,PARAMETROS!A:A,PARAMETROS!I:I))</f>
        <v>PROFESSOR REGENTE</v>
      </c>
      <c r="F479" s="3" t="s">
        <v>38</v>
      </c>
      <c r="G479" s="3">
        <v>2</v>
      </c>
      <c r="H479" s="3" t="s">
        <v>63</v>
      </c>
      <c r="I479" s="3" t="s">
        <v>40</v>
      </c>
      <c r="J479" s="3" t="s">
        <v>1301</v>
      </c>
      <c r="K479" s="3"/>
      <c r="L479" s="19"/>
      <c r="W479">
        <f t="shared" si="7"/>
        <v>2</v>
      </c>
    </row>
    <row r="480" spans="1:23">
      <c r="A480" s="3" t="s">
        <v>346</v>
      </c>
      <c r="B480" t="str">
        <f>IF(_xlfn.XLOOKUP(A480,PARAMETROS!A:A,PARAMETROS!B:B)=0,"",_xlfn.XLOOKUP(A480,PARAMETROS!A:A,PARAMETROS!B:B))</f>
        <v>012009005223</v>
      </c>
      <c r="C480">
        <f>IF(_xlfn.XLOOKUP(A480,PARAMETROS!A:A,PARAMETROS!C:C)=0,"",_xlfn.XLOOKUP(A480,PARAMETROS!A:A,PARAMETROS!C:C))</f>
        <v>20</v>
      </c>
      <c r="D480">
        <f>IF(_xlfn.XLOOKUP(A480,PARAMETROS!A:A,PARAMETROS!D:D)=0,"",_xlfn.XLOOKUP(A480,PARAMETROS!A:A,PARAMETROS!D:D))</f>
        <v>2</v>
      </c>
      <c r="E480" t="str">
        <f>IF(_xlfn.XLOOKUP('PREENCHIMENTO|LETIVAS'!A480,PARAMETROS!A:A,PARAMETROS!I:I)=0,"",_xlfn.XLOOKUP('PREENCHIMENTO|LETIVAS'!A480,PARAMETROS!A:A,PARAMETROS!I:I))</f>
        <v>PROFESSOR DE ENSINO SUPERIOR EAD</v>
      </c>
      <c r="F480" s="3" t="s">
        <v>38</v>
      </c>
      <c r="G480" s="3" t="s">
        <v>54</v>
      </c>
      <c r="H480" s="3" t="s">
        <v>55</v>
      </c>
      <c r="I480" s="3" t="s">
        <v>33</v>
      </c>
      <c r="J480" s="3" t="s">
        <v>1303</v>
      </c>
      <c r="K480" s="3"/>
      <c r="L480" s="19"/>
      <c r="W480">
        <f t="shared" si="7"/>
        <v>2</v>
      </c>
    </row>
    <row r="481" spans="1:23">
      <c r="A481" s="3" t="s">
        <v>538</v>
      </c>
      <c r="B481" t="str">
        <f>IF(_xlfn.XLOOKUP(A481,PARAMETROS!A:A,PARAMETROS!B:B)=0,"",_xlfn.XLOOKUP(A481,PARAMETROS!A:A,PARAMETROS!B:B))</f>
        <v>012009005112</v>
      </c>
      <c r="C481">
        <f>IF(_xlfn.XLOOKUP(A481,PARAMETROS!A:A,PARAMETROS!C:C)=0,"",_xlfn.XLOOKUP(A481,PARAMETROS!A:A,PARAMETROS!C:C))</f>
        <v>20</v>
      </c>
      <c r="D481">
        <f>IF(_xlfn.XLOOKUP(A481,PARAMETROS!A:A,PARAMETROS!D:D)=0,"",_xlfn.XLOOKUP(A481,PARAMETROS!A:A,PARAMETROS!D:D))</f>
        <v>2</v>
      </c>
      <c r="E481" t="str">
        <f>IF(_xlfn.XLOOKUP('PREENCHIMENTO|LETIVAS'!A481,PARAMETROS!A:A,PARAMETROS!I:I)=0,"",_xlfn.XLOOKUP('PREENCHIMENTO|LETIVAS'!A481,PARAMETROS!A:A,PARAMETROS!I:I))</f>
        <v>PROFESSOR DE ENSINO SUPERIOR EAD</v>
      </c>
      <c r="F481" s="3" t="s">
        <v>38</v>
      </c>
      <c r="G481" s="3" t="s">
        <v>54</v>
      </c>
      <c r="H481" s="3" t="s">
        <v>55</v>
      </c>
      <c r="I481" s="3" t="s">
        <v>33</v>
      </c>
      <c r="J481" s="3" t="s">
        <v>1304</v>
      </c>
      <c r="K481" s="3"/>
      <c r="L481" s="19"/>
      <c r="W481">
        <f t="shared" si="7"/>
        <v>2</v>
      </c>
    </row>
    <row r="482" spans="1:23">
      <c r="A482" s="3" t="s">
        <v>413</v>
      </c>
      <c r="B482" t="str">
        <f>IF(_xlfn.XLOOKUP(A482,PARAMETROS!A:A,PARAMETROS!B:B)=0,"",_xlfn.XLOOKUP(A482,PARAMETROS!A:A,PARAMETROS!B:B))</f>
        <v>012009006213</v>
      </c>
      <c r="C482">
        <f>IF(_xlfn.XLOOKUP(A482,PARAMETROS!A:A,PARAMETROS!C:C)=0,"",_xlfn.XLOOKUP(A482,PARAMETROS!A:A,PARAMETROS!C:C))</f>
        <v>12</v>
      </c>
      <c r="D482">
        <f>IF(_xlfn.XLOOKUP(A482,PARAMETROS!A:A,PARAMETROS!D:D)=0,"",_xlfn.XLOOKUP(A482,PARAMETROS!A:A,PARAMETROS!D:D))</f>
        <v>9</v>
      </c>
      <c r="E482" t="str">
        <f>IF(_xlfn.XLOOKUP('PREENCHIMENTO|LETIVAS'!A482,PARAMETROS!A:A,PARAMETROS!I:I)=0,"",_xlfn.XLOOKUP('PREENCHIMENTO|LETIVAS'!A482,PARAMETROS!A:A,PARAMETROS!I:I))</f>
        <v>PROFESSOR REGENTE</v>
      </c>
      <c r="F482" s="3" t="s">
        <v>38</v>
      </c>
      <c r="G482" s="3">
        <v>2</v>
      </c>
      <c r="H482" s="3" t="s">
        <v>63</v>
      </c>
      <c r="I482" s="3" t="s">
        <v>40</v>
      </c>
      <c r="J482" s="3" t="s">
        <v>1305</v>
      </c>
      <c r="K482" s="3"/>
      <c r="L482" s="19"/>
      <c r="W482">
        <f t="shared" si="7"/>
        <v>2</v>
      </c>
    </row>
    <row r="483" spans="1:23">
      <c r="A483" s="3" t="s">
        <v>413</v>
      </c>
      <c r="B483" t="str">
        <f>IF(_xlfn.XLOOKUP(A483,PARAMETROS!A:A,PARAMETROS!B:B)=0,"",_xlfn.XLOOKUP(A483,PARAMETROS!A:A,PARAMETROS!B:B))</f>
        <v>012009006213</v>
      </c>
      <c r="C483">
        <f>IF(_xlfn.XLOOKUP(A483,PARAMETROS!A:A,PARAMETROS!C:C)=0,"",_xlfn.XLOOKUP(A483,PARAMETROS!A:A,PARAMETROS!C:C))</f>
        <v>12</v>
      </c>
      <c r="D483">
        <f>IF(_xlfn.XLOOKUP(A483,PARAMETROS!A:A,PARAMETROS!D:D)=0,"",_xlfn.XLOOKUP(A483,PARAMETROS!A:A,PARAMETROS!D:D))</f>
        <v>9</v>
      </c>
      <c r="E483" t="str">
        <f>IF(_xlfn.XLOOKUP('PREENCHIMENTO|LETIVAS'!A483,PARAMETROS!A:A,PARAMETROS!I:I)=0,"",_xlfn.XLOOKUP('PREENCHIMENTO|LETIVAS'!A483,PARAMETROS!A:A,PARAMETROS!I:I))</f>
        <v>PROFESSOR REGENTE</v>
      </c>
      <c r="F483" s="3" t="s">
        <v>38</v>
      </c>
      <c r="G483" s="3" t="s">
        <v>54</v>
      </c>
      <c r="H483" s="3"/>
      <c r="I483" s="3"/>
      <c r="J483" s="3" t="s">
        <v>1306</v>
      </c>
      <c r="K483" s="3"/>
      <c r="L483" s="19"/>
      <c r="W483">
        <f t="shared" si="7"/>
        <v>0</v>
      </c>
    </row>
    <row r="484" spans="1:23">
      <c r="A484" s="3" t="s">
        <v>502</v>
      </c>
      <c r="B484" t="str">
        <f>IF(_xlfn.XLOOKUP(A484,PARAMETROS!A:A,PARAMETROS!B:B)=0,"",_xlfn.XLOOKUP(A484,PARAMETROS!A:A,PARAMETROS!B:B))</f>
        <v>012009003760</v>
      </c>
      <c r="C484">
        <f>IF(_xlfn.XLOOKUP(A484,PARAMETROS!A:A,PARAMETROS!C:C)=0,"",_xlfn.XLOOKUP(A484,PARAMETROS!A:A,PARAMETROS!C:C))</f>
        <v>20</v>
      </c>
      <c r="D484">
        <f>IF(_xlfn.XLOOKUP(A484,PARAMETROS!A:A,PARAMETROS!D:D)=0,"",_xlfn.XLOOKUP(A484,PARAMETROS!A:A,PARAMETROS!D:D))</f>
        <v>2</v>
      </c>
      <c r="E484" t="str">
        <f>IF(_xlfn.XLOOKUP('PREENCHIMENTO|LETIVAS'!A484,PARAMETROS!A:A,PARAMETROS!I:I)=0,"",_xlfn.XLOOKUP('PREENCHIMENTO|LETIVAS'!A484,PARAMETROS!A:A,PARAMETROS!I:I))</f>
        <v>PROFESSOR DE ENSINO SUPERIOR EAD</v>
      </c>
      <c r="F484" s="3" t="s">
        <v>38</v>
      </c>
      <c r="G484" s="3">
        <v>2</v>
      </c>
      <c r="H484" s="3" t="s">
        <v>32</v>
      </c>
      <c r="I484" s="3" t="s">
        <v>40</v>
      </c>
      <c r="J484" s="3" t="s">
        <v>1307</v>
      </c>
      <c r="K484" s="3"/>
      <c r="L484" s="19"/>
      <c r="W484">
        <f t="shared" si="7"/>
        <v>2</v>
      </c>
    </row>
    <row r="485" spans="1:23">
      <c r="A485" s="3" t="s">
        <v>496</v>
      </c>
      <c r="B485" t="str">
        <f>IF(_xlfn.XLOOKUP(A485,PARAMETROS!A:A,PARAMETROS!B:B)=0,"",_xlfn.XLOOKUP(A485,PARAMETROS!A:A,PARAMETROS!B:B))</f>
        <v>012009003709</v>
      </c>
      <c r="C485">
        <f>IF(_xlfn.XLOOKUP(A485,PARAMETROS!A:A,PARAMETROS!C:C)=0,"",_xlfn.XLOOKUP(A485,PARAMETROS!A:A,PARAMETROS!C:C))</f>
        <v>20</v>
      </c>
      <c r="D485">
        <f>IF(_xlfn.XLOOKUP(A485,PARAMETROS!A:A,PARAMETROS!D:D)=0,"",_xlfn.XLOOKUP(A485,PARAMETROS!A:A,PARAMETROS!D:D))</f>
        <v>2</v>
      </c>
      <c r="E485" t="str">
        <f>IF(_xlfn.XLOOKUP('PREENCHIMENTO|LETIVAS'!A485,PARAMETROS!A:A,PARAMETROS!I:I)=0,"",_xlfn.XLOOKUP('PREENCHIMENTO|LETIVAS'!A485,PARAMETROS!A:A,PARAMETROS!I:I))</f>
        <v>PROFESSOR DE ENSINO SUPERIOR EAD</v>
      </c>
      <c r="F485" s="3" t="s">
        <v>38</v>
      </c>
      <c r="G485" s="3">
        <v>2</v>
      </c>
      <c r="H485" s="3" t="s">
        <v>32</v>
      </c>
      <c r="I485" s="3" t="s">
        <v>40</v>
      </c>
      <c r="J485" s="3" t="s">
        <v>1308</v>
      </c>
      <c r="K485" s="3"/>
      <c r="L485" s="19"/>
      <c r="W485">
        <f t="shared" si="7"/>
        <v>2</v>
      </c>
    </row>
    <row r="486" spans="1:23">
      <c r="A486" s="3" t="s">
        <v>496</v>
      </c>
      <c r="B486" t="str">
        <f>IF(_xlfn.XLOOKUP(A486,PARAMETROS!A:A,PARAMETROS!B:B)=0,"",_xlfn.XLOOKUP(A486,PARAMETROS!A:A,PARAMETROS!B:B))</f>
        <v>012009003709</v>
      </c>
      <c r="C486">
        <f>IF(_xlfn.XLOOKUP(A486,PARAMETROS!A:A,PARAMETROS!C:C)=0,"",_xlfn.XLOOKUP(A486,PARAMETROS!A:A,PARAMETROS!C:C))</f>
        <v>20</v>
      </c>
      <c r="D486">
        <f>IF(_xlfn.XLOOKUP(A486,PARAMETROS!A:A,PARAMETROS!D:D)=0,"",_xlfn.XLOOKUP(A486,PARAMETROS!A:A,PARAMETROS!D:D))</f>
        <v>2</v>
      </c>
      <c r="E486" t="str">
        <f>IF(_xlfn.XLOOKUP('PREENCHIMENTO|LETIVAS'!A486,PARAMETROS!A:A,PARAMETROS!I:I)=0,"",_xlfn.XLOOKUP('PREENCHIMENTO|LETIVAS'!A486,PARAMETROS!A:A,PARAMETROS!I:I))</f>
        <v>PROFESSOR DE ENSINO SUPERIOR EAD</v>
      </c>
      <c r="F486" s="3" t="s">
        <v>38</v>
      </c>
      <c r="G486" s="3">
        <v>2</v>
      </c>
      <c r="H486" s="3" t="s">
        <v>32</v>
      </c>
      <c r="I486" s="3" t="s">
        <v>33</v>
      </c>
      <c r="J486" s="3" t="s">
        <v>1309</v>
      </c>
      <c r="K486" s="3"/>
      <c r="L486" s="19"/>
      <c r="W486">
        <f t="shared" si="7"/>
        <v>2</v>
      </c>
    </row>
    <row r="487" spans="1:23">
      <c r="A487" s="3" t="s">
        <v>487</v>
      </c>
      <c r="B487" t="str">
        <f>IF(_xlfn.XLOOKUP(A487,PARAMETROS!A:A,PARAMETROS!B:B)=0,"",_xlfn.XLOOKUP(A487,PARAMETROS!A:A,PARAMETROS!B:B))</f>
        <v>012009005492</v>
      </c>
      <c r="C487">
        <f>IF(_xlfn.XLOOKUP(A487,PARAMETROS!A:A,PARAMETROS!C:C)=0,"",_xlfn.XLOOKUP(A487,PARAMETROS!A:A,PARAMETROS!C:C))</f>
        <v>20</v>
      </c>
      <c r="D487">
        <f>IF(_xlfn.XLOOKUP(A487,PARAMETROS!A:A,PARAMETROS!D:D)=0,"",_xlfn.XLOOKUP(A487,PARAMETROS!A:A,PARAMETROS!D:D))</f>
        <v>2</v>
      </c>
      <c r="E487" t="str">
        <f>IF(_xlfn.XLOOKUP('PREENCHIMENTO|LETIVAS'!A487,PARAMETROS!A:A,PARAMETROS!I:I)=0,"",_xlfn.XLOOKUP('PREENCHIMENTO|LETIVAS'!A487,PARAMETROS!A:A,PARAMETROS!I:I))</f>
        <v>PROFESSOR DE ENSINO SUPERIOR EAD</v>
      </c>
      <c r="F487" s="3" t="s">
        <v>38</v>
      </c>
      <c r="G487" s="3">
        <v>1</v>
      </c>
      <c r="H487" s="3" t="s">
        <v>32</v>
      </c>
      <c r="I487" s="3" t="s">
        <v>33</v>
      </c>
      <c r="J487" s="3" t="s">
        <v>1310</v>
      </c>
      <c r="K487" s="3"/>
      <c r="L487" s="19"/>
      <c r="W487">
        <f t="shared" si="7"/>
        <v>2</v>
      </c>
    </row>
    <row r="488" spans="1:23">
      <c r="A488" s="3" t="s">
        <v>249</v>
      </c>
      <c r="B488" t="str">
        <f>IF(_xlfn.XLOOKUP(A488,PARAMETROS!A:A,PARAMETROS!B:B)=0,"",_xlfn.XLOOKUP(A488,PARAMETROS!A:A,PARAMETROS!B:B))</f>
        <v>012009006206</v>
      </c>
      <c r="C488">
        <f>IF(_xlfn.XLOOKUP(A488,PARAMETROS!A:A,PARAMETROS!C:C)=0,"",_xlfn.XLOOKUP(A488,PARAMETROS!A:A,PARAMETROS!C:C))</f>
        <v>12</v>
      </c>
      <c r="D488">
        <f>IF(_xlfn.XLOOKUP(A488,PARAMETROS!A:A,PARAMETROS!D:D)=0,"",_xlfn.XLOOKUP(A488,PARAMETROS!A:A,PARAMETROS!D:D))</f>
        <v>9</v>
      </c>
      <c r="E488" t="str">
        <f>IF(_xlfn.XLOOKUP('PREENCHIMENTO|LETIVAS'!A488,PARAMETROS!A:A,PARAMETROS!I:I)=0,"",_xlfn.XLOOKUP('PREENCHIMENTO|LETIVAS'!A488,PARAMETROS!A:A,PARAMETROS!I:I))</f>
        <v>PROFESSOR REGENTE</v>
      </c>
      <c r="F488" s="3" t="s">
        <v>38</v>
      </c>
      <c r="G488" s="3">
        <v>2</v>
      </c>
      <c r="H488" s="3" t="s">
        <v>32</v>
      </c>
      <c r="I488" s="3" t="s">
        <v>40</v>
      </c>
      <c r="J488" s="3" t="s">
        <v>1311</v>
      </c>
      <c r="K488" s="3"/>
      <c r="L488" s="19"/>
      <c r="W488">
        <f t="shared" si="7"/>
        <v>2</v>
      </c>
    </row>
    <row r="489" spans="1:23">
      <c r="A489" s="3" t="s">
        <v>249</v>
      </c>
      <c r="B489" t="str">
        <f>IF(_xlfn.XLOOKUP(A489,PARAMETROS!A:A,PARAMETROS!B:B)=0,"",_xlfn.XLOOKUP(A489,PARAMETROS!A:A,PARAMETROS!B:B))</f>
        <v>012009006206</v>
      </c>
      <c r="C489">
        <f>IF(_xlfn.XLOOKUP(A489,PARAMETROS!A:A,PARAMETROS!C:C)=0,"",_xlfn.XLOOKUP(A489,PARAMETROS!A:A,PARAMETROS!C:C))</f>
        <v>12</v>
      </c>
      <c r="D489">
        <f>IF(_xlfn.XLOOKUP(A489,PARAMETROS!A:A,PARAMETROS!D:D)=0,"",_xlfn.XLOOKUP(A489,PARAMETROS!A:A,PARAMETROS!D:D))</f>
        <v>9</v>
      </c>
      <c r="E489" t="str">
        <f>IF(_xlfn.XLOOKUP('PREENCHIMENTO|LETIVAS'!A489,PARAMETROS!A:A,PARAMETROS!I:I)=0,"",_xlfn.XLOOKUP('PREENCHIMENTO|LETIVAS'!A489,PARAMETROS!A:A,PARAMETROS!I:I))</f>
        <v>PROFESSOR REGENTE</v>
      </c>
      <c r="F489" s="3" t="s">
        <v>38</v>
      </c>
      <c r="G489" s="3">
        <v>1</v>
      </c>
      <c r="H489" s="3" t="s">
        <v>55</v>
      </c>
      <c r="I489" s="3" t="s">
        <v>33</v>
      </c>
      <c r="J489" s="3" t="s">
        <v>1312</v>
      </c>
      <c r="K489" s="3"/>
      <c r="L489" s="19"/>
      <c r="W489">
        <f t="shared" si="7"/>
        <v>2</v>
      </c>
    </row>
    <row r="490" spans="1:23">
      <c r="A490" s="3" t="s">
        <v>249</v>
      </c>
      <c r="B490" t="str">
        <f>IF(_xlfn.XLOOKUP(A490,PARAMETROS!A:A,PARAMETROS!B:B)=0,"",_xlfn.XLOOKUP(A490,PARAMETROS!A:A,PARAMETROS!B:B))</f>
        <v>012009006206</v>
      </c>
      <c r="C490">
        <f>IF(_xlfn.XLOOKUP(A490,PARAMETROS!A:A,PARAMETROS!C:C)=0,"",_xlfn.XLOOKUP(A490,PARAMETROS!A:A,PARAMETROS!C:C))</f>
        <v>12</v>
      </c>
      <c r="D490">
        <f>IF(_xlfn.XLOOKUP(A490,PARAMETROS!A:A,PARAMETROS!D:D)=0,"",_xlfn.XLOOKUP(A490,PARAMETROS!A:A,PARAMETROS!D:D))</f>
        <v>9</v>
      </c>
      <c r="E490" t="str">
        <f>IF(_xlfn.XLOOKUP('PREENCHIMENTO|LETIVAS'!A490,PARAMETROS!A:A,PARAMETROS!I:I)=0,"",_xlfn.XLOOKUP('PREENCHIMENTO|LETIVAS'!A490,PARAMETROS!A:A,PARAMETROS!I:I))</f>
        <v>PROFESSOR REGENTE</v>
      </c>
      <c r="F490" s="3" t="s">
        <v>38</v>
      </c>
      <c r="G490" s="3">
        <v>2</v>
      </c>
      <c r="H490" s="3" t="s">
        <v>55</v>
      </c>
      <c r="I490" s="3" t="s">
        <v>40</v>
      </c>
      <c r="J490" s="3" t="s">
        <v>1313</v>
      </c>
      <c r="K490" s="3"/>
      <c r="L490" s="19"/>
      <c r="W490">
        <f t="shared" si="7"/>
        <v>2</v>
      </c>
    </row>
    <row r="491" spans="1:23">
      <c r="A491" s="3" t="s">
        <v>694</v>
      </c>
      <c r="B491" t="str">
        <f>IF(_xlfn.XLOOKUP(A491,PARAMETROS!A:A,PARAMETROS!B:B)=0,"",_xlfn.XLOOKUP(A491,PARAMETROS!A:A,PARAMETROS!B:B))</f>
        <v>012009006361</v>
      </c>
      <c r="C491">
        <f>IF(_xlfn.XLOOKUP(A491,PARAMETROS!A:A,PARAMETROS!C:C)=0,"",_xlfn.XLOOKUP(A491,PARAMETROS!A:A,PARAMETROS!C:C))</f>
        <v>12</v>
      </c>
      <c r="D491">
        <f>IF(_xlfn.XLOOKUP(A491,PARAMETROS!A:A,PARAMETROS!D:D)=0,"",_xlfn.XLOOKUP(A491,PARAMETROS!A:A,PARAMETROS!D:D))</f>
        <v>9</v>
      </c>
      <c r="E491" t="str">
        <f>IF(_xlfn.XLOOKUP('PREENCHIMENTO|LETIVAS'!A491,PARAMETROS!A:A,PARAMETROS!I:I)=0,"",_xlfn.XLOOKUP('PREENCHIMENTO|LETIVAS'!A491,PARAMETROS!A:A,PARAMETROS!I:I))</f>
        <v>PROFESSOR REGENTE</v>
      </c>
      <c r="F491" s="3" t="s">
        <v>38</v>
      </c>
      <c r="G491" s="3">
        <v>1</v>
      </c>
      <c r="H491" s="3" t="s">
        <v>39</v>
      </c>
      <c r="I491" s="3" t="s">
        <v>40</v>
      </c>
      <c r="J491" s="3" t="s">
        <v>1314</v>
      </c>
      <c r="K491" s="3"/>
      <c r="L491" s="19"/>
      <c r="W491">
        <f t="shared" si="7"/>
        <v>2</v>
      </c>
    </row>
    <row r="492" spans="1:23">
      <c r="A492" s="3" t="s">
        <v>694</v>
      </c>
      <c r="B492" t="str">
        <f>IF(_xlfn.XLOOKUP(A492,PARAMETROS!A:A,PARAMETROS!B:B)=0,"",_xlfn.XLOOKUP(A492,PARAMETROS!A:A,PARAMETROS!B:B))</f>
        <v>012009006361</v>
      </c>
      <c r="C492">
        <f>IF(_xlfn.XLOOKUP(A492,PARAMETROS!A:A,PARAMETROS!C:C)=0,"",_xlfn.XLOOKUP(A492,PARAMETROS!A:A,PARAMETROS!C:C))</f>
        <v>12</v>
      </c>
      <c r="D492">
        <f>IF(_xlfn.XLOOKUP(A492,PARAMETROS!A:A,PARAMETROS!D:D)=0,"",_xlfn.XLOOKUP(A492,PARAMETROS!A:A,PARAMETROS!D:D))</f>
        <v>9</v>
      </c>
      <c r="E492" t="str">
        <f>IF(_xlfn.XLOOKUP('PREENCHIMENTO|LETIVAS'!A492,PARAMETROS!A:A,PARAMETROS!I:I)=0,"",_xlfn.XLOOKUP('PREENCHIMENTO|LETIVAS'!A492,PARAMETROS!A:A,PARAMETROS!I:I))</f>
        <v>PROFESSOR REGENTE</v>
      </c>
      <c r="F492" s="3" t="s">
        <v>38</v>
      </c>
      <c r="G492" s="3">
        <v>1</v>
      </c>
      <c r="H492" s="3" t="s">
        <v>39</v>
      </c>
      <c r="I492" s="3" t="s">
        <v>33</v>
      </c>
      <c r="J492" s="3" t="s">
        <v>1315</v>
      </c>
      <c r="K492" s="3"/>
      <c r="L492" s="19"/>
    </row>
    <row r="493" spans="1:23">
      <c r="A493" s="3" t="s">
        <v>282</v>
      </c>
      <c r="B493" t="str">
        <f>IF(_xlfn.XLOOKUP(A493,PARAMETROS!A:A,PARAMETROS!B:B)=0,"",_xlfn.XLOOKUP(A493,PARAMETROS!A:A,PARAMETROS!B:B))</f>
        <v>012009005578</v>
      </c>
      <c r="C493">
        <f>IF(_xlfn.XLOOKUP(A493,PARAMETROS!A:A,PARAMETROS!C:C)=0,"",_xlfn.XLOOKUP(A493,PARAMETROS!A:A,PARAMETROS!C:C))</f>
        <v>20</v>
      </c>
      <c r="D493">
        <f>IF(_xlfn.XLOOKUP(A493,PARAMETROS!A:A,PARAMETROS!D:D)=0,"",_xlfn.XLOOKUP(A493,PARAMETROS!A:A,PARAMETROS!D:D))</f>
        <v>2</v>
      </c>
      <c r="E493" t="str">
        <f>IF(_xlfn.XLOOKUP('PREENCHIMENTO|LETIVAS'!A493,PARAMETROS!A:A,PARAMETROS!I:I)=0,"",_xlfn.XLOOKUP('PREENCHIMENTO|LETIVAS'!A493,PARAMETROS!A:A,PARAMETROS!I:I))</f>
        <v>PROFESSOR DE ENSINO SUPERIOR EAD</v>
      </c>
      <c r="F493" s="3" t="s">
        <v>38</v>
      </c>
      <c r="G493" s="3">
        <v>2</v>
      </c>
      <c r="H493" s="3" t="s">
        <v>55</v>
      </c>
      <c r="I493" s="3" t="s">
        <v>33</v>
      </c>
      <c r="J493" s="3" t="s">
        <v>1316</v>
      </c>
      <c r="K493" s="3"/>
      <c r="L493" s="19"/>
    </row>
    <row r="494" spans="1:23">
      <c r="A494" s="3" t="s">
        <v>282</v>
      </c>
      <c r="B494" t="str">
        <f>IF(_xlfn.XLOOKUP(A494,PARAMETROS!A:A,PARAMETROS!B:B)=0,"",_xlfn.XLOOKUP(A494,PARAMETROS!A:A,PARAMETROS!B:B))</f>
        <v>012009005578</v>
      </c>
      <c r="C494">
        <f>IF(_xlfn.XLOOKUP(A494,PARAMETROS!A:A,PARAMETROS!C:C)=0,"",_xlfn.XLOOKUP(A494,PARAMETROS!A:A,PARAMETROS!C:C))</f>
        <v>20</v>
      </c>
      <c r="D494">
        <f>IF(_xlfn.XLOOKUP(A494,PARAMETROS!A:A,PARAMETROS!D:D)=0,"",_xlfn.XLOOKUP(A494,PARAMETROS!A:A,PARAMETROS!D:D))</f>
        <v>2</v>
      </c>
      <c r="E494" t="str">
        <f>IF(_xlfn.XLOOKUP('PREENCHIMENTO|LETIVAS'!A494,PARAMETROS!A:A,PARAMETROS!I:I)=0,"",_xlfn.XLOOKUP('PREENCHIMENTO|LETIVAS'!A494,PARAMETROS!A:A,PARAMETROS!I:I))</f>
        <v>PROFESSOR DE ENSINO SUPERIOR EAD</v>
      </c>
      <c r="F494" s="3" t="s">
        <v>38</v>
      </c>
      <c r="G494" s="3">
        <v>2</v>
      </c>
      <c r="H494" s="3" t="s">
        <v>39</v>
      </c>
      <c r="I494" s="3" t="s">
        <v>33</v>
      </c>
      <c r="J494" s="3" t="s">
        <v>1317</v>
      </c>
      <c r="K494" s="3"/>
      <c r="L494" s="19"/>
    </row>
    <row r="495" spans="1:23">
      <c r="A495" s="3" t="s">
        <v>517</v>
      </c>
      <c r="B495" t="str">
        <f>IF(_xlfn.XLOOKUP(A495,PARAMETROS!A:A,PARAMETROS!B:B)=0,"",_xlfn.XLOOKUP(A495,PARAMETROS!A:A,PARAMETROS!B:B))</f>
        <v>012009003838</v>
      </c>
      <c r="C495">
        <f>IF(_xlfn.XLOOKUP(A495,PARAMETROS!A:A,PARAMETROS!C:C)=0,"",_xlfn.XLOOKUP(A495,PARAMETROS!A:A,PARAMETROS!C:C))</f>
        <v>20</v>
      </c>
      <c r="D495">
        <f>IF(_xlfn.XLOOKUP(A495,PARAMETROS!A:A,PARAMETROS!D:D)=0,"",_xlfn.XLOOKUP(A495,PARAMETROS!A:A,PARAMETROS!D:D))</f>
        <v>2</v>
      </c>
      <c r="E495" t="str">
        <f>IF(_xlfn.XLOOKUP('PREENCHIMENTO|LETIVAS'!A495,PARAMETROS!A:A,PARAMETROS!I:I)=0,"",_xlfn.XLOOKUP('PREENCHIMENTO|LETIVAS'!A495,PARAMETROS!A:A,PARAMETROS!I:I))</f>
        <v>PROFESSOR DE ENSINO SUPERIOR EAD</v>
      </c>
      <c r="F495" s="3" t="s">
        <v>38</v>
      </c>
      <c r="G495" s="3">
        <v>2</v>
      </c>
      <c r="H495" s="3" t="s">
        <v>55</v>
      </c>
      <c r="I495" s="3" t="s">
        <v>40</v>
      </c>
      <c r="J495" s="3" t="s">
        <v>1318</v>
      </c>
      <c r="K495" s="3"/>
      <c r="L495" s="19"/>
    </row>
    <row r="496" spans="1:23">
      <c r="A496" s="3" t="s">
        <v>517</v>
      </c>
      <c r="B496" t="str">
        <f>IF(_xlfn.XLOOKUP(A496,PARAMETROS!A:A,PARAMETROS!B:B)=0,"",_xlfn.XLOOKUP(A496,PARAMETROS!A:A,PARAMETROS!B:B))</f>
        <v>012009003838</v>
      </c>
      <c r="C496">
        <f>IF(_xlfn.XLOOKUP(A496,PARAMETROS!A:A,PARAMETROS!C:C)=0,"",_xlfn.XLOOKUP(A496,PARAMETROS!A:A,PARAMETROS!C:C))</f>
        <v>20</v>
      </c>
      <c r="D496">
        <f>IF(_xlfn.XLOOKUP(A496,PARAMETROS!A:A,PARAMETROS!D:D)=0,"",_xlfn.XLOOKUP(A496,PARAMETROS!A:A,PARAMETROS!D:D))</f>
        <v>2</v>
      </c>
      <c r="E496" t="str">
        <f>IF(_xlfn.XLOOKUP('PREENCHIMENTO|LETIVAS'!A496,PARAMETROS!A:A,PARAMETROS!I:I)=0,"",_xlfn.XLOOKUP('PREENCHIMENTO|LETIVAS'!A496,PARAMETROS!A:A,PARAMETROS!I:I))</f>
        <v>PROFESSOR DE ENSINO SUPERIOR EAD</v>
      </c>
      <c r="F496" s="3" t="s">
        <v>38</v>
      </c>
      <c r="G496" s="3">
        <v>2</v>
      </c>
      <c r="H496" s="3" t="s">
        <v>55</v>
      </c>
      <c r="I496" s="3" t="s">
        <v>33</v>
      </c>
      <c r="J496" s="3" t="s">
        <v>1236</v>
      </c>
      <c r="K496" s="3"/>
      <c r="L496" s="19"/>
    </row>
    <row r="497" spans="1:12">
      <c r="A497" s="3" t="s">
        <v>638</v>
      </c>
      <c r="B497" t="str">
        <f>IF(_xlfn.XLOOKUP(A497,PARAMETROS!A:A,PARAMETROS!B:B)=0,"",_xlfn.XLOOKUP(A497,PARAMETROS!A:A,PARAMETROS!B:B))</f>
        <v>012009006279</v>
      </c>
      <c r="C497">
        <f>IF(_xlfn.XLOOKUP(A497,PARAMETROS!A:A,PARAMETROS!C:C)=0,"",_xlfn.XLOOKUP(A497,PARAMETROS!A:A,PARAMETROS!C:C))</f>
        <v>40</v>
      </c>
      <c r="D497">
        <f>IF(_xlfn.XLOOKUP(A497,PARAMETROS!A:A,PARAMETROS!D:D)=0,"",_xlfn.XLOOKUP(A497,PARAMETROS!A:A,PARAMETROS!D:D))</f>
        <v>20</v>
      </c>
      <c r="E497" t="str">
        <f>IF(_xlfn.XLOOKUP('PREENCHIMENTO|LETIVAS'!A497,PARAMETROS!A:A,PARAMETROS!I:I)=0,"",_xlfn.XLOOKUP('PREENCHIMENTO|LETIVAS'!A497,PARAMETROS!A:A,PARAMETROS!I:I))</f>
        <v>PROFESSOR REGENTE</v>
      </c>
      <c r="F497" s="3" t="s">
        <v>38</v>
      </c>
      <c r="G497" s="3">
        <v>1</v>
      </c>
      <c r="H497" s="3" t="s">
        <v>39</v>
      </c>
      <c r="I497" s="3" t="s">
        <v>33</v>
      </c>
      <c r="J497" s="3" t="s">
        <v>1319</v>
      </c>
      <c r="K497" s="3"/>
      <c r="L497" s="19"/>
    </row>
    <row r="498" spans="1:12">
      <c r="A498" s="3" t="s">
        <v>638</v>
      </c>
      <c r="B498" t="str">
        <f>IF(_xlfn.XLOOKUP(A498,PARAMETROS!A:A,PARAMETROS!B:B)=0,"",_xlfn.XLOOKUP(A498,PARAMETROS!A:A,PARAMETROS!B:B))</f>
        <v>012009006279</v>
      </c>
      <c r="C498">
        <f>IF(_xlfn.XLOOKUP(A498,PARAMETROS!A:A,PARAMETROS!C:C)=0,"",_xlfn.XLOOKUP(A498,PARAMETROS!A:A,PARAMETROS!C:C))</f>
        <v>40</v>
      </c>
      <c r="D498">
        <f>IF(_xlfn.XLOOKUP(A498,PARAMETROS!A:A,PARAMETROS!D:D)=0,"",_xlfn.XLOOKUP(A498,PARAMETROS!A:A,PARAMETROS!D:D))</f>
        <v>20</v>
      </c>
      <c r="E498" t="str">
        <f>IF(_xlfn.XLOOKUP('PREENCHIMENTO|LETIVAS'!A498,PARAMETROS!A:A,PARAMETROS!I:I)=0,"",_xlfn.XLOOKUP('PREENCHIMENTO|LETIVAS'!A498,PARAMETROS!A:A,PARAMETROS!I:I))</f>
        <v>PROFESSOR REGENTE</v>
      </c>
      <c r="F498" s="3" t="s">
        <v>38</v>
      </c>
      <c r="G498" s="3" t="s">
        <v>54</v>
      </c>
      <c r="H498" s="3" t="s">
        <v>55</v>
      </c>
      <c r="I498" s="3" t="s">
        <v>40</v>
      </c>
      <c r="J498" s="3" t="s">
        <v>1320</v>
      </c>
      <c r="K498" s="3"/>
      <c r="L498" s="19"/>
    </row>
    <row r="499" spans="1:12">
      <c r="A499" s="3" t="s">
        <v>638</v>
      </c>
      <c r="B499" t="str">
        <f>IF(_xlfn.XLOOKUP(A499,PARAMETROS!A:A,PARAMETROS!B:B)=0,"",_xlfn.XLOOKUP(A499,PARAMETROS!A:A,PARAMETROS!B:B))</f>
        <v>012009006279</v>
      </c>
      <c r="C499">
        <f>IF(_xlfn.XLOOKUP(A499,PARAMETROS!A:A,PARAMETROS!C:C)=0,"",_xlfn.XLOOKUP(A499,PARAMETROS!A:A,PARAMETROS!C:C))</f>
        <v>40</v>
      </c>
      <c r="D499">
        <f>IF(_xlfn.XLOOKUP(A499,PARAMETROS!A:A,PARAMETROS!D:D)=0,"",_xlfn.XLOOKUP(A499,PARAMETROS!A:A,PARAMETROS!D:D))</f>
        <v>20</v>
      </c>
      <c r="E499" t="str">
        <f>IF(_xlfn.XLOOKUP('PREENCHIMENTO|LETIVAS'!A499,PARAMETROS!A:A,PARAMETROS!I:I)=0,"",_xlfn.XLOOKUP('PREENCHIMENTO|LETIVAS'!A499,PARAMETROS!A:A,PARAMETROS!I:I))</f>
        <v>PROFESSOR REGENTE</v>
      </c>
      <c r="F499" s="3" t="s">
        <v>38</v>
      </c>
      <c r="G499" s="3" t="s">
        <v>54</v>
      </c>
      <c r="H499" s="3" t="s">
        <v>55</v>
      </c>
      <c r="I499" s="3" t="s">
        <v>33</v>
      </c>
      <c r="J499" s="3" t="s">
        <v>1321</v>
      </c>
      <c r="K499" s="3"/>
      <c r="L499" s="19"/>
    </row>
    <row r="500" spans="1:12">
      <c r="A500" s="3" t="s">
        <v>662</v>
      </c>
      <c r="B500" t="str">
        <f>IF(_xlfn.XLOOKUP(A500,PARAMETROS!A:A,PARAMETROS!B:B)=0,"",_xlfn.XLOOKUP(A500,PARAMETROS!A:A,PARAMETROS!B:B))</f>
        <v>012009004054</v>
      </c>
      <c r="C500">
        <f>IF(_xlfn.XLOOKUP(A500,PARAMETROS!A:A,PARAMETROS!C:C)=0,"",_xlfn.XLOOKUP(A500,PARAMETROS!A:A,PARAMETROS!C:C))</f>
        <v>40</v>
      </c>
      <c r="D500">
        <f>IF(_xlfn.XLOOKUP(A500,PARAMETROS!A:A,PARAMETROS!D:D)=0,"",_xlfn.XLOOKUP(A500,PARAMETROS!A:A,PARAMETROS!D:D))</f>
        <v>20</v>
      </c>
      <c r="E500" t="str">
        <f>IF(_xlfn.XLOOKUP('PREENCHIMENTO|LETIVAS'!A500,PARAMETROS!A:A,PARAMETROS!I:I)=0,"",_xlfn.XLOOKUP('PREENCHIMENTO|LETIVAS'!A500,PARAMETROS!A:A,PARAMETROS!I:I))</f>
        <v>PROFESSOR REGENTE</v>
      </c>
      <c r="F500" s="3" t="s">
        <v>38</v>
      </c>
      <c r="G500" s="3">
        <v>2</v>
      </c>
      <c r="H500" s="3" t="s">
        <v>39</v>
      </c>
      <c r="I500" s="3" t="s">
        <v>33</v>
      </c>
      <c r="J500" s="3" t="s">
        <v>1322</v>
      </c>
      <c r="K500" s="3"/>
      <c r="L500" s="19"/>
    </row>
    <row r="501" spans="1:12">
      <c r="A501" s="3" t="s">
        <v>662</v>
      </c>
      <c r="B501" t="str">
        <f>IF(_xlfn.XLOOKUP(A501,PARAMETROS!A:A,PARAMETROS!B:B)=0,"",_xlfn.XLOOKUP(A501,PARAMETROS!A:A,PARAMETROS!B:B))</f>
        <v>012009004054</v>
      </c>
      <c r="C501">
        <f>IF(_xlfn.XLOOKUP(A501,PARAMETROS!A:A,PARAMETROS!C:C)=0,"",_xlfn.XLOOKUP(A501,PARAMETROS!A:A,PARAMETROS!C:C))</f>
        <v>40</v>
      </c>
      <c r="D501">
        <f>IF(_xlfn.XLOOKUP(A501,PARAMETROS!A:A,PARAMETROS!D:D)=0,"",_xlfn.XLOOKUP(A501,PARAMETROS!A:A,PARAMETROS!D:D))</f>
        <v>20</v>
      </c>
      <c r="E501" t="str">
        <f>IF(_xlfn.XLOOKUP('PREENCHIMENTO|LETIVAS'!A501,PARAMETROS!A:A,PARAMETROS!I:I)=0,"",_xlfn.XLOOKUP('PREENCHIMENTO|LETIVAS'!A501,PARAMETROS!A:A,PARAMETROS!I:I))</f>
        <v>PROFESSOR REGENTE</v>
      </c>
      <c r="F501" s="3" t="s">
        <v>38</v>
      </c>
      <c r="G501" s="3">
        <v>2</v>
      </c>
      <c r="H501" s="3" t="s">
        <v>32</v>
      </c>
      <c r="I501" s="3" t="s">
        <v>33</v>
      </c>
      <c r="J501" s="3" t="s">
        <v>1323</v>
      </c>
      <c r="K501" s="3"/>
      <c r="L501" s="19"/>
    </row>
    <row r="502" spans="1:12">
      <c r="A502" s="3" t="s">
        <v>662</v>
      </c>
      <c r="B502" t="str">
        <f>IF(_xlfn.XLOOKUP(A502,PARAMETROS!A:A,PARAMETROS!B:B)=0,"",_xlfn.XLOOKUP(A502,PARAMETROS!A:A,PARAMETROS!B:B))</f>
        <v>012009004054</v>
      </c>
      <c r="C502">
        <f>IF(_xlfn.XLOOKUP(A502,PARAMETROS!A:A,PARAMETROS!C:C)=0,"",_xlfn.XLOOKUP(A502,PARAMETROS!A:A,PARAMETROS!C:C))</f>
        <v>40</v>
      </c>
      <c r="D502">
        <f>IF(_xlfn.XLOOKUP(A502,PARAMETROS!A:A,PARAMETROS!D:D)=0,"",_xlfn.XLOOKUP(A502,PARAMETROS!A:A,PARAMETROS!D:D))</f>
        <v>20</v>
      </c>
      <c r="E502" t="str">
        <f>IF(_xlfn.XLOOKUP('PREENCHIMENTO|LETIVAS'!A502,PARAMETROS!A:A,PARAMETROS!I:I)=0,"",_xlfn.XLOOKUP('PREENCHIMENTO|LETIVAS'!A502,PARAMETROS!A:A,PARAMETROS!I:I))</f>
        <v>PROFESSOR REGENTE</v>
      </c>
      <c r="F502" s="3" t="s">
        <v>38</v>
      </c>
      <c r="G502" s="3">
        <v>2</v>
      </c>
      <c r="H502" s="3" t="s">
        <v>32</v>
      </c>
      <c r="I502" s="3" t="s">
        <v>33</v>
      </c>
      <c r="J502" s="3" t="s">
        <v>1324</v>
      </c>
      <c r="K502" s="3"/>
      <c r="L502" s="19"/>
    </row>
    <row r="503" spans="1:12">
      <c r="A503" s="3" t="s">
        <v>662</v>
      </c>
      <c r="B503" t="str">
        <f>IF(_xlfn.XLOOKUP(A503,PARAMETROS!A:A,PARAMETROS!B:B)=0,"",_xlfn.XLOOKUP(A503,PARAMETROS!A:A,PARAMETROS!B:B))</f>
        <v>012009004054</v>
      </c>
      <c r="C503">
        <f>IF(_xlfn.XLOOKUP(A503,PARAMETROS!A:A,PARAMETROS!C:C)=0,"",_xlfn.XLOOKUP(A503,PARAMETROS!A:A,PARAMETROS!C:C))</f>
        <v>40</v>
      </c>
      <c r="D503">
        <f>IF(_xlfn.XLOOKUP(A503,PARAMETROS!A:A,PARAMETROS!D:D)=0,"",_xlfn.XLOOKUP(A503,PARAMETROS!A:A,PARAMETROS!D:D))</f>
        <v>20</v>
      </c>
      <c r="E503" t="str">
        <f>IF(_xlfn.XLOOKUP('PREENCHIMENTO|LETIVAS'!A503,PARAMETROS!A:A,PARAMETROS!I:I)=0,"",_xlfn.XLOOKUP('PREENCHIMENTO|LETIVAS'!A503,PARAMETROS!A:A,PARAMETROS!I:I))</f>
        <v>PROFESSOR REGENTE</v>
      </c>
      <c r="F503" s="3" t="s">
        <v>38</v>
      </c>
      <c r="G503" s="3" t="s">
        <v>54</v>
      </c>
      <c r="H503" s="3" t="s">
        <v>55</v>
      </c>
      <c r="I503" s="3" t="s">
        <v>40</v>
      </c>
      <c r="J503" s="3" t="s">
        <v>1325</v>
      </c>
      <c r="K503" s="3"/>
      <c r="L503" s="19"/>
    </row>
    <row r="504" spans="1:12">
      <c r="A504" s="3" t="s">
        <v>662</v>
      </c>
      <c r="B504" t="str">
        <f>IF(_xlfn.XLOOKUP(A504,PARAMETROS!A:A,PARAMETROS!B:B)=0,"",_xlfn.XLOOKUP(A504,PARAMETROS!A:A,PARAMETROS!B:B))</f>
        <v>012009004054</v>
      </c>
      <c r="C504">
        <f>IF(_xlfn.XLOOKUP(A504,PARAMETROS!A:A,PARAMETROS!C:C)=0,"",_xlfn.XLOOKUP(A504,PARAMETROS!A:A,PARAMETROS!C:C))</f>
        <v>40</v>
      </c>
      <c r="D504">
        <f>IF(_xlfn.XLOOKUP(A504,PARAMETROS!A:A,PARAMETROS!D:D)=0,"",_xlfn.XLOOKUP(A504,PARAMETROS!A:A,PARAMETROS!D:D))</f>
        <v>20</v>
      </c>
      <c r="E504" t="str">
        <f>IF(_xlfn.XLOOKUP('PREENCHIMENTO|LETIVAS'!A504,PARAMETROS!A:A,PARAMETROS!I:I)=0,"",_xlfn.XLOOKUP('PREENCHIMENTO|LETIVAS'!A504,PARAMETROS!A:A,PARAMETROS!I:I))</f>
        <v>PROFESSOR REGENTE</v>
      </c>
      <c r="F504" s="3" t="s">
        <v>38</v>
      </c>
      <c r="G504" s="3" t="s">
        <v>54</v>
      </c>
      <c r="H504" s="3" t="s">
        <v>55</v>
      </c>
      <c r="I504" s="3" t="s">
        <v>33</v>
      </c>
      <c r="J504" s="3" t="s">
        <v>1326</v>
      </c>
      <c r="K504" s="3"/>
      <c r="L504" s="19"/>
    </row>
    <row r="505" spans="1:12">
      <c r="A505" s="3" t="s">
        <v>783</v>
      </c>
      <c r="B505" t="str">
        <f>IF(_xlfn.XLOOKUP(A505,PARAMETROS!A:A,PARAMETROS!B:B)=0,"",_xlfn.XLOOKUP(A505,PARAMETROS!A:A,PARAMETROS!B:B))</f>
        <v>012009006856</v>
      </c>
      <c r="C505">
        <f>IF(_xlfn.XLOOKUP(A505,PARAMETROS!A:A,PARAMETROS!C:C)=0,"",_xlfn.XLOOKUP(A505,PARAMETROS!A:A,PARAMETROS!C:C))</f>
        <v>12</v>
      </c>
      <c r="D505">
        <f>IF(_xlfn.XLOOKUP(A505,PARAMETROS!A:A,PARAMETROS!D:D)=0,"",_xlfn.XLOOKUP(A505,PARAMETROS!A:A,PARAMETROS!D:D))</f>
        <v>9</v>
      </c>
      <c r="E505" t="str">
        <f>IF(_xlfn.XLOOKUP('PREENCHIMENTO|LETIVAS'!A505,PARAMETROS!A:A,PARAMETROS!I:I)=0,"",_xlfn.XLOOKUP('PREENCHIMENTO|LETIVAS'!A505,PARAMETROS!A:A,PARAMETROS!I:I))</f>
        <v>PROFESSOR REGENTE</v>
      </c>
      <c r="F505" s="3" t="s">
        <v>38</v>
      </c>
      <c r="G505" s="3">
        <v>1</v>
      </c>
      <c r="H505" s="3" t="s">
        <v>39</v>
      </c>
      <c r="I505" s="3" t="s">
        <v>40</v>
      </c>
      <c r="J505" s="3" t="s">
        <v>1327</v>
      </c>
      <c r="K505" s="3"/>
      <c r="L505" s="19"/>
    </row>
    <row r="506" spans="1:12">
      <c r="A506" s="3" t="s">
        <v>730</v>
      </c>
      <c r="B506" t="str">
        <f>IF(_xlfn.XLOOKUP(A506,PARAMETROS!A:A,PARAMETROS!B:B)=0,"",_xlfn.XLOOKUP(A506,PARAMETROS!A:A,PARAMETROS!B:B))</f>
        <v>012009006371</v>
      </c>
      <c r="C506">
        <f>IF(_xlfn.XLOOKUP(A506,PARAMETROS!A:A,PARAMETROS!C:C)=0,"",_xlfn.XLOOKUP(A506,PARAMETROS!A:A,PARAMETROS!C:C))</f>
        <v>12</v>
      </c>
      <c r="D506">
        <f>IF(_xlfn.XLOOKUP(A506,PARAMETROS!A:A,PARAMETROS!D:D)=0,"",_xlfn.XLOOKUP(A506,PARAMETROS!A:A,PARAMETROS!D:D))</f>
        <v>9</v>
      </c>
      <c r="E506" t="str">
        <f>IF(_xlfn.XLOOKUP('PREENCHIMENTO|LETIVAS'!A506,PARAMETROS!A:A,PARAMETROS!I:I)=0,"",_xlfn.XLOOKUP('PREENCHIMENTO|LETIVAS'!A506,PARAMETROS!A:A,PARAMETROS!I:I))</f>
        <v>PROFESSOR REGENTE</v>
      </c>
      <c r="F506" s="3" t="s">
        <v>38</v>
      </c>
      <c r="G506" s="3">
        <v>2</v>
      </c>
      <c r="H506" s="3" t="s">
        <v>63</v>
      </c>
      <c r="I506" s="3" t="s">
        <v>40</v>
      </c>
      <c r="J506" s="3" t="s">
        <v>1328</v>
      </c>
      <c r="K506" s="3"/>
      <c r="L506" s="19"/>
    </row>
    <row r="507" spans="1:12">
      <c r="A507" s="3" t="s">
        <v>103</v>
      </c>
      <c r="B507" t="str">
        <f>IF(_xlfn.XLOOKUP(A507,PARAMETROS!A:A,PARAMETROS!B:B)=0,"",_xlfn.XLOOKUP(A507,PARAMETROS!A:A,PARAMETROS!B:B))</f>
        <v>012009003540</v>
      </c>
      <c r="C507">
        <f>IF(_xlfn.XLOOKUP(A507,PARAMETROS!A:A,PARAMETROS!C:C)=0,"",_xlfn.XLOOKUP(A507,PARAMETROS!A:A,PARAMETROS!C:C))</f>
        <v>40</v>
      </c>
      <c r="D507">
        <f>IF(_xlfn.XLOOKUP(A507,PARAMETROS!A:A,PARAMETROS!D:D)=0,"",_xlfn.XLOOKUP(A507,PARAMETROS!A:A,PARAMETROS!D:D))</f>
        <v>4</v>
      </c>
      <c r="E507" t="str">
        <f>IF(_xlfn.XLOOKUP('PREENCHIMENTO|LETIVAS'!A507,PARAMETROS!A:A,PARAMETROS!I:I)=0,"",_xlfn.XLOOKUP('PREENCHIMENTO|LETIVAS'!A507,PARAMETROS!A:A,PARAMETROS!I:I))</f>
        <v>PROFESSOR DE ENSINO SUPERIOR EAD</v>
      </c>
      <c r="F507" s="3" t="s">
        <v>38</v>
      </c>
      <c r="G507" s="3">
        <v>1</v>
      </c>
      <c r="H507" s="3" t="s">
        <v>55</v>
      </c>
      <c r="I507" s="3" t="s">
        <v>40</v>
      </c>
      <c r="J507" s="3" t="s">
        <v>1329</v>
      </c>
      <c r="K507" s="3"/>
      <c r="L507" s="19"/>
    </row>
    <row r="508" spans="1:12">
      <c r="A508" s="3" t="s">
        <v>103</v>
      </c>
      <c r="B508" t="str">
        <f>IF(_xlfn.XLOOKUP(A508,PARAMETROS!A:A,PARAMETROS!B:B)=0,"",_xlfn.XLOOKUP(A508,PARAMETROS!A:A,PARAMETROS!B:B))</f>
        <v>012009003540</v>
      </c>
      <c r="C508">
        <f>IF(_xlfn.XLOOKUP(A508,PARAMETROS!A:A,PARAMETROS!C:C)=0,"",_xlfn.XLOOKUP(A508,PARAMETROS!A:A,PARAMETROS!C:C))</f>
        <v>40</v>
      </c>
      <c r="D508">
        <f>IF(_xlfn.XLOOKUP(A508,PARAMETROS!A:A,PARAMETROS!D:D)=0,"",_xlfn.XLOOKUP(A508,PARAMETROS!A:A,PARAMETROS!D:D))</f>
        <v>4</v>
      </c>
      <c r="E508" t="str">
        <f>IF(_xlfn.XLOOKUP('PREENCHIMENTO|LETIVAS'!A508,PARAMETROS!A:A,PARAMETROS!I:I)=0,"",_xlfn.XLOOKUP('PREENCHIMENTO|LETIVAS'!A508,PARAMETROS!A:A,PARAMETROS!I:I))</f>
        <v>PROFESSOR DE ENSINO SUPERIOR EAD</v>
      </c>
      <c r="F508" s="3" t="s">
        <v>38</v>
      </c>
      <c r="G508" s="3">
        <v>2</v>
      </c>
      <c r="H508" s="3" t="s">
        <v>55</v>
      </c>
      <c r="I508" s="3" t="s">
        <v>33</v>
      </c>
      <c r="J508" s="3" t="s">
        <v>1330</v>
      </c>
      <c r="K508" s="3"/>
      <c r="L508" s="19"/>
    </row>
    <row r="509" spans="1:12">
      <c r="A509" s="3" t="s">
        <v>730</v>
      </c>
      <c r="B509" t="str">
        <f>IF(_xlfn.XLOOKUP(A509,PARAMETROS!A:A,PARAMETROS!B:B)=0,"",_xlfn.XLOOKUP(A509,PARAMETROS!A:A,PARAMETROS!B:B))</f>
        <v>012009006371</v>
      </c>
      <c r="C509">
        <f>IF(_xlfn.XLOOKUP(A509,PARAMETROS!A:A,PARAMETROS!C:C)=0,"",_xlfn.XLOOKUP(A509,PARAMETROS!A:A,PARAMETROS!C:C))</f>
        <v>12</v>
      </c>
      <c r="D509">
        <f>IF(_xlfn.XLOOKUP(A509,PARAMETROS!A:A,PARAMETROS!D:D)=0,"",_xlfn.XLOOKUP(A509,PARAMETROS!A:A,PARAMETROS!D:D))</f>
        <v>9</v>
      </c>
      <c r="E509" t="str">
        <f>IF(_xlfn.XLOOKUP('PREENCHIMENTO|LETIVAS'!A509,PARAMETROS!A:A,PARAMETROS!I:I)=0,"",_xlfn.XLOOKUP('PREENCHIMENTO|LETIVAS'!A509,PARAMETROS!A:A,PARAMETROS!I:I))</f>
        <v>PROFESSOR REGENTE</v>
      </c>
      <c r="F509" s="3" t="s">
        <v>38</v>
      </c>
      <c r="G509" s="3">
        <v>2</v>
      </c>
      <c r="H509" s="3" t="s">
        <v>39</v>
      </c>
      <c r="I509" s="3" t="s">
        <v>33</v>
      </c>
      <c r="J509" s="3" t="s">
        <v>1331</v>
      </c>
      <c r="K509" s="3"/>
      <c r="L509" s="19"/>
    </row>
    <row r="510" spans="1:12">
      <c r="A510" s="3" t="s">
        <v>665</v>
      </c>
      <c r="B510" t="str">
        <f>IF(_xlfn.XLOOKUP(A510,PARAMETROS!A:A,PARAMETROS!B:B)=0,"",_xlfn.XLOOKUP(A510,PARAMETROS!A:A,PARAMETROS!B:B))</f>
        <v>012009002461</v>
      </c>
      <c r="C510">
        <f>IF(_xlfn.XLOOKUP(A510,PARAMETROS!A:A,PARAMETROS!C:C)=0,"",_xlfn.XLOOKUP(A510,PARAMETROS!A:A,PARAMETROS!C:C))</f>
        <v>40</v>
      </c>
      <c r="D510">
        <f>IF(_xlfn.XLOOKUP(A510,PARAMETROS!A:A,PARAMETROS!D:D)=0,"",_xlfn.XLOOKUP(A510,PARAMETROS!A:A,PARAMETROS!D:D))</f>
        <v>20</v>
      </c>
      <c r="E510" t="str">
        <f>IF(_xlfn.XLOOKUP('PREENCHIMENTO|LETIVAS'!A510,PARAMETROS!A:A,PARAMETROS!I:I)=0,"",_xlfn.XLOOKUP('PREENCHIMENTO|LETIVAS'!A510,PARAMETROS!A:A,PARAMETROS!I:I))</f>
        <v>PROFESSOR REGENTE</v>
      </c>
      <c r="F510" s="3" t="s">
        <v>38</v>
      </c>
      <c r="G510" s="3">
        <v>1</v>
      </c>
      <c r="H510" s="3" t="s">
        <v>63</v>
      </c>
      <c r="I510" s="3" t="s">
        <v>40</v>
      </c>
      <c r="J510" s="3" t="s">
        <v>1332</v>
      </c>
      <c r="K510" s="3"/>
      <c r="L510" s="19"/>
    </row>
    <row r="511" spans="1:12">
      <c r="A511" s="3" t="s">
        <v>665</v>
      </c>
      <c r="B511" t="str">
        <f>IF(_xlfn.XLOOKUP(A511,PARAMETROS!A:A,PARAMETROS!B:B)=0,"",_xlfn.XLOOKUP(A511,PARAMETROS!A:A,PARAMETROS!B:B))</f>
        <v>012009002461</v>
      </c>
      <c r="C511">
        <f>IF(_xlfn.XLOOKUP(A511,PARAMETROS!A:A,PARAMETROS!C:C)=0,"",_xlfn.XLOOKUP(A511,PARAMETROS!A:A,PARAMETROS!C:C))</f>
        <v>40</v>
      </c>
      <c r="D511">
        <f>IF(_xlfn.XLOOKUP(A511,PARAMETROS!A:A,PARAMETROS!D:D)=0,"",_xlfn.XLOOKUP(A511,PARAMETROS!A:A,PARAMETROS!D:D))</f>
        <v>20</v>
      </c>
      <c r="E511" t="str">
        <f>IF(_xlfn.XLOOKUP('PREENCHIMENTO|LETIVAS'!A511,PARAMETROS!A:A,PARAMETROS!I:I)=0,"",_xlfn.XLOOKUP('PREENCHIMENTO|LETIVAS'!A511,PARAMETROS!A:A,PARAMETROS!I:I))</f>
        <v>PROFESSOR REGENTE</v>
      </c>
      <c r="F511" s="3" t="s">
        <v>38</v>
      </c>
      <c r="G511" s="3">
        <v>1</v>
      </c>
      <c r="H511" s="3" t="s">
        <v>39</v>
      </c>
      <c r="I511" s="3" t="s">
        <v>33</v>
      </c>
      <c r="J511" s="3" t="s">
        <v>1333</v>
      </c>
      <c r="K511" s="3"/>
      <c r="L511" s="19"/>
    </row>
    <row r="512" spans="1:12">
      <c r="A512" s="3" t="s">
        <v>420</v>
      </c>
      <c r="B512" t="str">
        <f>IF(_xlfn.XLOOKUP(A512,PARAMETROS!A:A,PARAMETROS!B:B)=0,"",_xlfn.XLOOKUP(A512,PARAMETROS!A:A,PARAMETROS!B:B))</f>
        <v>012009006217</v>
      </c>
      <c r="C512">
        <f>IF(_xlfn.XLOOKUP(A512,PARAMETROS!A:A,PARAMETROS!C:C)=0,"",_xlfn.XLOOKUP(A512,PARAMETROS!A:A,PARAMETROS!C:C))</f>
        <v>12</v>
      </c>
      <c r="D512">
        <f>IF(_xlfn.XLOOKUP(A512,PARAMETROS!A:A,PARAMETROS!D:D)=0,"",_xlfn.XLOOKUP(A512,PARAMETROS!A:A,PARAMETROS!D:D))</f>
        <v>9</v>
      </c>
      <c r="E512" t="str">
        <f>IF(_xlfn.XLOOKUP('PREENCHIMENTO|LETIVAS'!A512,PARAMETROS!A:A,PARAMETROS!I:I)=0,"",_xlfn.XLOOKUP('PREENCHIMENTO|LETIVAS'!A512,PARAMETROS!A:A,PARAMETROS!I:I))</f>
        <v>PROFESSOR REGENTE</v>
      </c>
      <c r="F512" s="3" t="s">
        <v>38</v>
      </c>
      <c r="G512" s="3">
        <v>2</v>
      </c>
      <c r="H512" s="3" t="s">
        <v>63</v>
      </c>
      <c r="I512" s="3" t="s">
        <v>33</v>
      </c>
      <c r="J512" s="3" t="s">
        <v>1334</v>
      </c>
      <c r="K512" s="3"/>
      <c r="L512" s="19"/>
    </row>
    <row r="513" spans="1:12">
      <c r="A513" s="3" t="s">
        <v>420</v>
      </c>
      <c r="B513" t="str">
        <f>IF(_xlfn.XLOOKUP(A513,PARAMETROS!A:A,PARAMETROS!B:B)=0,"",_xlfn.XLOOKUP(A513,PARAMETROS!A:A,PARAMETROS!B:B))</f>
        <v>012009006217</v>
      </c>
      <c r="C513">
        <f>IF(_xlfn.XLOOKUP(A513,PARAMETROS!A:A,PARAMETROS!C:C)=0,"",_xlfn.XLOOKUP(A513,PARAMETROS!A:A,PARAMETROS!C:C))</f>
        <v>12</v>
      </c>
      <c r="D513">
        <f>IF(_xlfn.XLOOKUP(A513,PARAMETROS!A:A,PARAMETROS!D:D)=0,"",_xlfn.XLOOKUP(A513,PARAMETROS!A:A,PARAMETROS!D:D))</f>
        <v>9</v>
      </c>
      <c r="E513" t="str">
        <f>IF(_xlfn.XLOOKUP('PREENCHIMENTO|LETIVAS'!A513,PARAMETROS!A:A,PARAMETROS!I:I)=0,"",_xlfn.XLOOKUP('PREENCHIMENTO|LETIVAS'!A513,PARAMETROS!A:A,PARAMETROS!I:I))</f>
        <v>PROFESSOR REGENTE</v>
      </c>
      <c r="F513" s="3" t="s">
        <v>38</v>
      </c>
      <c r="G513" s="3">
        <v>1</v>
      </c>
      <c r="H513" s="3" t="s">
        <v>63</v>
      </c>
      <c r="I513" s="3" t="s">
        <v>33</v>
      </c>
      <c r="J513" s="3" t="s">
        <v>1335</v>
      </c>
      <c r="K513" s="3"/>
      <c r="L513" s="19"/>
    </row>
    <row r="514" spans="1:12">
      <c r="A514" s="3" t="s">
        <v>420</v>
      </c>
      <c r="B514" t="str">
        <f>IF(_xlfn.XLOOKUP(A514,PARAMETROS!A:A,PARAMETROS!B:B)=0,"",_xlfn.XLOOKUP(A514,PARAMETROS!A:A,PARAMETROS!B:B))</f>
        <v>012009006217</v>
      </c>
      <c r="C514">
        <f>IF(_xlfn.XLOOKUP(A514,PARAMETROS!A:A,PARAMETROS!C:C)=0,"",_xlfn.XLOOKUP(A514,PARAMETROS!A:A,PARAMETROS!C:C))</f>
        <v>12</v>
      </c>
      <c r="D514">
        <f>IF(_xlfn.XLOOKUP(A514,PARAMETROS!A:A,PARAMETROS!D:D)=0,"",_xlfn.XLOOKUP(A514,PARAMETROS!A:A,PARAMETROS!D:D))</f>
        <v>9</v>
      </c>
      <c r="E514" t="str">
        <f>IF(_xlfn.XLOOKUP('PREENCHIMENTO|LETIVAS'!A514,PARAMETROS!A:A,PARAMETROS!I:I)=0,"",_xlfn.XLOOKUP('PREENCHIMENTO|LETIVAS'!A514,PARAMETROS!A:A,PARAMETROS!I:I))</f>
        <v>PROFESSOR REGENTE</v>
      </c>
      <c r="F514" s="3" t="s">
        <v>38</v>
      </c>
      <c r="G514" s="3">
        <v>2</v>
      </c>
      <c r="H514" s="3" t="s">
        <v>63</v>
      </c>
      <c r="I514" s="3" t="s">
        <v>33</v>
      </c>
      <c r="J514" s="3" t="s">
        <v>1336</v>
      </c>
      <c r="K514" s="3"/>
      <c r="L514" s="19"/>
    </row>
    <row r="515" spans="1:12">
      <c r="A515" s="3" t="s">
        <v>435</v>
      </c>
      <c r="B515" t="str">
        <f>IF(_xlfn.XLOOKUP(A515,PARAMETROS!A:A,PARAMETROS!B:B)=0,"",_xlfn.XLOOKUP(A515,PARAMETROS!A:A,PARAMETROS!B:B))</f>
        <v>012009006219</v>
      </c>
      <c r="C515">
        <f>IF(_xlfn.XLOOKUP(A515,PARAMETROS!A:A,PARAMETROS!C:C)=0,"",_xlfn.XLOOKUP(A515,PARAMETROS!A:A,PARAMETROS!C:C))</f>
        <v>12</v>
      </c>
      <c r="D515">
        <f>IF(_xlfn.XLOOKUP(A515,PARAMETROS!A:A,PARAMETROS!D:D)=0,"",_xlfn.XLOOKUP(A515,PARAMETROS!A:A,PARAMETROS!D:D))</f>
        <v>9</v>
      </c>
      <c r="E515" t="str">
        <f>IF(_xlfn.XLOOKUP('PREENCHIMENTO|LETIVAS'!A515,PARAMETROS!A:A,PARAMETROS!I:I)=0,"",_xlfn.XLOOKUP('PREENCHIMENTO|LETIVAS'!A515,PARAMETROS!A:A,PARAMETROS!I:I))</f>
        <v>PROFESSOR REGENTE</v>
      </c>
      <c r="F515" s="3" t="s">
        <v>38</v>
      </c>
      <c r="G515" s="3">
        <v>2</v>
      </c>
      <c r="H515" s="3" t="s">
        <v>63</v>
      </c>
      <c r="I515" s="3" t="s">
        <v>33</v>
      </c>
      <c r="J515" s="3" t="s">
        <v>1337</v>
      </c>
      <c r="K515" s="3"/>
      <c r="L515" s="19"/>
    </row>
    <row r="516" spans="1:12">
      <c r="A516" s="3" t="s">
        <v>435</v>
      </c>
      <c r="B516" t="str">
        <f>IF(_xlfn.XLOOKUP(A516,PARAMETROS!A:A,PARAMETROS!B:B)=0,"",_xlfn.XLOOKUP(A516,PARAMETROS!A:A,PARAMETROS!B:B))</f>
        <v>012009006219</v>
      </c>
      <c r="C516">
        <f>IF(_xlfn.XLOOKUP(A516,PARAMETROS!A:A,PARAMETROS!C:C)=0,"",_xlfn.XLOOKUP(A516,PARAMETROS!A:A,PARAMETROS!C:C))</f>
        <v>12</v>
      </c>
      <c r="D516">
        <f>IF(_xlfn.XLOOKUP(A516,PARAMETROS!A:A,PARAMETROS!D:D)=0,"",_xlfn.XLOOKUP(A516,PARAMETROS!A:A,PARAMETROS!D:D))</f>
        <v>9</v>
      </c>
      <c r="E516" t="str">
        <f>IF(_xlfn.XLOOKUP('PREENCHIMENTO|LETIVAS'!A516,PARAMETROS!A:A,PARAMETROS!I:I)=0,"",_xlfn.XLOOKUP('PREENCHIMENTO|LETIVAS'!A516,PARAMETROS!A:A,PARAMETROS!I:I))</f>
        <v>PROFESSOR REGENTE</v>
      </c>
      <c r="F516" s="3" t="s">
        <v>38</v>
      </c>
      <c r="G516" s="3">
        <v>2</v>
      </c>
      <c r="H516" s="3" t="s">
        <v>39</v>
      </c>
      <c r="I516" s="3" t="s">
        <v>33</v>
      </c>
      <c r="J516" s="3" t="s">
        <v>1338</v>
      </c>
      <c r="K516" s="3"/>
      <c r="L516" s="19"/>
    </row>
    <row r="517" spans="1:12">
      <c r="A517" s="3" t="s">
        <v>435</v>
      </c>
      <c r="B517" t="str">
        <f>IF(_xlfn.XLOOKUP(A517,PARAMETROS!A:A,PARAMETROS!B:B)=0,"",_xlfn.XLOOKUP(A517,PARAMETROS!A:A,PARAMETROS!B:B))</f>
        <v>012009006219</v>
      </c>
      <c r="C517">
        <f>IF(_xlfn.XLOOKUP(A517,PARAMETROS!A:A,PARAMETROS!C:C)=0,"",_xlfn.XLOOKUP(A517,PARAMETROS!A:A,PARAMETROS!C:C))</f>
        <v>12</v>
      </c>
      <c r="D517">
        <f>IF(_xlfn.XLOOKUP(A517,PARAMETROS!A:A,PARAMETROS!D:D)=0,"",_xlfn.XLOOKUP(A517,PARAMETROS!A:A,PARAMETROS!D:D))</f>
        <v>9</v>
      </c>
      <c r="E517" t="str">
        <f>IF(_xlfn.XLOOKUP('PREENCHIMENTO|LETIVAS'!A517,PARAMETROS!A:A,PARAMETROS!I:I)=0,"",_xlfn.XLOOKUP('PREENCHIMENTO|LETIVAS'!A517,PARAMETROS!A:A,PARAMETROS!I:I))</f>
        <v>PROFESSOR REGENTE</v>
      </c>
      <c r="F517" s="3" t="s">
        <v>38</v>
      </c>
      <c r="G517" s="3">
        <v>2</v>
      </c>
      <c r="H517" s="3" t="s">
        <v>39</v>
      </c>
      <c r="I517" s="3" t="s">
        <v>40</v>
      </c>
      <c r="J517" s="3" t="s">
        <v>1339</v>
      </c>
      <c r="K517" s="3"/>
      <c r="L517" s="19"/>
    </row>
    <row r="518" spans="1:12">
      <c r="A518" s="3" t="s">
        <v>682</v>
      </c>
      <c r="B518" t="str">
        <f>IF(_xlfn.XLOOKUP(A518,PARAMETROS!A:A,PARAMETROS!B:B)=0,"",_xlfn.XLOOKUP(A518,PARAMETROS!A:A,PARAMETROS!B:B))</f>
        <v>012009004482</v>
      </c>
      <c r="C518" t="str">
        <f>IF(_xlfn.XLOOKUP(A518,PARAMETROS!A:A,PARAMETROS!C:C)=0,"",_xlfn.XLOOKUP(A518,PARAMETROS!A:A,PARAMETROS!C:C))</f>
        <v/>
      </c>
      <c r="D518" t="str">
        <f>IF(_xlfn.XLOOKUP(A518,PARAMETROS!A:A,PARAMETROS!D:D)=0,"",_xlfn.XLOOKUP(A518,PARAMETROS!A:A,PARAMETROS!D:D))</f>
        <v/>
      </c>
      <c r="E518" t="str">
        <f>IF(_xlfn.XLOOKUP('PREENCHIMENTO|LETIVAS'!A518,PARAMETROS!A:A,PARAMETROS!I:I)=0,"",_xlfn.XLOOKUP('PREENCHIMENTO|LETIVAS'!A518,PARAMETROS!A:A,PARAMETROS!I:I))</f>
        <v>PROFESSOR DE ENSINO SUPERIOR PRESENCIAL</v>
      </c>
      <c r="F518" s="3" t="s">
        <v>38</v>
      </c>
      <c r="G518" s="3">
        <v>2</v>
      </c>
      <c r="H518" s="3" t="s">
        <v>63</v>
      </c>
      <c r="I518" s="3" t="s">
        <v>40</v>
      </c>
      <c r="J518" s="3" t="s">
        <v>1340</v>
      </c>
      <c r="K518" s="3"/>
      <c r="L518" s="19"/>
    </row>
    <row r="519" spans="1:12">
      <c r="A519" s="3" t="s">
        <v>682</v>
      </c>
      <c r="B519" t="str">
        <f>IF(_xlfn.XLOOKUP(A519,PARAMETROS!A:A,PARAMETROS!B:B)=0,"",_xlfn.XLOOKUP(A519,PARAMETROS!A:A,PARAMETROS!B:B))</f>
        <v>012009004482</v>
      </c>
      <c r="C519" t="str">
        <f>IF(_xlfn.XLOOKUP(A519,PARAMETROS!A:A,PARAMETROS!C:C)=0,"",_xlfn.XLOOKUP(A519,PARAMETROS!A:A,PARAMETROS!C:C))</f>
        <v/>
      </c>
      <c r="D519" t="str">
        <f>IF(_xlfn.XLOOKUP(A519,PARAMETROS!A:A,PARAMETROS!D:D)=0,"",_xlfn.XLOOKUP(A519,PARAMETROS!A:A,PARAMETROS!D:D))</f>
        <v/>
      </c>
      <c r="E519" t="str">
        <f>IF(_xlfn.XLOOKUP('PREENCHIMENTO|LETIVAS'!A519,PARAMETROS!A:A,PARAMETROS!I:I)=0,"",_xlfn.XLOOKUP('PREENCHIMENTO|LETIVAS'!A519,PARAMETROS!A:A,PARAMETROS!I:I))</f>
        <v>PROFESSOR DE ENSINO SUPERIOR PRESENCIAL</v>
      </c>
      <c r="F519" s="3" t="s">
        <v>38</v>
      </c>
      <c r="G519" s="3">
        <v>1</v>
      </c>
      <c r="H519" s="3" t="s">
        <v>32</v>
      </c>
      <c r="I519" s="3" t="s">
        <v>40</v>
      </c>
      <c r="J519" s="3" t="s">
        <v>1341</v>
      </c>
      <c r="K519" s="3"/>
      <c r="L519" s="19"/>
    </row>
    <row r="520" spans="1:12">
      <c r="A520" s="3" t="s">
        <v>724</v>
      </c>
      <c r="B520" t="str">
        <f>IF(_xlfn.XLOOKUP(A520,PARAMETROS!A:A,PARAMETROS!B:B)=0,"",_xlfn.XLOOKUP(A520,PARAMETROS!A:A,PARAMETROS!B:B))</f>
        <v>012009006369</v>
      </c>
      <c r="C520">
        <f>IF(_xlfn.XLOOKUP(A520,PARAMETROS!A:A,PARAMETROS!C:C)=0,"",_xlfn.XLOOKUP(A520,PARAMETROS!A:A,PARAMETROS!C:C))</f>
        <v>12</v>
      </c>
      <c r="D520">
        <f>IF(_xlfn.XLOOKUP(A520,PARAMETROS!A:A,PARAMETROS!D:D)=0,"",_xlfn.XLOOKUP(A520,PARAMETROS!A:A,PARAMETROS!D:D))</f>
        <v>9</v>
      </c>
      <c r="E520" t="str">
        <f>IF(_xlfn.XLOOKUP('PREENCHIMENTO|LETIVAS'!A520,PARAMETROS!A:A,PARAMETROS!I:I)=0,"",_xlfn.XLOOKUP('PREENCHIMENTO|LETIVAS'!A520,PARAMETROS!A:A,PARAMETROS!I:I))</f>
        <v>PROFESSOR REGENTE</v>
      </c>
      <c r="F520" s="3" t="s">
        <v>38</v>
      </c>
      <c r="G520" s="3" t="s">
        <v>54</v>
      </c>
      <c r="H520" s="3" t="s">
        <v>39</v>
      </c>
      <c r="I520" s="3" t="s">
        <v>33</v>
      </c>
      <c r="J520" s="3" t="s">
        <v>1342</v>
      </c>
      <c r="K520" s="3"/>
      <c r="L520" s="19"/>
    </row>
    <row r="521" spans="1:12">
      <c r="A521" s="3" t="s">
        <v>724</v>
      </c>
      <c r="B521" t="str">
        <f>IF(_xlfn.XLOOKUP(A521,PARAMETROS!A:A,PARAMETROS!B:B)=0,"",_xlfn.XLOOKUP(A521,PARAMETROS!A:A,PARAMETROS!B:B))</f>
        <v>012009006369</v>
      </c>
      <c r="C521">
        <f>IF(_xlfn.XLOOKUP(A521,PARAMETROS!A:A,PARAMETROS!C:C)=0,"",_xlfn.XLOOKUP(A521,PARAMETROS!A:A,PARAMETROS!C:C))</f>
        <v>12</v>
      </c>
      <c r="D521">
        <f>IF(_xlfn.XLOOKUP(A521,PARAMETROS!A:A,PARAMETROS!D:D)=0,"",_xlfn.XLOOKUP(A521,PARAMETROS!A:A,PARAMETROS!D:D))</f>
        <v>9</v>
      </c>
      <c r="E521" t="str">
        <f>IF(_xlfn.XLOOKUP('PREENCHIMENTO|LETIVAS'!A521,PARAMETROS!A:A,PARAMETROS!I:I)=0,"",_xlfn.XLOOKUP('PREENCHIMENTO|LETIVAS'!A521,PARAMETROS!A:A,PARAMETROS!I:I))</f>
        <v>PROFESSOR REGENTE</v>
      </c>
      <c r="F521" s="3" t="s">
        <v>38</v>
      </c>
      <c r="G521" s="3" t="s">
        <v>54</v>
      </c>
      <c r="H521" s="3" t="s">
        <v>39</v>
      </c>
      <c r="I521" s="3" t="s">
        <v>33</v>
      </c>
      <c r="J521" s="3" t="s">
        <v>1342</v>
      </c>
      <c r="K521" s="3"/>
      <c r="L521" s="19"/>
    </row>
    <row r="522" spans="1:12">
      <c r="A522" s="3" t="s">
        <v>724</v>
      </c>
      <c r="B522" t="str">
        <f>IF(_xlfn.XLOOKUP(A522,PARAMETROS!A:A,PARAMETROS!B:B)=0,"",_xlfn.XLOOKUP(A522,PARAMETROS!A:A,PARAMETROS!B:B))</f>
        <v>012009006369</v>
      </c>
      <c r="C522">
        <f>IF(_xlfn.XLOOKUP(A522,PARAMETROS!A:A,PARAMETROS!C:C)=0,"",_xlfn.XLOOKUP(A522,PARAMETROS!A:A,PARAMETROS!C:C))</f>
        <v>12</v>
      </c>
      <c r="D522">
        <f>IF(_xlfn.XLOOKUP(A522,PARAMETROS!A:A,PARAMETROS!D:D)=0,"",_xlfn.XLOOKUP(A522,PARAMETROS!A:A,PARAMETROS!D:D))</f>
        <v>9</v>
      </c>
      <c r="E522" t="str">
        <f>IF(_xlfn.XLOOKUP('PREENCHIMENTO|LETIVAS'!A522,PARAMETROS!A:A,PARAMETROS!I:I)=0,"",_xlfn.XLOOKUP('PREENCHIMENTO|LETIVAS'!A522,PARAMETROS!A:A,PARAMETROS!I:I))</f>
        <v>PROFESSOR REGENTE</v>
      </c>
      <c r="F522" s="3" t="s">
        <v>38</v>
      </c>
      <c r="G522" s="3">
        <v>2</v>
      </c>
      <c r="H522" s="3" t="s">
        <v>39</v>
      </c>
      <c r="I522" s="3" t="s">
        <v>33</v>
      </c>
      <c r="J522" s="3" t="s">
        <v>1343</v>
      </c>
      <c r="K522" s="3"/>
      <c r="L522" s="19"/>
    </row>
    <row r="523" spans="1:12">
      <c r="A523" s="3" t="s">
        <v>273</v>
      </c>
      <c r="B523" t="str">
        <f>IF(_xlfn.XLOOKUP(A523,PARAMETROS!A:A,PARAMETROS!B:B)=0,"",_xlfn.XLOOKUP(A523,PARAMETROS!A:A,PARAMETROS!B:B))</f>
        <v>012009006187</v>
      </c>
      <c r="C523">
        <f>IF(_xlfn.XLOOKUP(A523,PARAMETROS!A:A,PARAMETROS!C:C)=0,"",_xlfn.XLOOKUP(A523,PARAMETROS!A:A,PARAMETROS!C:C))</f>
        <v>12</v>
      </c>
      <c r="D523">
        <f>IF(_xlfn.XLOOKUP(A523,PARAMETROS!A:A,PARAMETROS!D:D)=0,"",_xlfn.XLOOKUP(A523,PARAMETROS!A:A,PARAMETROS!D:D))</f>
        <v>9</v>
      </c>
      <c r="E523" t="str">
        <f>IF(_xlfn.XLOOKUP('PREENCHIMENTO|LETIVAS'!A523,PARAMETROS!A:A,PARAMETROS!I:I)=0,"",_xlfn.XLOOKUP('PREENCHIMENTO|LETIVAS'!A523,PARAMETROS!A:A,PARAMETROS!I:I))</f>
        <v>PROFESSOR REGENTE</v>
      </c>
      <c r="F523" s="3" t="s">
        <v>38</v>
      </c>
      <c r="G523" s="3">
        <v>2</v>
      </c>
      <c r="H523" s="3" t="s">
        <v>55</v>
      </c>
      <c r="I523" s="3" t="s">
        <v>40</v>
      </c>
      <c r="J523" s="3" t="s">
        <v>1344</v>
      </c>
      <c r="K523" s="3"/>
      <c r="L523" s="19"/>
    </row>
    <row r="524" spans="1:12">
      <c r="A524" s="3" t="s">
        <v>273</v>
      </c>
      <c r="B524" t="str">
        <f>IF(_xlfn.XLOOKUP(A524,PARAMETROS!A:A,PARAMETROS!B:B)=0,"",_xlfn.XLOOKUP(A524,PARAMETROS!A:A,PARAMETROS!B:B))</f>
        <v>012009006187</v>
      </c>
      <c r="C524">
        <f>IF(_xlfn.XLOOKUP(A524,PARAMETROS!A:A,PARAMETROS!C:C)=0,"",_xlfn.XLOOKUP(A524,PARAMETROS!A:A,PARAMETROS!C:C))</f>
        <v>12</v>
      </c>
      <c r="D524">
        <f>IF(_xlfn.XLOOKUP(A524,PARAMETROS!A:A,PARAMETROS!D:D)=0,"",_xlfn.XLOOKUP(A524,PARAMETROS!A:A,PARAMETROS!D:D))</f>
        <v>9</v>
      </c>
      <c r="E524" t="str">
        <f>IF(_xlfn.XLOOKUP('PREENCHIMENTO|LETIVAS'!A524,PARAMETROS!A:A,PARAMETROS!I:I)=0,"",_xlfn.XLOOKUP('PREENCHIMENTO|LETIVAS'!A524,PARAMETROS!A:A,PARAMETROS!I:I))</f>
        <v>PROFESSOR REGENTE</v>
      </c>
      <c r="F524" s="3" t="s">
        <v>38</v>
      </c>
      <c r="G524" s="3">
        <v>2</v>
      </c>
      <c r="H524" s="3" t="s">
        <v>55</v>
      </c>
      <c r="I524" s="3" t="s">
        <v>33</v>
      </c>
      <c r="J524" s="3" t="s">
        <v>1345</v>
      </c>
      <c r="K524" s="3"/>
      <c r="L524" s="19"/>
    </row>
    <row r="525" spans="1:12">
      <c r="A525" s="3" t="s">
        <v>306</v>
      </c>
      <c r="B525" t="str">
        <f>IF(_xlfn.XLOOKUP(A525,PARAMETROS!A:A,PARAMETROS!B:B)=0,"",_xlfn.XLOOKUP(A525,PARAMETROS!A:A,PARAMETROS!B:B))</f>
        <v>012009006214</v>
      </c>
      <c r="C525">
        <f>IF(_xlfn.XLOOKUP(A525,PARAMETROS!A:A,PARAMETROS!C:C)=0,"",_xlfn.XLOOKUP(A525,PARAMETROS!A:A,PARAMETROS!C:C))</f>
        <v>12</v>
      </c>
      <c r="D525">
        <f>IF(_xlfn.XLOOKUP(A525,PARAMETROS!A:A,PARAMETROS!D:D)=0,"",_xlfn.XLOOKUP(A525,PARAMETROS!A:A,PARAMETROS!D:D))</f>
        <v>9</v>
      </c>
      <c r="E525" t="str">
        <f>IF(_xlfn.XLOOKUP('PREENCHIMENTO|LETIVAS'!A525,PARAMETROS!A:A,PARAMETROS!I:I)=0,"",_xlfn.XLOOKUP('PREENCHIMENTO|LETIVAS'!A525,PARAMETROS!A:A,PARAMETROS!I:I))</f>
        <v>PROFESSOR REGENTE</v>
      </c>
      <c r="F525" s="3" t="s">
        <v>38</v>
      </c>
      <c r="G525" s="3">
        <v>2</v>
      </c>
      <c r="H525" s="3" t="s">
        <v>39</v>
      </c>
      <c r="I525" s="3" t="s">
        <v>40</v>
      </c>
      <c r="J525" s="3" t="s">
        <v>1346</v>
      </c>
      <c r="K525" s="3"/>
      <c r="L525" s="19"/>
    </row>
    <row r="526" spans="1:12">
      <c r="A526" s="3" t="s">
        <v>306</v>
      </c>
      <c r="B526" t="str">
        <f>IF(_xlfn.XLOOKUP(A526,PARAMETROS!A:A,PARAMETROS!B:B)=0,"",_xlfn.XLOOKUP(A526,PARAMETROS!A:A,PARAMETROS!B:B))</f>
        <v>012009006214</v>
      </c>
      <c r="C526">
        <f>IF(_xlfn.XLOOKUP(A526,PARAMETROS!A:A,PARAMETROS!C:C)=0,"",_xlfn.XLOOKUP(A526,PARAMETROS!A:A,PARAMETROS!C:C))</f>
        <v>12</v>
      </c>
      <c r="D526">
        <f>IF(_xlfn.XLOOKUP(A526,PARAMETROS!A:A,PARAMETROS!D:D)=0,"",_xlfn.XLOOKUP(A526,PARAMETROS!A:A,PARAMETROS!D:D))</f>
        <v>9</v>
      </c>
      <c r="E526" t="str">
        <f>IF(_xlfn.XLOOKUP('PREENCHIMENTO|LETIVAS'!A526,PARAMETROS!A:A,PARAMETROS!I:I)=0,"",_xlfn.XLOOKUP('PREENCHIMENTO|LETIVAS'!A526,PARAMETROS!A:A,PARAMETROS!I:I))</f>
        <v>PROFESSOR REGENTE</v>
      </c>
      <c r="F526" s="3" t="s">
        <v>38</v>
      </c>
      <c r="G526" s="3">
        <v>1</v>
      </c>
      <c r="H526" s="3" t="s">
        <v>39</v>
      </c>
      <c r="I526" s="3" t="s">
        <v>40</v>
      </c>
      <c r="J526" s="3" t="s">
        <v>1347</v>
      </c>
      <c r="K526" s="3"/>
      <c r="L526" s="19"/>
    </row>
    <row r="527" spans="1:12">
      <c r="A527" s="3" t="s">
        <v>404</v>
      </c>
      <c r="B527" t="str">
        <f>IF(_xlfn.XLOOKUP(A527,PARAMETROS!A:A,PARAMETROS!B:B)=0,"",_xlfn.XLOOKUP(A527,PARAMETROS!A:A,PARAMETROS!B:B))</f>
        <v>012009006212</v>
      </c>
      <c r="C527">
        <f>IF(_xlfn.XLOOKUP(A527,PARAMETROS!A:A,PARAMETROS!C:C)=0,"",_xlfn.XLOOKUP(A527,PARAMETROS!A:A,PARAMETROS!C:C))</f>
        <v>12</v>
      </c>
      <c r="D527">
        <f>IF(_xlfn.XLOOKUP(A527,PARAMETROS!A:A,PARAMETROS!D:D)=0,"",_xlfn.XLOOKUP(A527,PARAMETROS!A:A,PARAMETROS!D:D))</f>
        <v>9</v>
      </c>
      <c r="E527" t="str">
        <f>IF(_xlfn.XLOOKUP('PREENCHIMENTO|LETIVAS'!A527,PARAMETROS!A:A,PARAMETROS!I:I)=0,"",_xlfn.XLOOKUP('PREENCHIMENTO|LETIVAS'!A527,PARAMETROS!A:A,PARAMETROS!I:I))</f>
        <v>PROFESSOR REGENTE</v>
      </c>
      <c r="F527" s="3" t="s">
        <v>38</v>
      </c>
      <c r="G527" s="3">
        <v>2</v>
      </c>
      <c r="H527" s="3" t="s">
        <v>63</v>
      </c>
      <c r="I527" s="3" t="s">
        <v>40</v>
      </c>
      <c r="J527" s="3" t="s">
        <v>1348</v>
      </c>
      <c r="K527" s="3"/>
      <c r="L527" s="19"/>
    </row>
    <row r="528" spans="1:12">
      <c r="A528" s="3" t="s">
        <v>404</v>
      </c>
      <c r="B528" t="str">
        <f>IF(_xlfn.XLOOKUP(A528,PARAMETROS!A:A,PARAMETROS!B:B)=0,"",_xlfn.XLOOKUP(A528,PARAMETROS!A:A,PARAMETROS!B:B))</f>
        <v>012009006212</v>
      </c>
      <c r="C528">
        <f>IF(_xlfn.XLOOKUP(A528,PARAMETROS!A:A,PARAMETROS!C:C)=0,"",_xlfn.XLOOKUP(A528,PARAMETROS!A:A,PARAMETROS!C:C))</f>
        <v>12</v>
      </c>
      <c r="D528">
        <f>IF(_xlfn.XLOOKUP(A528,PARAMETROS!A:A,PARAMETROS!D:D)=0,"",_xlfn.XLOOKUP(A528,PARAMETROS!A:A,PARAMETROS!D:D))</f>
        <v>9</v>
      </c>
      <c r="E528" t="str">
        <f>IF(_xlfn.XLOOKUP('PREENCHIMENTO|LETIVAS'!A528,PARAMETROS!A:A,PARAMETROS!I:I)=0,"",_xlfn.XLOOKUP('PREENCHIMENTO|LETIVAS'!A528,PARAMETROS!A:A,PARAMETROS!I:I))</f>
        <v>PROFESSOR REGENTE</v>
      </c>
      <c r="F528" s="3" t="s">
        <v>38</v>
      </c>
      <c r="G528" s="3">
        <v>2</v>
      </c>
      <c r="H528" s="3" t="s">
        <v>63</v>
      </c>
      <c r="I528" s="3" t="s">
        <v>33</v>
      </c>
      <c r="J528" s="3" t="s">
        <v>1349</v>
      </c>
      <c r="K528" s="3"/>
      <c r="L528" s="19"/>
    </row>
    <row r="529" spans="1:12">
      <c r="A529" s="3" t="s">
        <v>95</v>
      </c>
      <c r="B529" t="str">
        <f>IF(_xlfn.XLOOKUP(A529,PARAMETROS!A:A,PARAMETROS!B:B)=0,"",_xlfn.XLOOKUP(A529,PARAMETROS!A:A,PARAMETROS!B:B))</f>
        <v>012009004231</v>
      </c>
      <c r="C529">
        <f>IF(_xlfn.XLOOKUP(A529,PARAMETROS!A:A,PARAMETROS!C:C)=0,"",_xlfn.XLOOKUP(A529,PARAMETROS!A:A,PARAMETROS!C:C))</f>
        <v>20</v>
      </c>
      <c r="D529">
        <f>IF(_xlfn.XLOOKUP(A529,PARAMETROS!A:A,PARAMETROS!D:D)=0,"",_xlfn.XLOOKUP(A529,PARAMETROS!A:A,PARAMETROS!D:D))</f>
        <v>2</v>
      </c>
      <c r="E529" t="str">
        <f>IF(_xlfn.XLOOKUP('PREENCHIMENTO|LETIVAS'!A529,PARAMETROS!A:A,PARAMETROS!I:I)=0,"",_xlfn.XLOOKUP('PREENCHIMENTO|LETIVAS'!A529,PARAMETROS!A:A,PARAMETROS!I:I))</f>
        <v>PROFESSOR DE ENSINO SUPERIOR EAD</v>
      </c>
      <c r="F529" s="3" t="s">
        <v>38</v>
      </c>
      <c r="G529" s="3">
        <v>1</v>
      </c>
      <c r="H529" s="3" t="s">
        <v>39</v>
      </c>
      <c r="I529" s="3" t="s">
        <v>40</v>
      </c>
      <c r="J529" s="3" t="s">
        <v>1350</v>
      </c>
      <c r="K529" s="3"/>
      <c r="L529" s="19"/>
    </row>
    <row r="530" spans="1:12">
      <c r="A530" s="3" t="s">
        <v>95</v>
      </c>
      <c r="B530" t="str">
        <f>IF(_xlfn.XLOOKUP(A530,PARAMETROS!A:A,PARAMETROS!B:B)=0,"",_xlfn.XLOOKUP(A530,PARAMETROS!A:A,PARAMETROS!B:B))</f>
        <v>012009004231</v>
      </c>
      <c r="C530">
        <f>IF(_xlfn.XLOOKUP(A530,PARAMETROS!A:A,PARAMETROS!C:C)=0,"",_xlfn.XLOOKUP(A530,PARAMETROS!A:A,PARAMETROS!C:C))</f>
        <v>20</v>
      </c>
      <c r="D530">
        <f>IF(_xlfn.XLOOKUP(A530,PARAMETROS!A:A,PARAMETROS!D:D)=0,"",_xlfn.XLOOKUP(A530,PARAMETROS!A:A,PARAMETROS!D:D))</f>
        <v>2</v>
      </c>
      <c r="E530" t="str">
        <f>IF(_xlfn.XLOOKUP('PREENCHIMENTO|LETIVAS'!A530,PARAMETROS!A:A,PARAMETROS!I:I)=0,"",_xlfn.XLOOKUP('PREENCHIMENTO|LETIVAS'!A530,PARAMETROS!A:A,PARAMETROS!I:I))</f>
        <v>PROFESSOR DE ENSINO SUPERIOR EAD</v>
      </c>
      <c r="F530" s="3" t="s">
        <v>38</v>
      </c>
      <c r="G530" s="3">
        <v>2</v>
      </c>
      <c r="H530" s="3" t="s">
        <v>39</v>
      </c>
      <c r="I530" s="3" t="s">
        <v>40</v>
      </c>
      <c r="J530" s="3" t="s">
        <v>1351</v>
      </c>
      <c r="K530" s="3"/>
      <c r="L530" s="19"/>
    </row>
    <row r="531" spans="1:12">
      <c r="A531" s="3" t="s">
        <v>593</v>
      </c>
      <c r="B531" t="str">
        <f>IF(_xlfn.XLOOKUP(A531,PARAMETROS!A:A,PARAMETROS!B:B)=0,"",_xlfn.XLOOKUP(A531,PARAMETROS!A:A,PARAMETROS!B:B))</f>
        <v>012009006309</v>
      </c>
      <c r="C531">
        <f>IF(_xlfn.XLOOKUP(A531,PARAMETROS!A:A,PARAMETROS!C:C)=0,"",_xlfn.XLOOKUP(A531,PARAMETROS!A:A,PARAMETROS!C:C))</f>
        <v>12</v>
      </c>
      <c r="D531">
        <f>IF(_xlfn.XLOOKUP(A531,PARAMETROS!A:A,PARAMETROS!D:D)=0,"",_xlfn.XLOOKUP(A531,PARAMETROS!A:A,PARAMETROS!D:D))</f>
        <v>9</v>
      </c>
      <c r="E531" t="str">
        <f>IF(_xlfn.XLOOKUP('PREENCHIMENTO|LETIVAS'!A531,PARAMETROS!A:A,PARAMETROS!I:I)=0,"",_xlfn.XLOOKUP('PREENCHIMENTO|LETIVAS'!A531,PARAMETROS!A:A,PARAMETROS!I:I))</f>
        <v>PROFESSOR REGENTE</v>
      </c>
      <c r="F531" s="3" t="s">
        <v>38</v>
      </c>
      <c r="G531" s="3">
        <v>2</v>
      </c>
      <c r="H531" s="3" t="s">
        <v>63</v>
      </c>
      <c r="I531" s="3" t="s">
        <v>33</v>
      </c>
      <c r="J531" s="3" t="s">
        <v>1352</v>
      </c>
      <c r="K531" s="3"/>
      <c r="L531" s="19"/>
    </row>
    <row r="532" spans="1:12">
      <c r="A532" s="3" t="s">
        <v>593</v>
      </c>
      <c r="B532" t="str">
        <f>IF(_xlfn.XLOOKUP(A532,PARAMETROS!A:A,PARAMETROS!B:B)=0,"",_xlfn.XLOOKUP(A532,PARAMETROS!A:A,PARAMETROS!B:B))</f>
        <v>012009006309</v>
      </c>
      <c r="C532">
        <f>IF(_xlfn.XLOOKUP(A532,PARAMETROS!A:A,PARAMETROS!C:C)=0,"",_xlfn.XLOOKUP(A532,PARAMETROS!A:A,PARAMETROS!C:C))</f>
        <v>12</v>
      </c>
      <c r="D532">
        <f>IF(_xlfn.XLOOKUP(A532,PARAMETROS!A:A,PARAMETROS!D:D)=0,"",_xlfn.XLOOKUP(A532,PARAMETROS!A:A,PARAMETROS!D:D))</f>
        <v>9</v>
      </c>
      <c r="E532" t="str">
        <f>IF(_xlfn.XLOOKUP('PREENCHIMENTO|LETIVAS'!A532,PARAMETROS!A:A,PARAMETROS!I:I)=0,"",_xlfn.XLOOKUP('PREENCHIMENTO|LETIVAS'!A532,PARAMETROS!A:A,PARAMETROS!I:I))</f>
        <v>PROFESSOR REGENTE</v>
      </c>
      <c r="F532" s="3" t="s">
        <v>38</v>
      </c>
      <c r="G532" s="3">
        <v>2</v>
      </c>
      <c r="H532" s="3" t="s">
        <v>63</v>
      </c>
      <c r="I532" s="3" t="s">
        <v>40</v>
      </c>
      <c r="J532" s="3" t="s">
        <v>1353</v>
      </c>
      <c r="K532" s="3"/>
      <c r="L532" s="19"/>
    </row>
    <row r="533" spans="1:12">
      <c r="A533" s="3" t="s">
        <v>447</v>
      </c>
      <c r="B533" t="str">
        <f>IF(_xlfn.XLOOKUP(A533,PARAMETROS!A:A,PARAMETROS!B:B)=0,"",_xlfn.XLOOKUP(A533,PARAMETROS!A:A,PARAMETROS!B:B))</f>
        <v>012009005844</v>
      </c>
      <c r="C533">
        <f>IF(_xlfn.XLOOKUP(A533,PARAMETROS!A:A,PARAMETROS!C:C)=0,"",_xlfn.XLOOKUP(A533,PARAMETROS!A:A,PARAMETROS!C:C))</f>
        <v>20</v>
      </c>
      <c r="D533">
        <f>IF(_xlfn.XLOOKUP(A533,PARAMETROS!A:A,PARAMETROS!D:D)=0,"",_xlfn.XLOOKUP(A533,PARAMETROS!A:A,PARAMETROS!D:D))</f>
        <v>2</v>
      </c>
      <c r="E533" t="str">
        <f>IF(_xlfn.XLOOKUP('PREENCHIMENTO|LETIVAS'!A533,PARAMETROS!A:A,PARAMETROS!I:I)=0,"",_xlfn.XLOOKUP('PREENCHIMENTO|LETIVAS'!A533,PARAMETROS!A:A,PARAMETROS!I:I))</f>
        <v>PROFESSOR DE ENSINO SUPERIOR EAD</v>
      </c>
      <c r="F533" s="3" t="s">
        <v>38</v>
      </c>
      <c r="G533" s="3">
        <v>1</v>
      </c>
      <c r="H533" s="3" t="s">
        <v>39</v>
      </c>
      <c r="I533" s="3" t="s">
        <v>40</v>
      </c>
      <c r="J533" s="3" t="s">
        <v>1354</v>
      </c>
      <c r="K533" s="3"/>
      <c r="L533" s="19"/>
    </row>
    <row r="534" spans="1:12">
      <c r="A534" s="3" t="s">
        <v>778</v>
      </c>
      <c r="B534" t="str">
        <f>IF(_xlfn.XLOOKUP(A534,PARAMETROS!A:A,PARAMETROS!B:B)=0,"",_xlfn.XLOOKUP(A534,PARAMETROS!A:A,PARAMETROS!B:B))</f>
        <v>012009006162</v>
      </c>
      <c r="C534">
        <f>IF(_xlfn.XLOOKUP(A534,PARAMETROS!A:A,PARAMETROS!C:C)=0,"",_xlfn.XLOOKUP(A534,PARAMETROS!A:A,PARAMETROS!C:C))</f>
        <v>40</v>
      </c>
      <c r="D534" t="str">
        <f>IF(_xlfn.XLOOKUP(A534,PARAMETROS!A:A,PARAMETROS!D:D)=0,"",_xlfn.XLOOKUP(A534,PARAMETROS!A:A,PARAMETROS!D:D))</f>
        <v/>
      </c>
      <c r="E534" t="str">
        <f>IF(_xlfn.XLOOKUP('PREENCHIMENTO|LETIVAS'!A534,PARAMETROS!A:A,PARAMETROS!I:I)=0,"",_xlfn.XLOOKUP('PREENCHIMENTO|LETIVAS'!A534,PARAMETROS!A:A,PARAMETROS!I:I))</f>
        <v>TUTOR FACILITADOR ONLINE</v>
      </c>
      <c r="F534" s="3" t="s">
        <v>38</v>
      </c>
      <c r="G534" s="3" t="s">
        <v>54</v>
      </c>
      <c r="H534" s="3" t="s">
        <v>32</v>
      </c>
      <c r="I534" s="3" t="s">
        <v>40</v>
      </c>
      <c r="J534" s="3" t="s">
        <v>1355</v>
      </c>
      <c r="K534" s="3"/>
      <c r="L534" s="19"/>
    </row>
    <row r="535" spans="1:12">
      <c r="A535" s="3" t="s">
        <v>438</v>
      </c>
      <c r="B535" t="str">
        <f>IF(_xlfn.XLOOKUP(A535,PARAMETROS!A:A,PARAMETROS!B:B)=0,"",_xlfn.XLOOKUP(A535,PARAMETROS!A:A,PARAMETROS!B:B))</f>
        <v>012009005913</v>
      </c>
      <c r="C535">
        <f>IF(_xlfn.XLOOKUP(A535,PARAMETROS!A:A,PARAMETROS!C:C)=0,"",_xlfn.XLOOKUP(A535,PARAMETROS!A:A,PARAMETROS!C:C))</f>
        <v>20</v>
      </c>
      <c r="D535">
        <f>IF(_xlfn.XLOOKUP(A535,PARAMETROS!A:A,PARAMETROS!D:D)=0,"",_xlfn.XLOOKUP(A535,PARAMETROS!A:A,PARAMETROS!D:D))</f>
        <v>2</v>
      </c>
      <c r="E535" t="str">
        <f>IF(_xlfn.XLOOKUP('PREENCHIMENTO|LETIVAS'!A535,PARAMETROS!A:A,PARAMETROS!I:I)=0,"",_xlfn.XLOOKUP('PREENCHIMENTO|LETIVAS'!A535,PARAMETROS!A:A,PARAMETROS!I:I))</f>
        <v>PROFESSOR DE ENSINO SUPERIOR EAD</v>
      </c>
      <c r="F535" s="3" t="s">
        <v>38</v>
      </c>
      <c r="G535" s="3" t="s">
        <v>54</v>
      </c>
      <c r="H535" s="3" t="s">
        <v>32</v>
      </c>
      <c r="I535" s="3" t="s">
        <v>33</v>
      </c>
      <c r="J535" s="3" t="s">
        <v>1356</v>
      </c>
      <c r="K535" s="3"/>
      <c r="L535" s="19"/>
    </row>
    <row r="536" spans="1:12">
      <c r="A536" s="3" t="s">
        <v>733</v>
      </c>
      <c r="B536" t="str">
        <f>IF(_xlfn.XLOOKUP(A536,PARAMETROS!A:A,PARAMETROS!B:B)=0,"",_xlfn.XLOOKUP(A536,PARAMETROS!A:A,PARAMETROS!B:B))</f>
        <v>012009006367</v>
      </c>
      <c r="C536">
        <f>IF(_xlfn.XLOOKUP(A536,PARAMETROS!A:A,PARAMETROS!C:C)=0,"",_xlfn.XLOOKUP(A536,PARAMETROS!A:A,PARAMETROS!C:C))</f>
        <v>12</v>
      </c>
      <c r="D536">
        <f>IF(_xlfn.XLOOKUP(A536,PARAMETROS!A:A,PARAMETROS!D:D)=0,"",_xlfn.XLOOKUP(A536,PARAMETROS!A:A,PARAMETROS!D:D))</f>
        <v>9</v>
      </c>
      <c r="E536" t="str">
        <f>IF(_xlfn.XLOOKUP('PREENCHIMENTO|LETIVAS'!A536,PARAMETROS!A:A,PARAMETROS!I:I)=0,"",_xlfn.XLOOKUP('PREENCHIMENTO|LETIVAS'!A536,PARAMETROS!A:A,PARAMETROS!I:I))</f>
        <v>PROFESSOR REGENTE</v>
      </c>
      <c r="F536" s="3" t="s">
        <v>38</v>
      </c>
      <c r="G536" s="3" t="s">
        <v>54</v>
      </c>
      <c r="H536" s="3" t="s">
        <v>32</v>
      </c>
      <c r="I536" s="3" t="s">
        <v>33</v>
      </c>
      <c r="J536" s="3" t="s">
        <v>1357</v>
      </c>
      <c r="K536" s="3"/>
      <c r="L536" s="19"/>
    </row>
    <row r="537" spans="1:12">
      <c r="A537" s="3" t="s">
        <v>733</v>
      </c>
      <c r="B537" t="str">
        <f>IF(_xlfn.XLOOKUP(A537,PARAMETROS!A:A,PARAMETROS!B:B)=0,"",_xlfn.XLOOKUP(A537,PARAMETROS!A:A,PARAMETROS!B:B))</f>
        <v>012009006367</v>
      </c>
      <c r="C537">
        <f>IF(_xlfn.XLOOKUP(A537,PARAMETROS!A:A,PARAMETROS!C:C)=0,"",_xlfn.XLOOKUP(A537,PARAMETROS!A:A,PARAMETROS!C:C))</f>
        <v>12</v>
      </c>
      <c r="D537">
        <f>IF(_xlfn.XLOOKUP(A537,PARAMETROS!A:A,PARAMETROS!D:D)=0,"",_xlfn.XLOOKUP(A537,PARAMETROS!A:A,PARAMETROS!D:D))</f>
        <v>9</v>
      </c>
      <c r="E537" t="str">
        <f>IF(_xlfn.XLOOKUP('PREENCHIMENTO|LETIVAS'!A537,PARAMETROS!A:A,PARAMETROS!I:I)=0,"",_xlfn.XLOOKUP('PREENCHIMENTO|LETIVAS'!A537,PARAMETROS!A:A,PARAMETROS!I:I))</f>
        <v>PROFESSOR REGENTE</v>
      </c>
      <c r="F537" s="3" t="s">
        <v>38</v>
      </c>
      <c r="G537" s="3" t="s">
        <v>54</v>
      </c>
      <c r="H537" s="3" t="s">
        <v>32</v>
      </c>
      <c r="I537" s="3" t="s">
        <v>40</v>
      </c>
      <c r="J537" s="3" t="s">
        <v>1358</v>
      </c>
      <c r="K537" s="3"/>
      <c r="L537" s="19"/>
    </row>
    <row r="538" spans="1:12">
      <c r="A538" s="3" t="s">
        <v>294</v>
      </c>
      <c r="B538" t="str">
        <f>IF(_xlfn.XLOOKUP(A538,PARAMETROS!A:A,PARAMETROS!B:B)=0,"",_xlfn.XLOOKUP(A538,PARAMETROS!A:A,PARAMETROS!B:B))</f>
        <v>012009006191</v>
      </c>
      <c r="C538">
        <f>IF(_xlfn.XLOOKUP(A538,PARAMETROS!A:A,PARAMETROS!C:C)=0,"",_xlfn.XLOOKUP(A538,PARAMETROS!A:A,PARAMETROS!C:C))</f>
        <v>40</v>
      </c>
      <c r="D538">
        <f>IF(_xlfn.XLOOKUP(A538,PARAMETROS!A:A,PARAMETROS!D:D)=0,"",_xlfn.XLOOKUP(A538,PARAMETROS!A:A,PARAMETROS!D:D))</f>
        <v>20</v>
      </c>
      <c r="E538" t="str">
        <f>IF(_xlfn.XLOOKUP('PREENCHIMENTO|LETIVAS'!A538,PARAMETROS!A:A,PARAMETROS!I:I)=0,"",_xlfn.XLOOKUP('PREENCHIMENTO|LETIVAS'!A538,PARAMETROS!A:A,PARAMETROS!I:I))</f>
        <v>PROFESSOR REGENTE</v>
      </c>
      <c r="F538" s="3" t="s">
        <v>38</v>
      </c>
      <c r="G538" s="3" t="s">
        <v>54</v>
      </c>
      <c r="H538" s="3" t="s">
        <v>32</v>
      </c>
      <c r="I538" s="3" t="s">
        <v>33</v>
      </c>
      <c r="J538" s="3" t="s">
        <v>1359</v>
      </c>
      <c r="K538" s="3"/>
      <c r="L538" s="19"/>
    </row>
    <row r="539" spans="1:12">
      <c r="A539" s="3" t="s">
        <v>294</v>
      </c>
      <c r="B539" t="str">
        <f>IF(_xlfn.XLOOKUP(A539,PARAMETROS!A:A,PARAMETROS!B:B)=0,"",_xlfn.XLOOKUP(A539,PARAMETROS!A:A,PARAMETROS!B:B))</f>
        <v>012009006191</v>
      </c>
      <c r="C539">
        <f>IF(_xlfn.XLOOKUP(A539,PARAMETROS!A:A,PARAMETROS!C:C)=0,"",_xlfn.XLOOKUP(A539,PARAMETROS!A:A,PARAMETROS!C:C))</f>
        <v>40</v>
      </c>
      <c r="D539">
        <f>IF(_xlfn.XLOOKUP(A539,PARAMETROS!A:A,PARAMETROS!D:D)=0,"",_xlfn.XLOOKUP(A539,PARAMETROS!A:A,PARAMETROS!D:D))</f>
        <v>20</v>
      </c>
      <c r="E539" t="str">
        <f>IF(_xlfn.XLOOKUP('PREENCHIMENTO|LETIVAS'!A539,PARAMETROS!A:A,PARAMETROS!I:I)=0,"",_xlfn.XLOOKUP('PREENCHIMENTO|LETIVAS'!A539,PARAMETROS!A:A,PARAMETROS!I:I))</f>
        <v>PROFESSOR REGENTE</v>
      </c>
      <c r="F539" s="3" t="s">
        <v>38</v>
      </c>
      <c r="G539" s="3" t="s">
        <v>54</v>
      </c>
      <c r="H539" s="3" t="s">
        <v>32</v>
      </c>
      <c r="I539" s="3" t="s">
        <v>40</v>
      </c>
      <c r="J539" s="3" t="s">
        <v>1360</v>
      </c>
      <c r="K539" s="3"/>
      <c r="L539" s="19"/>
    </row>
    <row r="540" spans="1:12">
      <c r="A540" s="3" t="s">
        <v>294</v>
      </c>
      <c r="B540" t="str">
        <f>IF(_xlfn.XLOOKUP(A540,PARAMETROS!A:A,PARAMETROS!B:B)=0,"",_xlfn.XLOOKUP(A540,PARAMETROS!A:A,PARAMETROS!B:B))</f>
        <v>012009006191</v>
      </c>
      <c r="C540">
        <f>IF(_xlfn.XLOOKUP(A540,PARAMETROS!A:A,PARAMETROS!C:C)=0,"",_xlfn.XLOOKUP(A540,PARAMETROS!A:A,PARAMETROS!C:C))</f>
        <v>40</v>
      </c>
      <c r="D540">
        <f>IF(_xlfn.XLOOKUP(A540,PARAMETROS!A:A,PARAMETROS!D:D)=0,"",_xlfn.XLOOKUP(A540,PARAMETROS!A:A,PARAMETROS!D:D))</f>
        <v>20</v>
      </c>
      <c r="E540" t="str">
        <f>IF(_xlfn.XLOOKUP('PREENCHIMENTO|LETIVAS'!A540,PARAMETROS!A:A,PARAMETROS!I:I)=0,"",_xlfn.XLOOKUP('PREENCHIMENTO|LETIVAS'!A540,PARAMETROS!A:A,PARAMETROS!I:I))</f>
        <v>PROFESSOR REGENTE</v>
      </c>
      <c r="F540" s="3" t="s">
        <v>38</v>
      </c>
      <c r="G540" s="3">
        <v>2</v>
      </c>
      <c r="H540" s="3" t="s">
        <v>55</v>
      </c>
      <c r="I540" s="3" t="s">
        <v>40</v>
      </c>
      <c r="J540" s="3" t="s">
        <v>1361</v>
      </c>
      <c r="K540" s="3"/>
      <c r="L540" s="19"/>
    </row>
    <row r="541" spans="1:12">
      <c r="A541" s="3" t="s">
        <v>294</v>
      </c>
      <c r="B541" t="str">
        <f>IF(_xlfn.XLOOKUP(A541,PARAMETROS!A:A,PARAMETROS!B:B)=0,"",_xlfn.XLOOKUP(A541,PARAMETROS!A:A,PARAMETROS!B:B))</f>
        <v>012009006191</v>
      </c>
      <c r="C541">
        <f>IF(_xlfn.XLOOKUP(A541,PARAMETROS!A:A,PARAMETROS!C:C)=0,"",_xlfn.XLOOKUP(A541,PARAMETROS!A:A,PARAMETROS!C:C))</f>
        <v>40</v>
      </c>
      <c r="D541">
        <f>IF(_xlfn.XLOOKUP(A541,PARAMETROS!A:A,PARAMETROS!D:D)=0,"",_xlfn.XLOOKUP(A541,PARAMETROS!A:A,PARAMETROS!D:D))</f>
        <v>20</v>
      </c>
      <c r="E541" t="str">
        <f>IF(_xlfn.XLOOKUP('PREENCHIMENTO|LETIVAS'!A541,PARAMETROS!A:A,PARAMETROS!I:I)=0,"",_xlfn.XLOOKUP('PREENCHIMENTO|LETIVAS'!A541,PARAMETROS!A:A,PARAMETROS!I:I))</f>
        <v>PROFESSOR REGENTE</v>
      </c>
      <c r="F541" s="3" t="s">
        <v>38</v>
      </c>
      <c r="G541" s="3">
        <v>1</v>
      </c>
      <c r="H541" s="3" t="s">
        <v>55</v>
      </c>
      <c r="I541" s="3" t="s">
        <v>33</v>
      </c>
      <c r="J541" s="3" t="s">
        <v>1362</v>
      </c>
      <c r="K541" s="3"/>
      <c r="L541" s="19"/>
    </row>
    <row r="542" spans="1:12">
      <c r="A542" s="3" t="s">
        <v>294</v>
      </c>
      <c r="B542" t="str">
        <f>IF(_xlfn.XLOOKUP(A542,PARAMETROS!A:A,PARAMETROS!B:B)=0,"",_xlfn.XLOOKUP(A542,PARAMETROS!A:A,PARAMETROS!B:B))</f>
        <v>012009006191</v>
      </c>
      <c r="C542">
        <f>IF(_xlfn.XLOOKUP(A542,PARAMETROS!A:A,PARAMETROS!C:C)=0,"",_xlfn.XLOOKUP(A542,PARAMETROS!A:A,PARAMETROS!C:C))</f>
        <v>40</v>
      </c>
      <c r="D542">
        <f>IF(_xlfn.XLOOKUP(A542,PARAMETROS!A:A,PARAMETROS!D:D)=0,"",_xlfn.XLOOKUP(A542,PARAMETROS!A:A,PARAMETROS!D:D))</f>
        <v>20</v>
      </c>
      <c r="E542" t="str">
        <f>IF(_xlfn.XLOOKUP('PREENCHIMENTO|LETIVAS'!A542,PARAMETROS!A:A,PARAMETROS!I:I)=0,"",_xlfn.XLOOKUP('PREENCHIMENTO|LETIVAS'!A542,PARAMETROS!A:A,PARAMETROS!I:I))</f>
        <v>PROFESSOR REGENTE</v>
      </c>
      <c r="F542" s="3" t="s">
        <v>38</v>
      </c>
      <c r="G542" s="3" t="s">
        <v>54</v>
      </c>
      <c r="H542" s="3" t="s">
        <v>32</v>
      </c>
      <c r="I542" s="3" t="s">
        <v>33</v>
      </c>
      <c r="J542" s="3" t="s">
        <v>1363</v>
      </c>
      <c r="K542" s="3"/>
      <c r="L542" s="19"/>
    </row>
    <row r="543" spans="1:12">
      <c r="A543" s="3" t="s">
        <v>742</v>
      </c>
      <c r="B543" t="str">
        <f>IF(_xlfn.XLOOKUP(A543,PARAMETROS!A:A,PARAMETROS!B:B)=0,"",_xlfn.XLOOKUP(A543,PARAMETROS!A:A,PARAMETROS!B:B))</f>
        <v>012009004271</v>
      </c>
      <c r="C543" t="str">
        <f>IF(_xlfn.XLOOKUP(A543,PARAMETROS!A:A,PARAMETROS!C:C)=0,"",_xlfn.XLOOKUP(A543,PARAMETROS!A:A,PARAMETROS!C:C))</f>
        <v/>
      </c>
      <c r="D543" t="str">
        <f>IF(_xlfn.XLOOKUP(A543,PARAMETROS!A:A,PARAMETROS!D:D)=0,"",_xlfn.XLOOKUP(A543,PARAMETROS!A:A,PARAMETROS!D:D))</f>
        <v/>
      </c>
      <c r="E543" t="str">
        <f>IF(_xlfn.XLOOKUP('PREENCHIMENTO|LETIVAS'!A543,PARAMETROS!A:A,PARAMETROS!I:I)=0,"",_xlfn.XLOOKUP('PREENCHIMENTO|LETIVAS'!A543,PARAMETROS!A:A,PARAMETROS!I:I))</f>
        <v>PROFESSOR DE ENSINO SUPERIOR PRESENCIAL</v>
      </c>
      <c r="F543" s="3" t="s">
        <v>38</v>
      </c>
      <c r="G543" s="3">
        <v>1</v>
      </c>
      <c r="H543" s="3" t="s">
        <v>55</v>
      </c>
      <c r="I543" s="3" t="s">
        <v>40</v>
      </c>
      <c r="J543" s="3" t="s">
        <v>1364</v>
      </c>
      <c r="K543" s="3"/>
      <c r="L543" s="19"/>
    </row>
    <row r="544" spans="1:12">
      <c r="A544" s="3" t="s">
        <v>334</v>
      </c>
      <c r="B544" t="str">
        <f>IF(_xlfn.XLOOKUP(A544,PARAMETROS!A:A,PARAMETROS!B:B)=0,"",_xlfn.XLOOKUP(A544,PARAMETROS!A:A,PARAMETROS!B:B))</f>
        <v>012009003968</v>
      </c>
      <c r="C544">
        <f>IF(_xlfn.XLOOKUP(A544,PARAMETROS!A:A,PARAMETROS!C:C)=0,"",_xlfn.XLOOKUP(A544,PARAMETROS!A:A,PARAMETROS!C:C))</f>
        <v>40</v>
      </c>
      <c r="D544">
        <f>IF(_xlfn.XLOOKUP(A544,PARAMETROS!A:A,PARAMETROS!D:D)=0,"",_xlfn.XLOOKUP(A544,PARAMETROS!A:A,PARAMETROS!D:D))</f>
        <v>4</v>
      </c>
      <c r="E544" t="str">
        <f>IF(_xlfn.XLOOKUP('PREENCHIMENTO|LETIVAS'!A544,PARAMETROS!A:A,PARAMETROS!I:I)=0,"",_xlfn.XLOOKUP('PREENCHIMENTO|LETIVAS'!A544,PARAMETROS!A:A,PARAMETROS!I:I))</f>
        <v>PROFESSOR DE ENSINO SUPERIOR EAD</v>
      </c>
      <c r="F544" s="3" t="s">
        <v>38</v>
      </c>
      <c r="G544" s="3">
        <v>1</v>
      </c>
      <c r="H544" s="3" t="s">
        <v>55</v>
      </c>
      <c r="I544" s="3" t="s">
        <v>40</v>
      </c>
      <c r="J544" s="3" t="s">
        <v>1365</v>
      </c>
      <c r="K544" s="3"/>
      <c r="L544" s="19"/>
    </row>
    <row r="545" spans="1:12">
      <c r="A545" s="3" t="s">
        <v>334</v>
      </c>
      <c r="B545" t="str">
        <f>IF(_xlfn.XLOOKUP(A545,PARAMETROS!A:A,PARAMETROS!B:B)=0,"",_xlfn.XLOOKUP(A545,PARAMETROS!A:A,PARAMETROS!B:B))</f>
        <v>012009003968</v>
      </c>
      <c r="C545">
        <f>IF(_xlfn.XLOOKUP(A545,PARAMETROS!A:A,PARAMETROS!C:C)=0,"",_xlfn.XLOOKUP(A545,PARAMETROS!A:A,PARAMETROS!C:C))</f>
        <v>40</v>
      </c>
      <c r="D545">
        <f>IF(_xlfn.XLOOKUP(A545,PARAMETROS!A:A,PARAMETROS!D:D)=0,"",_xlfn.XLOOKUP(A545,PARAMETROS!A:A,PARAMETROS!D:D))</f>
        <v>4</v>
      </c>
      <c r="E545" t="str">
        <f>IF(_xlfn.XLOOKUP('PREENCHIMENTO|LETIVAS'!A545,PARAMETROS!A:A,PARAMETROS!I:I)=0,"",_xlfn.XLOOKUP('PREENCHIMENTO|LETIVAS'!A545,PARAMETROS!A:A,PARAMETROS!I:I))</f>
        <v>PROFESSOR DE ENSINO SUPERIOR EAD</v>
      </c>
      <c r="F545" s="3" t="s">
        <v>38</v>
      </c>
      <c r="G545" s="3">
        <v>1</v>
      </c>
      <c r="H545" s="3" t="s">
        <v>32</v>
      </c>
      <c r="I545" s="3" t="s">
        <v>40</v>
      </c>
      <c r="J545" s="3" t="s">
        <v>1365</v>
      </c>
      <c r="K545" s="3"/>
      <c r="L545" s="19"/>
    </row>
    <row r="546" spans="1:12">
      <c r="A546" s="3" t="s">
        <v>199</v>
      </c>
      <c r="B546" t="str">
        <f>IF(_xlfn.XLOOKUP(A546,PARAMETROS!A:A,PARAMETROS!B:B)=0,"",_xlfn.XLOOKUP(A546,PARAMETROS!A:A,PARAMETROS!B:B))</f>
        <v>012009003517</v>
      </c>
      <c r="C546">
        <f>IF(_xlfn.XLOOKUP(A546,PARAMETROS!A:A,PARAMETROS!C:C)=0,"",_xlfn.XLOOKUP(A546,PARAMETROS!A:A,PARAMETROS!C:C))</f>
        <v>40</v>
      </c>
      <c r="D546">
        <f>IF(_xlfn.XLOOKUP(A546,PARAMETROS!A:A,PARAMETROS!D:D)=0,"",_xlfn.XLOOKUP(A546,PARAMETROS!A:A,PARAMETROS!D:D))</f>
        <v>4</v>
      </c>
      <c r="E546" t="str">
        <f>IF(_xlfn.XLOOKUP('PREENCHIMENTO|LETIVAS'!A546,PARAMETROS!A:A,PARAMETROS!I:I)=0,"",_xlfn.XLOOKUP('PREENCHIMENTO|LETIVAS'!A546,PARAMETROS!A:A,PARAMETROS!I:I))</f>
        <v>PROFESSOR DE ENSINO SUPERIOR EAD</v>
      </c>
      <c r="F546" s="3" t="s">
        <v>38</v>
      </c>
      <c r="G546" s="3">
        <v>2</v>
      </c>
      <c r="H546" s="3" t="s">
        <v>55</v>
      </c>
      <c r="I546" s="3" t="s">
        <v>33</v>
      </c>
      <c r="J546" s="3" t="s">
        <v>1366</v>
      </c>
      <c r="K546" s="3"/>
      <c r="L546" s="19"/>
    </row>
    <row r="547" spans="1:12">
      <c r="A547" s="3" t="s">
        <v>199</v>
      </c>
      <c r="B547" t="str">
        <f>IF(_xlfn.XLOOKUP(A547,PARAMETROS!A:A,PARAMETROS!B:B)=0,"",_xlfn.XLOOKUP(A547,PARAMETROS!A:A,PARAMETROS!B:B))</f>
        <v>012009003517</v>
      </c>
      <c r="C547">
        <f>IF(_xlfn.XLOOKUP(A547,PARAMETROS!A:A,PARAMETROS!C:C)=0,"",_xlfn.XLOOKUP(A547,PARAMETROS!A:A,PARAMETROS!C:C))</f>
        <v>40</v>
      </c>
      <c r="D547">
        <f>IF(_xlfn.XLOOKUP(A547,PARAMETROS!A:A,PARAMETROS!D:D)=0,"",_xlfn.XLOOKUP(A547,PARAMETROS!A:A,PARAMETROS!D:D))</f>
        <v>4</v>
      </c>
      <c r="E547" t="str">
        <f>IF(_xlfn.XLOOKUP('PREENCHIMENTO|LETIVAS'!A547,PARAMETROS!A:A,PARAMETROS!I:I)=0,"",_xlfn.XLOOKUP('PREENCHIMENTO|LETIVAS'!A547,PARAMETROS!A:A,PARAMETROS!I:I))</f>
        <v>PROFESSOR DE ENSINO SUPERIOR EAD</v>
      </c>
      <c r="F547" s="3" t="s">
        <v>38</v>
      </c>
      <c r="G547" s="3">
        <v>1</v>
      </c>
      <c r="H547" s="3" t="s">
        <v>55</v>
      </c>
      <c r="I547" s="3" t="s">
        <v>40</v>
      </c>
      <c r="J547" s="3" t="s">
        <v>1367</v>
      </c>
      <c r="K547" s="3"/>
      <c r="L547" s="19"/>
    </row>
    <row r="548" spans="1:12">
      <c r="A548" s="3" t="s">
        <v>392</v>
      </c>
      <c r="B548" t="str">
        <f>IF(_xlfn.XLOOKUP(A548,PARAMETROS!A:A,PARAMETROS!B:B)=0,"",_xlfn.XLOOKUP(A548,PARAMETROS!A:A,PARAMETROS!B:B))</f>
        <v>012009006203</v>
      </c>
      <c r="C548">
        <f>IF(_xlfn.XLOOKUP(A548,PARAMETROS!A:A,PARAMETROS!C:C)=0,"",_xlfn.XLOOKUP(A548,PARAMETROS!A:A,PARAMETROS!C:C))</f>
        <v>12</v>
      </c>
      <c r="D548">
        <f>IF(_xlfn.XLOOKUP(A548,PARAMETROS!A:A,PARAMETROS!D:D)=0,"",_xlfn.XLOOKUP(A548,PARAMETROS!A:A,PARAMETROS!D:D))</f>
        <v>9</v>
      </c>
      <c r="E548" t="str">
        <f>IF(_xlfn.XLOOKUP('PREENCHIMENTO|LETIVAS'!A548,PARAMETROS!A:A,PARAMETROS!I:I)=0,"",_xlfn.XLOOKUP('PREENCHIMENTO|LETIVAS'!A548,PARAMETROS!A:A,PARAMETROS!I:I))</f>
        <v>PROFESSOR REGENTE</v>
      </c>
      <c r="F548" s="3" t="s">
        <v>38</v>
      </c>
      <c r="G548" s="3">
        <v>1</v>
      </c>
      <c r="H548" s="3" t="s">
        <v>55</v>
      </c>
      <c r="I548" s="3" t="s">
        <v>40</v>
      </c>
      <c r="J548" s="3" t="s">
        <v>953</v>
      </c>
      <c r="K548" s="3"/>
      <c r="L548" s="19"/>
    </row>
    <row r="549" spans="1:12">
      <c r="A549" s="3" t="s">
        <v>383</v>
      </c>
      <c r="B549" t="str">
        <f>IF(_xlfn.XLOOKUP(A549,PARAMETROS!A:A,PARAMETROS!B:B)=0,"",_xlfn.XLOOKUP(A549,PARAMETROS!A:A,PARAMETROS!B:B))</f>
        <v>012009003543</v>
      </c>
      <c r="C549">
        <f>IF(_xlfn.XLOOKUP(A549,PARAMETROS!A:A,PARAMETROS!C:C)=0,"",_xlfn.XLOOKUP(A549,PARAMETROS!A:A,PARAMETROS!C:C))</f>
        <v>20</v>
      </c>
      <c r="D549">
        <f>IF(_xlfn.XLOOKUP(A549,PARAMETROS!A:A,PARAMETROS!D:D)=0,"",_xlfn.XLOOKUP(A549,PARAMETROS!A:A,PARAMETROS!D:D))</f>
        <v>2</v>
      </c>
      <c r="E549" t="str">
        <f>IF(_xlfn.XLOOKUP('PREENCHIMENTO|LETIVAS'!A549,PARAMETROS!A:A,PARAMETROS!I:I)=0,"",_xlfn.XLOOKUP('PREENCHIMENTO|LETIVAS'!A549,PARAMETROS!A:A,PARAMETROS!I:I))</f>
        <v>PROFESSOR DE ENSINO SUPERIOR EAD</v>
      </c>
      <c r="F549" s="3" t="s">
        <v>38</v>
      </c>
      <c r="G549" s="3">
        <v>2</v>
      </c>
      <c r="H549" s="3" t="s">
        <v>55</v>
      </c>
      <c r="I549" s="3" t="s">
        <v>40</v>
      </c>
      <c r="J549" s="3" t="s">
        <v>1368</v>
      </c>
      <c r="K549" s="3"/>
      <c r="L549" s="19"/>
    </row>
    <row r="550" spans="1:12">
      <c r="A550" s="3" t="s">
        <v>383</v>
      </c>
      <c r="B550" t="str">
        <f>IF(_xlfn.XLOOKUP(A550,PARAMETROS!A:A,PARAMETROS!B:B)=0,"",_xlfn.XLOOKUP(A550,PARAMETROS!A:A,PARAMETROS!B:B))</f>
        <v>012009003543</v>
      </c>
      <c r="C550">
        <f>IF(_xlfn.XLOOKUP(A550,PARAMETROS!A:A,PARAMETROS!C:C)=0,"",_xlfn.XLOOKUP(A550,PARAMETROS!A:A,PARAMETROS!C:C))</f>
        <v>20</v>
      </c>
      <c r="D550">
        <f>IF(_xlfn.XLOOKUP(A550,PARAMETROS!A:A,PARAMETROS!D:D)=0,"",_xlfn.XLOOKUP(A550,PARAMETROS!A:A,PARAMETROS!D:D))</f>
        <v>2</v>
      </c>
      <c r="E550" t="str">
        <f>IF(_xlfn.XLOOKUP('PREENCHIMENTO|LETIVAS'!A550,PARAMETROS!A:A,PARAMETROS!I:I)=0,"",_xlfn.XLOOKUP('PREENCHIMENTO|LETIVAS'!A550,PARAMETROS!A:A,PARAMETROS!I:I))</f>
        <v>PROFESSOR DE ENSINO SUPERIOR EAD</v>
      </c>
      <c r="F550" s="3" t="s">
        <v>38</v>
      </c>
      <c r="G550" s="3">
        <v>2</v>
      </c>
      <c r="H550" s="3" t="s">
        <v>55</v>
      </c>
      <c r="I550" s="3" t="s">
        <v>33</v>
      </c>
      <c r="J550" s="3" t="s">
        <v>1369</v>
      </c>
      <c r="K550" s="3"/>
      <c r="L550" s="19"/>
    </row>
    <row r="551" spans="1:12">
      <c r="A551" s="3" t="s">
        <v>86</v>
      </c>
      <c r="B551" t="str">
        <f>IF(_xlfn.XLOOKUP(A551,PARAMETROS!A:A,PARAMETROS!B:B)=0,"",_xlfn.XLOOKUP(A551,PARAMETROS!A:A,PARAMETROS!B:B))</f>
        <v>012009006176</v>
      </c>
      <c r="C551">
        <f>IF(_xlfn.XLOOKUP(A551,PARAMETROS!A:A,PARAMETROS!C:C)=0,"",_xlfn.XLOOKUP(A551,PARAMETROS!A:A,PARAMETROS!C:C))</f>
        <v>12</v>
      </c>
      <c r="D551">
        <f>IF(_xlfn.XLOOKUP(A551,PARAMETROS!A:A,PARAMETROS!D:D)=0,"",_xlfn.XLOOKUP(A551,PARAMETROS!A:A,PARAMETROS!D:D))</f>
        <v>9</v>
      </c>
      <c r="E551" t="str">
        <f>IF(_xlfn.XLOOKUP('PREENCHIMENTO|LETIVAS'!A551,PARAMETROS!A:A,PARAMETROS!I:I)=0,"",_xlfn.XLOOKUP('PREENCHIMENTO|LETIVAS'!A551,PARAMETROS!A:A,PARAMETROS!I:I))</f>
        <v>PROFESSOR REGENTE</v>
      </c>
      <c r="F551" s="3" t="s">
        <v>38</v>
      </c>
      <c r="G551" s="3">
        <v>2</v>
      </c>
      <c r="H551" s="3" t="s">
        <v>55</v>
      </c>
      <c r="I551" s="3" t="s">
        <v>40</v>
      </c>
      <c r="J551" s="3" t="s">
        <v>1370</v>
      </c>
      <c r="K551" s="3"/>
      <c r="L551" s="19"/>
    </row>
    <row r="552" spans="1:12">
      <c r="A552" s="3" t="s">
        <v>86</v>
      </c>
      <c r="B552" t="str">
        <f>IF(_xlfn.XLOOKUP(A552,PARAMETROS!A:A,PARAMETROS!B:B)=0,"",_xlfn.XLOOKUP(A552,PARAMETROS!A:A,PARAMETROS!B:B))</f>
        <v>012009006176</v>
      </c>
      <c r="C552">
        <f>IF(_xlfn.XLOOKUP(A552,PARAMETROS!A:A,PARAMETROS!C:C)=0,"",_xlfn.XLOOKUP(A552,PARAMETROS!A:A,PARAMETROS!C:C))</f>
        <v>12</v>
      </c>
      <c r="D552">
        <f>IF(_xlfn.XLOOKUP(A552,PARAMETROS!A:A,PARAMETROS!D:D)=0,"",_xlfn.XLOOKUP(A552,PARAMETROS!A:A,PARAMETROS!D:D))</f>
        <v>9</v>
      </c>
      <c r="E552" t="str">
        <f>IF(_xlfn.XLOOKUP('PREENCHIMENTO|LETIVAS'!A552,PARAMETROS!A:A,PARAMETROS!I:I)=0,"",_xlfn.XLOOKUP('PREENCHIMENTO|LETIVAS'!A552,PARAMETROS!A:A,PARAMETROS!I:I))</f>
        <v>PROFESSOR REGENTE</v>
      </c>
      <c r="F552" s="3" t="s">
        <v>38</v>
      </c>
      <c r="G552" s="3">
        <v>2</v>
      </c>
      <c r="H552" s="3" t="s">
        <v>55</v>
      </c>
      <c r="I552" s="3" t="s">
        <v>33</v>
      </c>
      <c r="J552" s="3" t="s">
        <v>1371</v>
      </c>
      <c r="K552" s="3"/>
      <c r="L552" s="19"/>
    </row>
    <row r="553" spans="1:12">
      <c r="A553" s="3" t="s">
        <v>291</v>
      </c>
      <c r="B553" t="str">
        <f>IF(_xlfn.XLOOKUP(A553,PARAMETROS!A:A,PARAMETROS!B:B)=0,"",_xlfn.XLOOKUP(A553,PARAMETROS!A:A,PARAMETROS!B:B))</f>
        <v>012009003555</v>
      </c>
      <c r="C553">
        <f>IF(_xlfn.XLOOKUP(A553,PARAMETROS!A:A,PARAMETROS!C:C)=0,"",_xlfn.XLOOKUP(A553,PARAMETROS!A:A,PARAMETROS!C:C))</f>
        <v>20</v>
      </c>
      <c r="D553">
        <f>IF(_xlfn.XLOOKUP(A553,PARAMETROS!A:A,PARAMETROS!D:D)=0,"",_xlfn.XLOOKUP(A553,PARAMETROS!A:A,PARAMETROS!D:D))</f>
        <v>2</v>
      </c>
      <c r="E553" t="str">
        <f>IF(_xlfn.XLOOKUP('PREENCHIMENTO|LETIVAS'!A553,PARAMETROS!A:A,PARAMETROS!I:I)=0,"",_xlfn.XLOOKUP('PREENCHIMENTO|LETIVAS'!A553,PARAMETROS!A:A,PARAMETROS!I:I))</f>
        <v>PROFESSOR DE ENSINO SUPERIOR EAD</v>
      </c>
      <c r="F553" s="3" t="s">
        <v>38</v>
      </c>
      <c r="G553" s="3">
        <v>2</v>
      </c>
      <c r="H553" s="3" t="s">
        <v>55</v>
      </c>
      <c r="I553" s="3" t="s">
        <v>33</v>
      </c>
      <c r="J553" s="3" t="s">
        <v>1372</v>
      </c>
      <c r="K553" s="3"/>
      <c r="L553" s="19"/>
    </row>
    <row r="554" spans="1:12">
      <c r="A554" s="3" t="s">
        <v>569</v>
      </c>
      <c r="B554" t="str">
        <f>IF(_xlfn.XLOOKUP(A554,PARAMETROS!A:A,PARAMETROS!B:B)=0,"",_xlfn.XLOOKUP(A554,PARAMETROS!A:A,PARAMETROS!B:B))</f>
        <v>012009006257</v>
      </c>
      <c r="C554">
        <f>IF(_xlfn.XLOOKUP(A554,PARAMETROS!A:A,PARAMETROS!C:C)=0,"",_xlfn.XLOOKUP(A554,PARAMETROS!A:A,PARAMETROS!C:C))</f>
        <v>12</v>
      </c>
      <c r="D554">
        <f>IF(_xlfn.XLOOKUP(A554,PARAMETROS!A:A,PARAMETROS!D:D)=0,"",_xlfn.XLOOKUP(A554,PARAMETROS!A:A,PARAMETROS!D:D))</f>
        <v>9</v>
      </c>
      <c r="E554" t="str">
        <f>IF(_xlfn.XLOOKUP('PREENCHIMENTO|LETIVAS'!A554,PARAMETROS!A:A,PARAMETROS!I:I)=0,"",_xlfn.XLOOKUP('PREENCHIMENTO|LETIVAS'!A554,PARAMETROS!A:A,PARAMETROS!I:I))</f>
        <v>PROFESSOR REGENTE</v>
      </c>
      <c r="F554" s="3" t="s">
        <v>38</v>
      </c>
      <c r="G554" s="3">
        <v>1</v>
      </c>
      <c r="H554" s="3" t="s">
        <v>32</v>
      </c>
      <c r="I554" s="3" t="s">
        <v>33</v>
      </c>
      <c r="J554" s="3" t="s">
        <v>1373</v>
      </c>
      <c r="K554" s="3"/>
      <c r="L554" s="19"/>
    </row>
    <row r="555" spans="1:12">
      <c r="A555" s="3" t="s">
        <v>569</v>
      </c>
      <c r="B555" t="str">
        <f>IF(_xlfn.XLOOKUP(A555,PARAMETROS!A:A,PARAMETROS!B:B)=0,"",_xlfn.XLOOKUP(A555,PARAMETROS!A:A,PARAMETROS!B:B))</f>
        <v>012009006257</v>
      </c>
      <c r="C555">
        <f>IF(_xlfn.XLOOKUP(A555,PARAMETROS!A:A,PARAMETROS!C:C)=0,"",_xlfn.XLOOKUP(A555,PARAMETROS!A:A,PARAMETROS!C:C))</f>
        <v>12</v>
      </c>
      <c r="D555">
        <f>IF(_xlfn.XLOOKUP(A555,PARAMETROS!A:A,PARAMETROS!D:D)=0,"",_xlfn.XLOOKUP(A555,PARAMETROS!A:A,PARAMETROS!D:D))</f>
        <v>9</v>
      </c>
      <c r="E555" t="str">
        <f>IF(_xlfn.XLOOKUP('PREENCHIMENTO|LETIVAS'!A555,PARAMETROS!A:A,PARAMETROS!I:I)=0,"",_xlfn.XLOOKUP('PREENCHIMENTO|LETIVAS'!A555,PARAMETROS!A:A,PARAMETROS!I:I))</f>
        <v>PROFESSOR REGENTE</v>
      </c>
      <c r="F555" s="3" t="s">
        <v>38</v>
      </c>
      <c r="G555" s="3">
        <v>1</v>
      </c>
      <c r="H555" s="3" t="s">
        <v>32</v>
      </c>
      <c r="I555" s="3" t="s">
        <v>40</v>
      </c>
      <c r="J555" s="3" t="s">
        <v>1374</v>
      </c>
      <c r="K555" s="3"/>
      <c r="L555" s="19"/>
    </row>
    <row r="556" spans="1:12">
      <c r="A556" s="3" t="s">
        <v>303</v>
      </c>
      <c r="B556" t="str">
        <f>IF(_xlfn.XLOOKUP(A556,PARAMETROS!A:A,PARAMETROS!B:B)=0,"",_xlfn.XLOOKUP(A556,PARAMETROS!A:A,PARAMETROS!B:B))</f>
        <v>012009006234</v>
      </c>
      <c r="C556">
        <f>IF(_xlfn.XLOOKUP(A556,PARAMETROS!A:A,PARAMETROS!C:C)=0,"",_xlfn.XLOOKUP(A556,PARAMETROS!A:A,PARAMETROS!C:C))</f>
        <v>12</v>
      </c>
      <c r="D556">
        <f>IF(_xlfn.XLOOKUP(A556,PARAMETROS!A:A,PARAMETROS!D:D)=0,"",_xlfn.XLOOKUP(A556,PARAMETROS!A:A,PARAMETROS!D:D))</f>
        <v>9</v>
      </c>
      <c r="E556" t="str">
        <f>IF(_xlfn.XLOOKUP('PREENCHIMENTO|LETIVAS'!A556,PARAMETROS!A:A,PARAMETROS!I:I)=0,"",_xlfn.XLOOKUP('PREENCHIMENTO|LETIVAS'!A556,PARAMETROS!A:A,PARAMETROS!I:I))</f>
        <v>PROFESSOR REGENTE</v>
      </c>
      <c r="F556" s="3" t="s">
        <v>38</v>
      </c>
      <c r="G556" s="3">
        <v>2</v>
      </c>
      <c r="H556" s="3" t="s">
        <v>32</v>
      </c>
      <c r="I556" s="3" t="s">
        <v>40</v>
      </c>
      <c r="J556" s="3" t="s">
        <v>1375</v>
      </c>
      <c r="K556" s="3"/>
      <c r="L556" s="19"/>
    </row>
    <row r="557" spans="1:12">
      <c r="A557" s="3" t="s">
        <v>303</v>
      </c>
      <c r="B557" t="str">
        <f>IF(_xlfn.XLOOKUP(A557,PARAMETROS!A:A,PARAMETROS!B:B)=0,"",_xlfn.XLOOKUP(A557,PARAMETROS!A:A,PARAMETROS!B:B))</f>
        <v>012009006234</v>
      </c>
      <c r="C557">
        <f>IF(_xlfn.XLOOKUP(A557,PARAMETROS!A:A,PARAMETROS!C:C)=0,"",_xlfn.XLOOKUP(A557,PARAMETROS!A:A,PARAMETROS!C:C))</f>
        <v>12</v>
      </c>
      <c r="D557">
        <f>IF(_xlfn.XLOOKUP(A557,PARAMETROS!A:A,PARAMETROS!D:D)=0,"",_xlfn.XLOOKUP(A557,PARAMETROS!A:A,PARAMETROS!D:D))</f>
        <v>9</v>
      </c>
      <c r="E557" t="str">
        <f>IF(_xlfn.XLOOKUP('PREENCHIMENTO|LETIVAS'!A557,PARAMETROS!A:A,PARAMETROS!I:I)=0,"",_xlfn.XLOOKUP('PREENCHIMENTO|LETIVAS'!A557,PARAMETROS!A:A,PARAMETROS!I:I))</f>
        <v>PROFESSOR REGENTE</v>
      </c>
      <c r="F557" s="3" t="s">
        <v>38</v>
      </c>
      <c r="G557" s="3" t="s">
        <v>54</v>
      </c>
      <c r="H557" s="3" t="s">
        <v>55</v>
      </c>
      <c r="I557" s="3" t="s">
        <v>33</v>
      </c>
      <c r="J557" s="3" t="s">
        <v>1376</v>
      </c>
      <c r="K557" s="3"/>
      <c r="L557" s="19"/>
    </row>
    <row r="558" spans="1:12">
      <c r="A558" s="3" t="s">
        <v>650</v>
      </c>
      <c r="B558" t="str">
        <f>IF(_xlfn.XLOOKUP(A558,PARAMETROS!A:A,PARAMETROS!B:B)=0,"",_xlfn.XLOOKUP(A558,PARAMETROS!A:A,PARAMETROS!B:B))</f>
        <v>012009004339</v>
      </c>
      <c r="C558">
        <f>IF(_xlfn.XLOOKUP(A558,PARAMETROS!A:A,PARAMETROS!C:C)=0,"",_xlfn.XLOOKUP(A558,PARAMETROS!A:A,PARAMETROS!C:C))</f>
        <v>40</v>
      </c>
      <c r="D558">
        <f>IF(_xlfn.XLOOKUP(A558,PARAMETROS!A:A,PARAMETROS!D:D)=0,"",_xlfn.XLOOKUP(A558,PARAMETROS!A:A,PARAMETROS!D:D))</f>
        <v>20</v>
      </c>
      <c r="E558" t="str">
        <f>IF(_xlfn.XLOOKUP('PREENCHIMENTO|LETIVAS'!A558,PARAMETROS!A:A,PARAMETROS!I:I)=0,"",_xlfn.XLOOKUP('PREENCHIMENTO|LETIVAS'!A558,PARAMETROS!A:A,PARAMETROS!I:I))</f>
        <v>PROFESSOR REGENTE</v>
      </c>
      <c r="F558" s="3" t="s">
        <v>38</v>
      </c>
      <c r="G558" s="3" t="s">
        <v>54</v>
      </c>
      <c r="H558" s="3" t="s">
        <v>55</v>
      </c>
      <c r="I558" s="3" t="s">
        <v>33</v>
      </c>
      <c r="J558" s="3" t="s">
        <v>879</v>
      </c>
      <c r="K558" s="3"/>
      <c r="L558" s="19"/>
    </row>
    <row r="559" spans="1:12">
      <c r="A559" s="3" t="s">
        <v>650</v>
      </c>
      <c r="B559" t="str">
        <f>IF(_xlfn.XLOOKUP(A559,PARAMETROS!A:A,PARAMETROS!B:B)=0,"",_xlfn.XLOOKUP(A559,PARAMETROS!A:A,PARAMETROS!B:B))</f>
        <v>012009004339</v>
      </c>
      <c r="C559">
        <f>IF(_xlfn.XLOOKUP(A559,PARAMETROS!A:A,PARAMETROS!C:C)=0,"",_xlfn.XLOOKUP(A559,PARAMETROS!A:A,PARAMETROS!C:C))</f>
        <v>40</v>
      </c>
      <c r="D559">
        <f>IF(_xlfn.XLOOKUP(A559,PARAMETROS!A:A,PARAMETROS!D:D)=0,"",_xlfn.XLOOKUP(A559,PARAMETROS!A:A,PARAMETROS!D:D))</f>
        <v>20</v>
      </c>
      <c r="E559" t="str">
        <f>IF(_xlfn.XLOOKUP('PREENCHIMENTO|LETIVAS'!A559,PARAMETROS!A:A,PARAMETROS!I:I)=0,"",_xlfn.XLOOKUP('PREENCHIMENTO|LETIVAS'!A559,PARAMETROS!A:A,PARAMETROS!I:I))</f>
        <v>PROFESSOR REGENTE</v>
      </c>
      <c r="F559" s="3" t="s">
        <v>38</v>
      </c>
      <c r="G559" s="3" t="s">
        <v>54</v>
      </c>
      <c r="H559" s="3" t="s">
        <v>55</v>
      </c>
      <c r="I559" s="3" t="s">
        <v>40</v>
      </c>
      <c r="J559" s="3" t="s">
        <v>880</v>
      </c>
      <c r="K559" s="3"/>
      <c r="L559" s="19"/>
    </row>
    <row r="560" spans="1:12">
      <c r="A560" s="3" t="s">
        <v>650</v>
      </c>
      <c r="B560" t="str">
        <f>IF(_xlfn.XLOOKUP(A560,PARAMETROS!A:A,PARAMETROS!B:B)=0,"",_xlfn.XLOOKUP(A560,PARAMETROS!A:A,PARAMETROS!B:B))</f>
        <v>012009004339</v>
      </c>
      <c r="C560">
        <f>IF(_xlfn.XLOOKUP(A560,PARAMETROS!A:A,PARAMETROS!C:C)=0,"",_xlfn.XLOOKUP(A560,PARAMETROS!A:A,PARAMETROS!C:C))</f>
        <v>40</v>
      </c>
      <c r="D560">
        <f>IF(_xlfn.XLOOKUP(A560,PARAMETROS!A:A,PARAMETROS!D:D)=0,"",_xlfn.XLOOKUP(A560,PARAMETROS!A:A,PARAMETROS!D:D))</f>
        <v>20</v>
      </c>
      <c r="E560" t="str">
        <f>IF(_xlfn.XLOOKUP('PREENCHIMENTO|LETIVAS'!A560,PARAMETROS!A:A,PARAMETROS!I:I)=0,"",_xlfn.XLOOKUP('PREENCHIMENTO|LETIVAS'!A560,PARAMETROS!A:A,PARAMETROS!I:I))</f>
        <v>PROFESSOR REGENTE</v>
      </c>
      <c r="F560" s="3" t="s">
        <v>38</v>
      </c>
      <c r="G560" s="3" t="s">
        <v>54</v>
      </c>
      <c r="H560" s="3" t="s">
        <v>32</v>
      </c>
      <c r="I560" s="3" t="s">
        <v>33</v>
      </c>
      <c r="J560" s="3" t="s">
        <v>1377</v>
      </c>
      <c r="K560" s="3"/>
      <c r="L560" s="19"/>
    </row>
    <row r="561" spans="1:12">
      <c r="A561" s="3" t="s">
        <v>650</v>
      </c>
      <c r="B561" t="str">
        <f>IF(_xlfn.XLOOKUP(A561,PARAMETROS!A:A,PARAMETROS!B:B)=0,"",_xlfn.XLOOKUP(A561,PARAMETROS!A:A,PARAMETROS!B:B))</f>
        <v>012009004339</v>
      </c>
      <c r="C561">
        <f>IF(_xlfn.XLOOKUP(A561,PARAMETROS!A:A,PARAMETROS!C:C)=0,"",_xlfn.XLOOKUP(A561,PARAMETROS!A:A,PARAMETROS!C:C))</f>
        <v>40</v>
      </c>
      <c r="D561">
        <f>IF(_xlfn.XLOOKUP(A561,PARAMETROS!A:A,PARAMETROS!D:D)=0,"",_xlfn.XLOOKUP(A561,PARAMETROS!A:A,PARAMETROS!D:D))</f>
        <v>20</v>
      </c>
      <c r="E561" t="str">
        <f>IF(_xlfn.XLOOKUP('PREENCHIMENTO|LETIVAS'!A561,PARAMETROS!A:A,PARAMETROS!I:I)=0,"",_xlfn.XLOOKUP('PREENCHIMENTO|LETIVAS'!A561,PARAMETROS!A:A,PARAMETROS!I:I))</f>
        <v>PROFESSOR REGENTE</v>
      </c>
      <c r="F561" s="3" t="s">
        <v>38</v>
      </c>
      <c r="G561" s="3" t="s">
        <v>54</v>
      </c>
      <c r="H561" s="3" t="s">
        <v>32</v>
      </c>
      <c r="I561" s="3" t="s">
        <v>40</v>
      </c>
      <c r="J561" s="3" t="s">
        <v>1378</v>
      </c>
      <c r="K561" s="3"/>
      <c r="L561" s="19"/>
    </row>
    <row r="562" spans="1:12">
      <c r="A562" s="3" t="s">
        <v>632</v>
      </c>
      <c r="B562" t="str">
        <f>IF(_xlfn.XLOOKUP(A562,PARAMETROS!A:A,PARAMETROS!B:B)=0,"",_xlfn.XLOOKUP(A562,PARAMETROS!A:A,PARAMETROS!B:B))</f>
        <v>012009006265</v>
      </c>
      <c r="C562">
        <f>IF(_xlfn.XLOOKUP(A562,PARAMETROS!A:A,PARAMETROS!C:C)=0,"",_xlfn.XLOOKUP(A562,PARAMETROS!A:A,PARAMETROS!C:C))</f>
        <v>12</v>
      </c>
      <c r="D562">
        <f>IF(_xlfn.XLOOKUP(A562,PARAMETROS!A:A,PARAMETROS!D:D)=0,"",_xlfn.XLOOKUP(A562,PARAMETROS!A:A,PARAMETROS!D:D))</f>
        <v>9</v>
      </c>
      <c r="E562" t="str">
        <f>IF(_xlfn.XLOOKUP('PREENCHIMENTO|LETIVAS'!A562,PARAMETROS!A:A,PARAMETROS!I:I)=0,"",_xlfn.XLOOKUP('PREENCHIMENTO|LETIVAS'!A562,PARAMETROS!A:A,PARAMETROS!I:I))</f>
        <v>PROFESSOR REGENTE</v>
      </c>
      <c r="F562" s="3" t="s">
        <v>38</v>
      </c>
      <c r="G562" s="3" t="s">
        <v>54</v>
      </c>
      <c r="H562" s="3" t="s">
        <v>32</v>
      </c>
      <c r="I562" s="3" t="s">
        <v>40</v>
      </c>
      <c r="J562" s="3" t="s">
        <v>1379</v>
      </c>
      <c r="K562" s="3"/>
      <c r="L562" s="19"/>
    </row>
    <row r="563" spans="1:12">
      <c r="A563" s="3" t="s">
        <v>632</v>
      </c>
      <c r="B563" t="str">
        <f>IF(_xlfn.XLOOKUP(A563,PARAMETROS!A:A,PARAMETROS!B:B)=0,"",_xlfn.XLOOKUP(A563,PARAMETROS!A:A,PARAMETROS!B:B))</f>
        <v>012009006265</v>
      </c>
      <c r="C563">
        <f>IF(_xlfn.XLOOKUP(A563,PARAMETROS!A:A,PARAMETROS!C:C)=0,"",_xlfn.XLOOKUP(A563,PARAMETROS!A:A,PARAMETROS!C:C))</f>
        <v>12</v>
      </c>
      <c r="D563">
        <f>IF(_xlfn.XLOOKUP(A563,PARAMETROS!A:A,PARAMETROS!D:D)=0,"",_xlfn.XLOOKUP(A563,PARAMETROS!A:A,PARAMETROS!D:D))</f>
        <v>9</v>
      </c>
      <c r="E563" t="str">
        <f>IF(_xlfn.XLOOKUP('PREENCHIMENTO|LETIVAS'!A563,PARAMETROS!A:A,PARAMETROS!I:I)=0,"",_xlfn.XLOOKUP('PREENCHIMENTO|LETIVAS'!A563,PARAMETROS!A:A,PARAMETROS!I:I))</f>
        <v>PROFESSOR REGENTE</v>
      </c>
      <c r="F563" s="3" t="s">
        <v>38</v>
      </c>
      <c r="G563" s="3" t="s">
        <v>54</v>
      </c>
      <c r="H563" s="3" t="s">
        <v>32</v>
      </c>
      <c r="I563" s="3" t="s">
        <v>33</v>
      </c>
      <c r="J563" s="3" t="s">
        <v>1192</v>
      </c>
      <c r="K563" s="3"/>
      <c r="L563" s="19"/>
    </row>
    <row r="564" spans="1:12">
      <c r="A564" s="3" t="s">
        <v>126</v>
      </c>
      <c r="B564" t="str">
        <f>IF(_xlfn.XLOOKUP(A564,PARAMETROS!A:A,PARAMETROS!B:B)=0,"",_xlfn.XLOOKUP(A564,PARAMETROS!A:A,PARAMETROS!B:B))</f>
        <v>012009006177</v>
      </c>
      <c r="C564">
        <f>IF(_xlfn.XLOOKUP(A564,PARAMETROS!A:A,PARAMETROS!C:C)=0,"",_xlfn.XLOOKUP(A564,PARAMETROS!A:A,PARAMETROS!C:C))</f>
        <v>12</v>
      </c>
      <c r="D564">
        <f>IF(_xlfn.XLOOKUP(A564,PARAMETROS!A:A,PARAMETROS!D:D)=0,"",_xlfn.XLOOKUP(A564,PARAMETROS!A:A,PARAMETROS!D:D))</f>
        <v>9</v>
      </c>
      <c r="E564" t="str">
        <f>IF(_xlfn.XLOOKUP('PREENCHIMENTO|LETIVAS'!A564,PARAMETROS!A:A,PARAMETROS!I:I)=0,"",_xlfn.XLOOKUP('PREENCHIMENTO|LETIVAS'!A564,PARAMETROS!A:A,PARAMETROS!I:I))</f>
        <v>PROFESSOR REGENTE</v>
      </c>
      <c r="F564" s="3" t="s">
        <v>38</v>
      </c>
      <c r="G564" s="3">
        <v>1</v>
      </c>
      <c r="H564" s="3" t="s">
        <v>63</v>
      </c>
      <c r="I564" s="3" t="s">
        <v>33</v>
      </c>
      <c r="J564" s="3" t="s">
        <v>1380</v>
      </c>
      <c r="K564" s="3"/>
      <c r="L564" s="19"/>
    </row>
    <row r="565" spans="1:12">
      <c r="A565" s="3" t="s">
        <v>126</v>
      </c>
      <c r="B565" t="str">
        <f>IF(_xlfn.XLOOKUP(A565,PARAMETROS!A:A,PARAMETROS!B:B)=0,"",_xlfn.XLOOKUP(A565,PARAMETROS!A:A,PARAMETROS!B:B))</f>
        <v>012009006177</v>
      </c>
      <c r="C565">
        <f>IF(_xlfn.XLOOKUP(A565,PARAMETROS!A:A,PARAMETROS!C:C)=0,"",_xlfn.XLOOKUP(A565,PARAMETROS!A:A,PARAMETROS!C:C))</f>
        <v>12</v>
      </c>
      <c r="D565">
        <f>IF(_xlfn.XLOOKUP(A565,PARAMETROS!A:A,PARAMETROS!D:D)=0,"",_xlfn.XLOOKUP(A565,PARAMETROS!A:A,PARAMETROS!D:D))</f>
        <v>9</v>
      </c>
      <c r="E565" t="str">
        <f>IF(_xlfn.XLOOKUP('PREENCHIMENTO|LETIVAS'!A565,PARAMETROS!A:A,PARAMETROS!I:I)=0,"",_xlfn.XLOOKUP('PREENCHIMENTO|LETIVAS'!A565,PARAMETROS!A:A,PARAMETROS!I:I))</f>
        <v>PROFESSOR REGENTE</v>
      </c>
      <c r="F565" s="3" t="s">
        <v>38</v>
      </c>
      <c r="G565" s="3">
        <v>2</v>
      </c>
      <c r="H565" s="3" t="s">
        <v>63</v>
      </c>
      <c r="I565" s="3" t="s">
        <v>33</v>
      </c>
      <c r="J565" s="3" t="s">
        <v>1381</v>
      </c>
      <c r="K565" s="3"/>
      <c r="L565" s="19"/>
    </row>
    <row r="566" spans="1:12">
      <c r="A566" s="3" t="s">
        <v>727</v>
      </c>
      <c r="B566" t="str">
        <f>IF(_xlfn.XLOOKUP(A566,PARAMETROS!A:A,PARAMETROS!B:B)=0,"",_xlfn.XLOOKUP(A566,PARAMETROS!A:A,PARAMETROS!B:B))</f>
        <v>012009006370</v>
      </c>
      <c r="C566">
        <f>IF(_xlfn.XLOOKUP(A566,PARAMETROS!A:A,PARAMETROS!C:C)=0,"",_xlfn.XLOOKUP(A566,PARAMETROS!A:A,PARAMETROS!C:C))</f>
        <v>12</v>
      </c>
      <c r="D566">
        <f>IF(_xlfn.XLOOKUP(A566,PARAMETROS!A:A,PARAMETROS!D:D)=0,"",_xlfn.XLOOKUP(A566,PARAMETROS!A:A,PARAMETROS!D:D))</f>
        <v>9</v>
      </c>
      <c r="E566" t="str">
        <f>IF(_xlfn.XLOOKUP('PREENCHIMENTO|LETIVAS'!A566,PARAMETROS!A:A,PARAMETROS!I:I)=0,"",_xlfn.XLOOKUP('PREENCHIMENTO|LETIVAS'!A566,PARAMETROS!A:A,PARAMETROS!I:I))</f>
        <v>PROFESSOR REGENTE</v>
      </c>
      <c r="F566" s="3" t="s">
        <v>38</v>
      </c>
      <c r="G566" s="3" t="s">
        <v>54</v>
      </c>
      <c r="H566" s="3" t="s">
        <v>63</v>
      </c>
      <c r="I566" s="3" t="s">
        <v>33</v>
      </c>
      <c r="J566" s="3" t="s">
        <v>1382</v>
      </c>
      <c r="K566" s="3"/>
      <c r="L566" s="19"/>
    </row>
    <row r="567" spans="1:12">
      <c r="A567" s="3" t="s">
        <v>727</v>
      </c>
      <c r="B567" t="str">
        <f>IF(_xlfn.XLOOKUP(A567,PARAMETROS!A:A,PARAMETROS!B:B)=0,"",_xlfn.XLOOKUP(A567,PARAMETROS!A:A,PARAMETROS!B:B))</f>
        <v>012009006370</v>
      </c>
      <c r="C567">
        <f>IF(_xlfn.XLOOKUP(A567,PARAMETROS!A:A,PARAMETROS!C:C)=0,"",_xlfn.XLOOKUP(A567,PARAMETROS!A:A,PARAMETROS!C:C))</f>
        <v>12</v>
      </c>
      <c r="D567">
        <f>IF(_xlfn.XLOOKUP(A567,PARAMETROS!A:A,PARAMETROS!D:D)=0,"",_xlfn.XLOOKUP(A567,PARAMETROS!A:A,PARAMETROS!D:D))</f>
        <v>9</v>
      </c>
      <c r="E567" t="str">
        <f>IF(_xlfn.XLOOKUP('PREENCHIMENTO|LETIVAS'!A567,PARAMETROS!A:A,PARAMETROS!I:I)=0,"",_xlfn.XLOOKUP('PREENCHIMENTO|LETIVAS'!A567,PARAMETROS!A:A,PARAMETROS!I:I))</f>
        <v>PROFESSOR REGENTE</v>
      </c>
      <c r="F567" s="3" t="s">
        <v>38</v>
      </c>
      <c r="G567" s="3">
        <v>1</v>
      </c>
      <c r="H567" s="3" t="s">
        <v>63</v>
      </c>
      <c r="I567" s="3" t="s">
        <v>40</v>
      </c>
      <c r="J567" s="3" t="s">
        <v>1383</v>
      </c>
      <c r="K567" s="3"/>
      <c r="L567" s="19"/>
    </row>
    <row r="568" spans="1:12">
      <c r="A568" s="3" t="s">
        <v>727</v>
      </c>
      <c r="B568" t="str">
        <f>IF(_xlfn.XLOOKUP(A568,PARAMETROS!A:A,PARAMETROS!B:B)=0,"",_xlfn.XLOOKUP(A568,PARAMETROS!A:A,PARAMETROS!B:B))</f>
        <v>012009006370</v>
      </c>
      <c r="C568">
        <f>IF(_xlfn.XLOOKUP(A568,PARAMETROS!A:A,PARAMETROS!C:C)=0,"",_xlfn.XLOOKUP(A568,PARAMETROS!A:A,PARAMETROS!C:C))</f>
        <v>12</v>
      </c>
      <c r="D568">
        <f>IF(_xlfn.XLOOKUP(A568,PARAMETROS!A:A,PARAMETROS!D:D)=0,"",_xlfn.XLOOKUP(A568,PARAMETROS!A:A,PARAMETROS!D:D))</f>
        <v>9</v>
      </c>
      <c r="E568" t="str">
        <f>IF(_xlfn.XLOOKUP('PREENCHIMENTO|LETIVAS'!A568,PARAMETROS!A:A,PARAMETROS!I:I)=0,"",_xlfn.XLOOKUP('PREENCHIMENTO|LETIVAS'!A568,PARAMETROS!A:A,PARAMETROS!I:I))</f>
        <v>PROFESSOR REGENTE</v>
      </c>
      <c r="F568" s="3" t="s">
        <v>38</v>
      </c>
      <c r="G568" s="3">
        <v>2</v>
      </c>
      <c r="H568" s="3" t="s">
        <v>39</v>
      </c>
      <c r="I568" s="3" t="s">
        <v>33</v>
      </c>
      <c r="J568" s="3" t="s">
        <v>1384</v>
      </c>
      <c r="K568" s="3"/>
      <c r="L568" s="19"/>
    </row>
    <row r="569" spans="1:12">
      <c r="A569" s="3" t="s">
        <v>718</v>
      </c>
      <c r="B569" t="str">
        <f>IF(_xlfn.XLOOKUP(A569,PARAMETROS!A:A,PARAMETROS!B:B)=0,"",_xlfn.XLOOKUP(A569,PARAMETROS!A:A,PARAMETROS!B:B))</f>
        <v>012009006375</v>
      </c>
      <c r="C569">
        <f>IF(_xlfn.XLOOKUP(A569,PARAMETROS!A:A,PARAMETROS!C:C)=0,"",_xlfn.XLOOKUP(A569,PARAMETROS!A:A,PARAMETROS!C:C))</f>
        <v>12</v>
      </c>
      <c r="D569">
        <f>IF(_xlfn.XLOOKUP(A569,PARAMETROS!A:A,PARAMETROS!D:D)=0,"",_xlfn.XLOOKUP(A569,PARAMETROS!A:A,PARAMETROS!D:D))</f>
        <v>9</v>
      </c>
      <c r="E569" t="str">
        <f>IF(_xlfn.XLOOKUP('PREENCHIMENTO|LETIVAS'!A569,PARAMETROS!A:A,PARAMETROS!I:I)=0,"",_xlfn.XLOOKUP('PREENCHIMENTO|LETIVAS'!A569,PARAMETROS!A:A,PARAMETROS!I:I))</f>
        <v>PROFESSOR REGENTE</v>
      </c>
      <c r="F569" s="3" t="s">
        <v>38</v>
      </c>
      <c r="G569" s="3" t="s">
        <v>54</v>
      </c>
      <c r="H569" s="3" t="s">
        <v>32</v>
      </c>
      <c r="I569" s="3" t="s">
        <v>33</v>
      </c>
      <c r="J569" s="3" t="s">
        <v>1385</v>
      </c>
      <c r="K569" s="3"/>
      <c r="L569" s="19"/>
    </row>
    <row r="570" spans="1:12">
      <c r="A570" s="3" t="s">
        <v>718</v>
      </c>
      <c r="B570" t="str">
        <f>IF(_xlfn.XLOOKUP(A570,PARAMETROS!A:A,PARAMETROS!B:B)=0,"",_xlfn.XLOOKUP(A570,PARAMETROS!A:A,PARAMETROS!B:B))</f>
        <v>012009006375</v>
      </c>
      <c r="C570">
        <f>IF(_xlfn.XLOOKUP(A570,PARAMETROS!A:A,PARAMETROS!C:C)=0,"",_xlfn.XLOOKUP(A570,PARAMETROS!A:A,PARAMETROS!C:C))</f>
        <v>12</v>
      </c>
      <c r="D570">
        <f>IF(_xlfn.XLOOKUP(A570,PARAMETROS!A:A,PARAMETROS!D:D)=0,"",_xlfn.XLOOKUP(A570,PARAMETROS!A:A,PARAMETROS!D:D))</f>
        <v>9</v>
      </c>
      <c r="E570" t="str">
        <f>IF(_xlfn.XLOOKUP('PREENCHIMENTO|LETIVAS'!A570,PARAMETROS!A:A,PARAMETROS!I:I)=0,"",_xlfn.XLOOKUP('PREENCHIMENTO|LETIVAS'!A570,PARAMETROS!A:A,PARAMETROS!I:I))</f>
        <v>PROFESSOR REGENTE</v>
      </c>
      <c r="F570" s="3" t="s">
        <v>38</v>
      </c>
      <c r="G570" s="3" t="s">
        <v>54</v>
      </c>
      <c r="H570" s="3" t="s">
        <v>32</v>
      </c>
      <c r="I570" s="3" t="s">
        <v>40</v>
      </c>
      <c r="J570" s="3" t="s">
        <v>1386</v>
      </c>
      <c r="K570" s="3"/>
      <c r="L570" s="19"/>
    </row>
    <row r="571" spans="1:12">
      <c r="A571" s="3" t="s">
        <v>141</v>
      </c>
      <c r="B571" t="str">
        <f>IF(_xlfn.XLOOKUP(A571,PARAMETROS!A:A,PARAMETROS!B:B)=0,"",_xlfn.XLOOKUP(A571,PARAMETROS!A:A,PARAMETROS!B:B))</f>
        <v>012009005339</v>
      </c>
      <c r="C571">
        <f>IF(_xlfn.XLOOKUP(A571,PARAMETROS!A:A,PARAMETROS!C:C)=0,"",_xlfn.XLOOKUP(A571,PARAMETROS!A:A,PARAMETROS!C:C))</f>
        <v>40</v>
      </c>
      <c r="D571">
        <f>IF(_xlfn.XLOOKUP(A571,PARAMETROS!A:A,PARAMETROS!D:D)=0,"",_xlfn.XLOOKUP(A571,PARAMETROS!A:A,PARAMETROS!D:D))</f>
        <v>4</v>
      </c>
      <c r="E571" t="str">
        <f>IF(_xlfn.XLOOKUP('PREENCHIMENTO|LETIVAS'!A571,PARAMETROS!A:A,PARAMETROS!I:I)=0,"",_xlfn.XLOOKUP('PREENCHIMENTO|LETIVAS'!A571,PARAMETROS!A:A,PARAMETROS!I:I))</f>
        <v>PROFESSOR DE ENSINO SUPERIOR EAD</v>
      </c>
      <c r="F571" s="3" t="s">
        <v>38</v>
      </c>
      <c r="G571" s="3" t="s">
        <v>54</v>
      </c>
      <c r="H571" s="3" t="s">
        <v>55</v>
      </c>
      <c r="I571" s="3" t="s">
        <v>33</v>
      </c>
      <c r="J571" s="3" t="s">
        <v>973</v>
      </c>
      <c r="K571" s="3"/>
      <c r="L571" s="19"/>
    </row>
    <row r="572" spans="1:12">
      <c r="A572" s="3" t="s">
        <v>605</v>
      </c>
      <c r="B572" t="str">
        <f>IF(_xlfn.XLOOKUP(A572,PARAMETROS!A:A,PARAMETROS!B:B)=0,"",_xlfn.XLOOKUP(A572,PARAMETROS!A:A,PARAMETROS!B:B))</f>
        <v>012009006312</v>
      </c>
      <c r="C572">
        <f>IF(_xlfn.XLOOKUP(A572,PARAMETROS!A:A,PARAMETROS!C:C)=0,"",_xlfn.XLOOKUP(A572,PARAMETROS!A:A,PARAMETROS!C:C))</f>
        <v>12</v>
      </c>
      <c r="D572">
        <f>IF(_xlfn.XLOOKUP(A572,PARAMETROS!A:A,PARAMETROS!D:D)=0,"",_xlfn.XLOOKUP(A572,PARAMETROS!A:A,PARAMETROS!D:D))</f>
        <v>9</v>
      </c>
      <c r="E572" t="str">
        <f>IF(_xlfn.XLOOKUP('PREENCHIMENTO|LETIVAS'!A572,PARAMETROS!A:A,PARAMETROS!I:I)=0,"",_xlfn.XLOOKUP('PREENCHIMENTO|LETIVAS'!A572,PARAMETROS!A:A,PARAMETROS!I:I))</f>
        <v>PROFESSOR REGENTE</v>
      </c>
      <c r="F572" s="3" t="s">
        <v>38</v>
      </c>
      <c r="G572" s="3" t="s">
        <v>54</v>
      </c>
      <c r="H572" s="3" t="s">
        <v>55</v>
      </c>
      <c r="I572" s="3" t="s">
        <v>33</v>
      </c>
      <c r="J572" s="3" t="s">
        <v>1387</v>
      </c>
      <c r="K572" s="3"/>
      <c r="L572" s="19"/>
    </row>
    <row r="573" spans="1:12">
      <c r="A573" s="3" t="s">
        <v>605</v>
      </c>
      <c r="B573" t="str">
        <f>IF(_xlfn.XLOOKUP(A573,PARAMETROS!A:A,PARAMETROS!B:B)=0,"",_xlfn.XLOOKUP(A573,PARAMETROS!A:A,PARAMETROS!B:B))</f>
        <v>012009006312</v>
      </c>
      <c r="C573">
        <f>IF(_xlfn.XLOOKUP(A573,PARAMETROS!A:A,PARAMETROS!C:C)=0,"",_xlfn.XLOOKUP(A573,PARAMETROS!A:A,PARAMETROS!C:C))</f>
        <v>12</v>
      </c>
      <c r="D573">
        <f>IF(_xlfn.XLOOKUP(A573,PARAMETROS!A:A,PARAMETROS!D:D)=0,"",_xlfn.XLOOKUP(A573,PARAMETROS!A:A,PARAMETROS!D:D))</f>
        <v>9</v>
      </c>
      <c r="E573" t="str">
        <f>IF(_xlfn.XLOOKUP('PREENCHIMENTO|LETIVAS'!A573,PARAMETROS!A:A,PARAMETROS!I:I)=0,"",_xlfn.XLOOKUP('PREENCHIMENTO|LETIVAS'!A573,PARAMETROS!A:A,PARAMETROS!I:I))</f>
        <v>PROFESSOR REGENTE</v>
      </c>
      <c r="F573" s="3" t="s">
        <v>38</v>
      </c>
      <c r="G573" s="3">
        <v>2</v>
      </c>
      <c r="H573" s="3" t="s">
        <v>39</v>
      </c>
      <c r="I573" s="3" t="s">
        <v>40</v>
      </c>
      <c r="J573" s="3" t="s">
        <v>1388</v>
      </c>
      <c r="K573" s="3"/>
      <c r="L573" s="19"/>
    </row>
    <row r="574" spans="1:12">
      <c r="A574" s="3" t="s">
        <v>656</v>
      </c>
      <c r="B574" t="str">
        <f>IF(_xlfn.XLOOKUP(A574,PARAMETROS!A:A,PARAMETROS!B:B)=0,"",_xlfn.XLOOKUP(A574,PARAMETROS!A:A,PARAMETROS!B:B))</f>
        <v>012009005387</v>
      </c>
      <c r="C574">
        <f>IF(_xlfn.XLOOKUP(A574,PARAMETROS!A:A,PARAMETROS!C:C)=0,"",_xlfn.XLOOKUP(A574,PARAMETROS!A:A,PARAMETROS!C:C))</f>
        <v>40</v>
      </c>
      <c r="D574">
        <f>IF(_xlfn.XLOOKUP(A574,PARAMETROS!A:A,PARAMETROS!D:D)=0,"",_xlfn.XLOOKUP(A574,PARAMETROS!A:A,PARAMETROS!D:D))</f>
        <v>20</v>
      </c>
      <c r="E574" t="str">
        <f>IF(_xlfn.XLOOKUP('PREENCHIMENTO|LETIVAS'!A574,PARAMETROS!A:A,PARAMETROS!I:I)=0,"",_xlfn.XLOOKUP('PREENCHIMENTO|LETIVAS'!A574,PARAMETROS!A:A,PARAMETROS!I:I))</f>
        <v>PROFESSOR REGENTE</v>
      </c>
      <c r="F574" s="3" t="s">
        <v>38</v>
      </c>
      <c r="G574" s="3" t="s">
        <v>54</v>
      </c>
      <c r="H574" s="3" t="s">
        <v>55</v>
      </c>
      <c r="I574" s="3" t="s">
        <v>33</v>
      </c>
      <c r="J574" s="3" t="s">
        <v>1389</v>
      </c>
      <c r="K574" s="3"/>
      <c r="L574" s="19"/>
    </row>
    <row r="575" spans="1:12">
      <c r="A575" s="3" t="s">
        <v>656</v>
      </c>
      <c r="B575" t="str">
        <f>IF(_xlfn.XLOOKUP(A575,PARAMETROS!A:A,PARAMETROS!B:B)=0,"",_xlfn.XLOOKUP(A575,PARAMETROS!A:A,PARAMETROS!B:B))</f>
        <v>012009005387</v>
      </c>
      <c r="C575">
        <f>IF(_xlfn.XLOOKUP(A575,PARAMETROS!A:A,PARAMETROS!C:C)=0,"",_xlfn.XLOOKUP(A575,PARAMETROS!A:A,PARAMETROS!C:C))</f>
        <v>40</v>
      </c>
      <c r="D575">
        <f>IF(_xlfn.XLOOKUP(A575,PARAMETROS!A:A,PARAMETROS!D:D)=0,"",_xlfn.XLOOKUP(A575,PARAMETROS!A:A,PARAMETROS!D:D))</f>
        <v>20</v>
      </c>
      <c r="E575" t="str">
        <f>IF(_xlfn.XLOOKUP('PREENCHIMENTO|LETIVAS'!A575,PARAMETROS!A:A,PARAMETROS!I:I)=0,"",_xlfn.XLOOKUP('PREENCHIMENTO|LETIVAS'!A575,PARAMETROS!A:A,PARAMETROS!I:I))</f>
        <v>PROFESSOR REGENTE</v>
      </c>
      <c r="F575" s="3" t="s">
        <v>38</v>
      </c>
      <c r="G575" s="3">
        <v>2</v>
      </c>
      <c r="H575" s="3" t="s">
        <v>39</v>
      </c>
      <c r="I575" s="3" t="s">
        <v>33</v>
      </c>
      <c r="J575" s="3" t="s">
        <v>1390</v>
      </c>
      <c r="K575" s="3"/>
      <c r="L575" s="19"/>
    </row>
    <row r="576" spans="1:12">
      <c r="A576" s="3" t="s">
        <v>656</v>
      </c>
      <c r="B576" t="str">
        <f>IF(_xlfn.XLOOKUP(A576,PARAMETROS!A:A,PARAMETROS!B:B)=0,"",_xlfn.XLOOKUP(A576,PARAMETROS!A:A,PARAMETROS!B:B))</f>
        <v>012009005387</v>
      </c>
      <c r="C576">
        <f>IF(_xlfn.XLOOKUP(A576,PARAMETROS!A:A,PARAMETROS!C:C)=0,"",_xlfn.XLOOKUP(A576,PARAMETROS!A:A,PARAMETROS!C:C))</f>
        <v>40</v>
      </c>
      <c r="D576">
        <f>IF(_xlfn.XLOOKUP(A576,PARAMETROS!A:A,PARAMETROS!D:D)=0,"",_xlfn.XLOOKUP(A576,PARAMETROS!A:A,PARAMETROS!D:D))</f>
        <v>20</v>
      </c>
      <c r="E576" t="str">
        <f>IF(_xlfn.XLOOKUP('PREENCHIMENTO|LETIVAS'!A576,PARAMETROS!A:A,PARAMETROS!I:I)=0,"",_xlfn.XLOOKUP('PREENCHIMENTO|LETIVAS'!A576,PARAMETROS!A:A,PARAMETROS!I:I))</f>
        <v>PROFESSOR REGENTE</v>
      </c>
      <c r="F576" s="3" t="s">
        <v>38</v>
      </c>
      <c r="G576" s="3">
        <v>2</v>
      </c>
      <c r="H576" s="3" t="s">
        <v>55</v>
      </c>
      <c r="I576" s="3" t="s">
        <v>33</v>
      </c>
      <c r="J576" s="3" t="s">
        <v>1323</v>
      </c>
      <c r="K576" s="3"/>
      <c r="L576" s="19"/>
    </row>
    <row r="577" spans="1:12">
      <c r="A577" s="3" t="s">
        <v>656</v>
      </c>
      <c r="B577" t="str">
        <f>IF(_xlfn.XLOOKUP(A577,PARAMETROS!A:A,PARAMETROS!B:B)=0,"",_xlfn.XLOOKUP(A577,PARAMETROS!A:A,PARAMETROS!B:B))</f>
        <v>012009005387</v>
      </c>
      <c r="C577">
        <f>IF(_xlfn.XLOOKUP(A577,PARAMETROS!A:A,PARAMETROS!C:C)=0,"",_xlfn.XLOOKUP(A577,PARAMETROS!A:A,PARAMETROS!C:C))</f>
        <v>40</v>
      </c>
      <c r="D577">
        <f>IF(_xlfn.XLOOKUP(A577,PARAMETROS!A:A,PARAMETROS!D:D)=0,"",_xlfn.XLOOKUP(A577,PARAMETROS!A:A,PARAMETROS!D:D))</f>
        <v>20</v>
      </c>
      <c r="E577" t="str">
        <f>IF(_xlfn.XLOOKUP('PREENCHIMENTO|LETIVAS'!A577,PARAMETROS!A:A,PARAMETROS!I:I)=0,"",_xlfn.XLOOKUP('PREENCHIMENTO|LETIVAS'!A577,PARAMETROS!A:A,PARAMETROS!I:I))</f>
        <v>PROFESSOR REGENTE</v>
      </c>
      <c r="F577" s="3" t="s">
        <v>38</v>
      </c>
      <c r="G577" s="3">
        <v>2</v>
      </c>
      <c r="H577" s="3" t="s">
        <v>63</v>
      </c>
      <c r="I577" s="3" t="s">
        <v>40</v>
      </c>
      <c r="J577" s="3" t="s">
        <v>1391</v>
      </c>
      <c r="K577" s="3"/>
      <c r="L577" s="19"/>
    </row>
    <row r="578" spans="1:12">
      <c r="A578" s="3" t="s">
        <v>380</v>
      </c>
      <c r="B578" t="str">
        <f>IF(_xlfn.XLOOKUP(A578,PARAMETROS!A:A,PARAMETROS!B:B)=0,"",_xlfn.XLOOKUP(A578,PARAMETROS!A:A,PARAMETROS!B:B))</f>
        <v>012009005324</v>
      </c>
      <c r="C578">
        <f>IF(_xlfn.XLOOKUP(A578,PARAMETROS!A:A,PARAMETROS!C:C)=0,"",_xlfn.XLOOKUP(A578,PARAMETROS!A:A,PARAMETROS!C:C))</f>
        <v>20</v>
      </c>
      <c r="D578">
        <f>IF(_xlfn.XLOOKUP(A578,PARAMETROS!A:A,PARAMETROS!D:D)=0,"",_xlfn.XLOOKUP(A578,PARAMETROS!A:A,PARAMETROS!D:D))</f>
        <v>2</v>
      </c>
      <c r="E578" t="str">
        <f>IF(_xlfn.XLOOKUP('PREENCHIMENTO|LETIVAS'!A578,PARAMETROS!A:A,PARAMETROS!I:I)=0,"",_xlfn.XLOOKUP('PREENCHIMENTO|LETIVAS'!A578,PARAMETROS!A:A,PARAMETROS!I:I))</f>
        <v>PROFESSOR DE ENSINO SUPERIOR EAD</v>
      </c>
      <c r="F578" s="3" t="s">
        <v>38</v>
      </c>
      <c r="G578" s="3" t="s">
        <v>54</v>
      </c>
      <c r="H578" s="3" t="s">
        <v>55</v>
      </c>
      <c r="I578" s="3" t="s">
        <v>40</v>
      </c>
      <c r="J578" s="3" t="s">
        <v>1392</v>
      </c>
      <c r="K578" s="3"/>
      <c r="L578" s="19"/>
    </row>
    <row r="579" spans="1:12">
      <c r="A579" s="3" t="s">
        <v>156</v>
      </c>
      <c r="B579" t="str">
        <f>IF(_xlfn.XLOOKUP(A579,PARAMETROS!A:A,PARAMETROS!B:B)=0,"",_xlfn.XLOOKUP(A579,PARAMETROS!A:A,PARAMETROS!B:B))</f>
        <v>012009006181</v>
      </c>
      <c r="C579">
        <f>IF(_xlfn.XLOOKUP(A579,PARAMETROS!A:A,PARAMETROS!C:C)=0,"",_xlfn.XLOOKUP(A579,PARAMETROS!A:A,PARAMETROS!C:C))</f>
        <v>12</v>
      </c>
      <c r="D579">
        <f>IF(_xlfn.XLOOKUP(A579,PARAMETROS!A:A,PARAMETROS!D:D)=0,"",_xlfn.XLOOKUP(A579,PARAMETROS!A:A,PARAMETROS!D:D))</f>
        <v>9</v>
      </c>
      <c r="E579" t="str">
        <f>IF(_xlfn.XLOOKUP('PREENCHIMENTO|LETIVAS'!A579,PARAMETROS!A:A,PARAMETROS!I:I)=0,"",_xlfn.XLOOKUP('PREENCHIMENTO|LETIVAS'!A579,PARAMETROS!A:A,PARAMETROS!I:I))</f>
        <v>PROFESSOR REGENTE</v>
      </c>
      <c r="F579" s="3" t="s">
        <v>38</v>
      </c>
      <c r="G579" s="3">
        <v>1</v>
      </c>
      <c r="H579" s="3" t="s">
        <v>63</v>
      </c>
      <c r="I579" s="3" t="s">
        <v>33</v>
      </c>
      <c r="J579" s="3" t="s">
        <v>1393</v>
      </c>
      <c r="K579" s="3"/>
      <c r="L579" s="19"/>
    </row>
    <row r="580" spans="1:12">
      <c r="A580" s="3" t="s">
        <v>156</v>
      </c>
      <c r="B580" t="str">
        <f>IF(_xlfn.XLOOKUP(A580,PARAMETROS!A:A,PARAMETROS!B:B)=0,"",_xlfn.XLOOKUP(A580,PARAMETROS!A:A,PARAMETROS!B:B))</f>
        <v>012009006181</v>
      </c>
      <c r="C580">
        <f>IF(_xlfn.XLOOKUP(A580,PARAMETROS!A:A,PARAMETROS!C:C)=0,"",_xlfn.XLOOKUP(A580,PARAMETROS!A:A,PARAMETROS!C:C))</f>
        <v>12</v>
      </c>
      <c r="D580">
        <f>IF(_xlfn.XLOOKUP(A580,PARAMETROS!A:A,PARAMETROS!D:D)=0,"",_xlfn.XLOOKUP(A580,PARAMETROS!A:A,PARAMETROS!D:D))</f>
        <v>9</v>
      </c>
      <c r="E580" t="str">
        <f>IF(_xlfn.XLOOKUP('PREENCHIMENTO|LETIVAS'!A580,PARAMETROS!A:A,PARAMETROS!I:I)=0,"",_xlfn.XLOOKUP('PREENCHIMENTO|LETIVAS'!A580,PARAMETROS!A:A,PARAMETROS!I:I))</f>
        <v>PROFESSOR REGENTE</v>
      </c>
      <c r="F580" s="3" t="s">
        <v>38</v>
      </c>
      <c r="G580" s="3">
        <v>2</v>
      </c>
      <c r="H580" s="3" t="s">
        <v>63</v>
      </c>
      <c r="I580" s="3" t="s">
        <v>40</v>
      </c>
      <c r="J580" s="3" t="s">
        <v>1394</v>
      </c>
      <c r="K580" s="3"/>
      <c r="L580" s="19"/>
    </row>
    <row r="581" spans="1:12">
      <c r="A581" s="3" t="s">
        <v>559</v>
      </c>
      <c r="B581" t="str">
        <f>IF(_xlfn.XLOOKUP(A581,PARAMETROS!A:A,PARAMETROS!B:B)=0,"",_xlfn.XLOOKUP(A581,PARAMETROS!A:A,PARAMETROS!B:B))</f>
        <v>012009006260</v>
      </c>
      <c r="C581">
        <f>IF(_xlfn.XLOOKUP(A581,PARAMETROS!A:A,PARAMETROS!C:C)=0,"",_xlfn.XLOOKUP(A581,PARAMETROS!A:A,PARAMETROS!C:C))</f>
        <v>12</v>
      </c>
      <c r="D581">
        <f>IF(_xlfn.XLOOKUP(A581,PARAMETROS!A:A,PARAMETROS!D:D)=0,"",_xlfn.XLOOKUP(A581,PARAMETROS!A:A,PARAMETROS!D:D))</f>
        <v>9</v>
      </c>
      <c r="E581" t="str">
        <f>IF(_xlfn.XLOOKUP('PREENCHIMENTO|LETIVAS'!A581,PARAMETROS!A:A,PARAMETROS!I:I)=0,"",_xlfn.XLOOKUP('PREENCHIMENTO|LETIVAS'!A581,PARAMETROS!A:A,PARAMETROS!I:I))</f>
        <v>PROFESSOR REGENTE</v>
      </c>
      <c r="F581" s="3" t="s">
        <v>38</v>
      </c>
      <c r="G581" s="3">
        <v>1</v>
      </c>
      <c r="H581" s="3" t="s">
        <v>63</v>
      </c>
      <c r="I581" s="3" t="s">
        <v>40</v>
      </c>
      <c r="J581" s="3" t="s">
        <v>1395</v>
      </c>
      <c r="K581" s="3"/>
      <c r="L581" s="19"/>
    </row>
    <row r="582" spans="1:12">
      <c r="A582" s="3" t="s">
        <v>559</v>
      </c>
      <c r="B582" t="str">
        <f>IF(_xlfn.XLOOKUP(A582,PARAMETROS!A:A,PARAMETROS!B:B)=0,"",_xlfn.XLOOKUP(A582,PARAMETROS!A:A,PARAMETROS!B:B))</f>
        <v>012009006260</v>
      </c>
      <c r="C582">
        <f>IF(_xlfn.XLOOKUP(A582,PARAMETROS!A:A,PARAMETROS!C:C)=0,"",_xlfn.XLOOKUP(A582,PARAMETROS!A:A,PARAMETROS!C:C))</f>
        <v>12</v>
      </c>
      <c r="D582">
        <f>IF(_xlfn.XLOOKUP(A582,PARAMETROS!A:A,PARAMETROS!D:D)=0,"",_xlfn.XLOOKUP(A582,PARAMETROS!A:A,PARAMETROS!D:D))</f>
        <v>9</v>
      </c>
      <c r="E582" t="str">
        <f>IF(_xlfn.XLOOKUP('PREENCHIMENTO|LETIVAS'!A582,PARAMETROS!A:A,PARAMETROS!I:I)=0,"",_xlfn.XLOOKUP('PREENCHIMENTO|LETIVAS'!A582,PARAMETROS!A:A,PARAMETROS!I:I))</f>
        <v>PROFESSOR REGENTE</v>
      </c>
      <c r="F582" s="3" t="s">
        <v>38</v>
      </c>
      <c r="G582" s="3">
        <v>2</v>
      </c>
      <c r="H582" s="3" t="s">
        <v>63</v>
      </c>
      <c r="I582" s="3" t="s">
        <v>40</v>
      </c>
      <c r="J582" s="3" t="s">
        <v>1396</v>
      </c>
      <c r="K582" s="3"/>
      <c r="L582" s="19"/>
    </row>
    <row r="583" spans="1:12">
      <c r="A583" s="3" t="s">
        <v>471</v>
      </c>
      <c r="B583" t="str">
        <f>IF(_xlfn.XLOOKUP(A583,PARAMETROS!A:A,PARAMETROS!B:B)=0,"",_xlfn.XLOOKUP(A583,PARAMETROS!A:A,PARAMETROS!B:B))</f>
        <v>012009002898</v>
      </c>
      <c r="C583">
        <f>IF(_xlfn.XLOOKUP(A583,PARAMETROS!A:A,PARAMETROS!C:C)=0,"",_xlfn.XLOOKUP(A583,PARAMETROS!A:A,PARAMETROS!C:C))</f>
        <v>20</v>
      </c>
      <c r="D583">
        <f>IF(_xlfn.XLOOKUP(A583,PARAMETROS!A:A,PARAMETROS!D:D)=0,"",_xlfn.XLOOKUP(A583,PARAMETROS!A:A,PARAMETROS!D:D))</f>
        <v>2</v>
      </c>
      <c r="E583" t="str">
        <f>IF(_xlfn.XLOOKUP('PREENCHIMENTO|LETIVAS'!A583,PARAMETROS!A:A,PARAMETROS!I:I)=0,"",_xlfn.XLOOKUP('PREENCHIMENTO|LETIVAS'!A583,PARAMETROS!A:A,PARAMETROS!I:I))</f>
        <v>PROFESSOR DE ENSINO SUPERIOR EAD</v>
      </c>
      <c r="F583" s="3" t="s">
        <v>38</v>
      </c>
      <c r="G583" s="3">
        <v>1</v>
      </c>
      <c r="H583" s="3" t="s">
        <v>55</v>
      </c>
      <c r="I583" s="3" t="s">
        <v>40</v>
      </c>
      <c r="J583" s="3" t="s">
        <v>1397</v>
      </c>
      <c r="K583" s="3"/>
      <c r="L583" s="19"/>
    </row>
    <row r="584" spans="1:12">
      <c r="A584" s="3" t="s">
        <v>377</v>
      </c>
      <c r="B584" t="str">
        <f>IF(_xlfn.XLOOKUP(A584,PARAMETROS!A:A,PARAMETROS!B:B)=0,"",_xlfn.XLOOKUP(A584,PARAMETROS!A:A,PARAMETROS!B:B))</f>
        <v>012009003676</v>
      </c>
      <c r="C584">
        <f>IF(_xlfn.XLOOKUP(A584,PARAMETROS!A:A,PARAMETROS!C:C)=0,"",_xlfn.XLOOKUP(A584,PARAMETROS!A:A,PARAMETROS!C:C))</f>
        <v>20</v>
      </c>
      <c r="D584">
        <f>IF(_xlfn.XLOOKUP(A584,PARAMETROS!A:A,PARAMETROS!D:D)=0,"",_xlfn.XLOOKUP(A584,PARAMETROS!A:A,PARAMETROS!D:D))</f>
        <v>2</v>
      </c>
      <c r="E584" t="str">
        <f>IF(_xlfn.XLOOKUP('PREENCHIMENTO|LETIVAS'!A584,PARAMETROS!A:A,PARAMETROS!I:I)=0,"",_xlfn.XLOOKUP('PREENCHIMENTO|LETIVAS'!A584,PARAMETROS!A:A,PARAMETROS!I:I))</f>
        <v>PROFESSOR DE ENSINO SUPERIOR EAD</v>
      </c>
      <c r="F584" s="3" t="s">
        <v>38</v>
      </c>
      <c r="G584" s="3">
        <v>2</v>
      </c>
      <c r="H584" s="3" t="s">
        <v>63</v>
      </c>
      <c r="I584" s="3" t="s">
        <v>40</v>
      </c>
      <c r="J584" s="3" t="s">
        <v>1398</v>
      </c>
      <c r="K584" s="3"/>
      <c r="L584" s="19"/>
    </row>
    <row r="585" spans="1:12">
      <c r="A585" s="3" t="s">
        <v>629</v>
      </c>
      <c r="B585" t="str">
        <f>IF(_xlfn.XLOOKUP(A585,PARAMETROS!A:A,PARAMETROS!B:B)=0,"",_xlfn.XLOOKUP(A585,PARAMETROS!A:A,PARAMETROS!B:B))</f>
        <v>012009006299</v>
      </c>
      <c r="C585">
        <f>IF(_xlfn.XLOOKUP(A585,PARAMETROS!A:A,PARAMETROS!C:C)=0,"",_xlfn.XLOOKUP(A585,PARAMETROS!A:A,PARAMETROS!C:C))</f>
        <v>12</v>
      </c>
      <c r="D585">
        <f>IF(_xlfn.XLOOKUP(A585,PARAMETROS!A:A,PARAMETROS!D:D)=0,"",_xlfn.XLOOKUP(A585,PARAMETROS!A:A,PARAMETROS!D:D))</f>
        <v>9</v>
      </c>
      <c r="E585" t="str">
        <f>IF(_xlfn.XLOOKUP('PREENCHIMENTO|LETIVAS'!A585,PARAMETROS!A:A,PARAMETROS!I:I)=0,"",_xlfn.XLOOKUP('PREENCHIMENTO|LETIVAS'!A585,PARAMETROS!A:A,PARAMETROS!I:I))</f>
        <v>PROFESSOR REGENTE</v>
      </c>
      <c r="F585" s="3" t="s">
        <v>38</v>
      </c>
      <c r="G585" s="3" t="s">
        <v>54</v>
      </c>
      <c r="H585" s="3" t="s">
        <v>55</v>
      </c>
      <c r="I585" s="3" t="s">
        <v>40</v>
      </c>
      <c r="J585" s="3" t="s">
        <v>1399</v>
      </c>
      <c r="K585" s="3"/>
      <c r="L585" s="19"/>
    </row>
    <row r="586" spans="1:12">
      <c r="A586" s="3" t="s">
        <v>629</v>
      </c>
      <c r="B586" t="str">
        <f>IF(_xlfn.XLOOKUP(A586,PARAMETROS!A:A,PARAMETROS!B:B)=0,"",_xlfn.XLOOKUP(A586,PARAMETROS!A:A,PARAMETROS!B:B))</f>
        <v>012009006299</v>
      </c>
      <c r="C586">
        <f>IF(_xlfn.XLOOKUP(A586,PARAMETROS!A:A,PARAMETROS!C:C)=0,"",_xlfn.XLOOKUP(A586,PARAMETROS!A:A,PARAMETROS!C:C))</f>
        <v>12</v>
      </c>
      <c r="D586">
        <f>IF(_xlfn.XLOOKUP(A586,PARAMETROS!A:A,PARAMETROS!D:D)=0,"",_xlfn.XLOOKUP(A586,PARAMETROS!A:A,PARAMETROS!D:D))</f>
        <v>9</v>
      </c>
      <c r="E586" t="str">
        <f>IF(_xlfn.XLOOKUP('PREENCHIMENTO|LETIVAS'!A586,PARAMETROS!A:A,PARAMETROS!I:I)=0,"",_xlfn.XLOOKUP('PREENCHIMENTO|LETIVAS'!A586,PARAMETROS!A:A,PARAMETROS!I:I))</f>
        <v>PROFESSOR REGENTE</v>
      </c>
      <c r="F586" s="3" t="s">
        <v>38</v>
      </c>
      <c r="G586" s="3" t="s">
        <v>54</v>
      </c>
      <c r="H586" s="3" t="s">
        <v>55</v>
      </c>
      <c r="I586" s="3" t="s">
        <v>33</v>
      </c>
      <c r="J586" s="3" t="s">
        <v>1400</v>
      </c>
      <c r="K586" s="3"/>
      <c r="L586" s="19"/>
    </row>
    <row r="587" spans="1:12">
      <c r="A587" s="3" t="s">
        <v>611</v>
      </c>
      <c r="B587" t="str">
        <f>IF(_xlfn.XLOOKUP(A587,PARAMETROS!A:A,PARAMETROS!B:B)=0,"",_xlfn.XLOOKUP(A587,PARAMETROS!A:A,PARAMETROS!B:B))</f>
        <v>012009006314</v>
      </c>
      <c r="C587">
        <f>IF(_xlfn.XLOOKUP(A587,PARAMETROS!A:A,PARAMETROS!C:C)=0,"",_xlfn.XLOOKUP(A587,PARAMETROS!A:A,PARAMETROS!C:C))</f>
        <v>12</v>
      </c>
      <c r="D587">
        <f>IF(_xlfn.XLOOKUP(A587,PARAMETROS!A:A,PARAMETROS!D:D)=0,"",_xlfn.XLOOKUP(A587,PARAMETROS!A:A,PARAMETROS!D:D))</f>
        <v>9</v>
      </c>
      <c r="E587" t="str">
        <f>IF(_xlfn.XLOOKUP('PREENCHIMENTO|LETIVAS'!A587,PARAMETROS!A:A,PARAMETROS!I:I)=0,"",_xlfn.XLOOKUP('PREENCHIMENTO|LETIVAS'!A587,PARAMETROS!A:A,PARAMETROS!I:I))</f>
        <v>PROFESSOR REGENTE</v>
      </c>
      <c r="F587" s="3" t="s">
        <v>38</v>
      </c>
      <c r="G587" s="3">
        <v>2</v>
      </c>
      <c r="H587" s="3" t="s">
        <v>39</v>
      </c>
      <c r="I587" s="3" t="s">
        <v>33</v>
      </c>
      <c r="J587" s="3" t="s">
        <v>1401</v>
      </c>
      <c r="K587" s="3"/>
      <c r="L587" s="19"/>
    </row>
    <row r="588" spans="1:12">
      <c r="A588" s="3" t="s">
        <v>611</v>
      </c>
      <c r="B588" t="str">
        <f>IF(_xlfn.XLOOKUP(A588,PARAMETROS!A:A,PARAMETROS!B:B)=0,"",_xlfn.XLOOKUP(A588,PARAMETROS!A:A,PARAMETROS!B:B))</f>
        <v>012009006314</v>
      </c>
      <c r="C588">
        <f>IF(_xlfn.XLOOKUP(A588,PARAMETROS!A:A,PARAMETROS!C:C)=0,"",_xlfn.XLOOKUP(A588,PARAMETROS!A:A,PARAMETROS!C:C))</f>
        <v>12</v>
      </c>
      <c r="D588">
        <f>IF(_xlfn.XLOOKUP(A588,PARAMETROS!A:A,PARAMETROS!D:D)=0,"",_xlfn.XLOOKUP(A588,PARAMETROS!A:A,PARAMETROS!D:D))</f>
        <v>9</v>
      </c>
      <c r="E588" t="str">
        <f>IF(_xlfn.XLOOKUP('PREENCHIMENTO|LETIVAS'!A588,PARAMETROS!A:A,PARAMETROS!I:I)=0,"",_xlfn.XLOOKUP('PREENCHIMENTO|LETIVAS'!A588,PARAMETROS!A:A,PARAMETROS!I:I))</f>
        <v>PROFESSOR REGENTE</v>
      </c>
      <c r="F588" s="3" t="s">
        <v>38</v>
      </c>
      <c r="G588" s="3">
        <v>2</v>
      </c>
      <c r="H588" s="3" t="s">
        <v>39</v>
      </c>
      <c r="I588" s="3" t="s">
        <v>40</v>
      </c>
      <c r="J588" s="3" t="s">
        <v>1402</v>
      </c>
      <c r="K588" s="3"/>
      <c r="L588" s="19"/>
    </row>
    <row r="589" spans="1:12">
      <c r="A589" s="3" t="s">
        <v>371</v>
      </c>
      <c r="B589" t="str">
        <f>IF(_xlfn.XLOOKUP(A589,PARAMETROS!A:A,PARAMETROS!B:B)=0,"",_xlfn.XLOOKUP(A589,PARAMETROS!A:A,PARAMETROS!B:B))</f>
        <v>012009003875</v>
      </c>
      <c r="C589">
        <f>IF(_xlfn.XLOOKUP(A589,PARAMETROS!A:A,PARAMETROS!C:C)=0,"",_xlfn.XLOOKUP(A589,PARAMETROS!A:A,PARAMETROS!C:C))</f>
        <v>20</v>
      </c>
      <c r="D589">
        <f>IF(_xlfn.XLOOKUP(A589,PARAMETROS!A:A,PARAMETROS!D:D)=0,"",_xlfn.XLOOKUP(A589,PARAMETROS!A:A,PARAMETROS!D:D))</f>
        <v>2</v>
      </c>
      <c r="E589" t="str">
        <f>IF(_xlfn.XLOOKUP('PREENCHIMENTO|LETIVAS'!A589,PARAMETROS!A:A,PARAMETROS!I:I)=0,"",_xlfn.XLOOKUP('PREENCHIMENTO|LETIVAS'!A589,PARAMETROS!A:A,PARAMETROS!I:I))</f>
        <v>PROFESSOR DE ENSINO SUPERIOR EAD</v>
      </c>
      <c r="F589" s="3" t="s">
        <v>38</v>
      </c>
      <c r="G589" s="3">
        <v>1</v>
      </c>
      <c r="H589" s="3" t="s">
        <v>63</v>
      </c>
      <c r="I589" s="3" t="s">
        <v>40</v>
      </c>
      <c r="J589" s="3" t="s">
        <v>1403</v>
      </c>
      <c r="K589" s="3"/>
      <c r="L589" s="19"/>
    </row>
    <row r="590" spans="1:12">
      <c r="A590" s="3" t="s">
        <v>410</v>
      </c>
      <c r="B590" t="str">
        <f>IF(_xlfn.XLOOKUP(A590,PARAMETROS!A:A,PARAMETROS!B:B)=0,"",_xlfn.XLOOKUP(A590,PARAMETROS!A:A,PARAMETROS!B:B))</f>
        <v>012009003848</v>
      </c>
      <c r="C590">
        <f>IF(_xlfn.XLOOKUP(A590,PARAMETROS!A:A,PARAMETROS!C:C)=0,"",_xlfn.XLOOKUP(A590,PARAMETROS!A:A,PARAMETROS!C:C))</f>
        <v>40</v>
      </c>
      <c r="D590">
        <f>IF(_xlfn.XLOOKUP(A590,PARAMETROS!A:A,PARAMETROS!D:D)=0,"",_xlfn.XLOOKUP(A590,PARAMETROS!A:A,PARAMETROS!D:D))</f>
        <v>4</v>
      </c>
      <c r="E590" t="str">
        <f>IF(_xlfn.XLOOKUP('PREENCHIMENTO|LETIVAS'!A590,PARAMETROS!A:A,PARAMETROS!I:I)=0,"",_xlfn.XLOOKUP('PREENCHIMENTO|LETIVAS'!A590,PARAMETROS!A:A,PARAMETROS!I:I))</f>
        <v>PROFESSOR DE ENSINO SUPERIOR EAD</v>
      </c>
      <c r="F590" s="3" t="s">
        <v>38</v>
      </c>
      <c r="G590" s="3">
        <v>2</v>
      </c>
      <c r="H590" s="3" t="s">
        <v>63</v>
      </c>
      <c r="I590" s="3" t="s">
        <v>40</v>
      </c>
      <c r="J590" s="3" t="s">
        <v>1404</v>
      </c>
      <c r="K590" s="3"/>
      <c r="L590" s="19"/>
    </row>
    <row r="591" spans="1:12">
      <c r="A591" s="3" t="s">
        <v>410</v>
      </c>
      <c r="B591" t="str">
        <f>IF(_xlfn.XLOOKUP(A591,PARAMETROS!A:A,PARAMETROS!B:B)=0,"",_xlfn.XLOOKUP(A591,PARAMETROS!A:A,PARAMETROS!B:B))</f>
        <v>012009003848</v>
      </c>
      <c r="C591">
        <f>IF(_xlfn.XLOOKUP(A591,PARAMETROS!A:A,PARAMETROS!C:C)=0,"",_xlfn.XLOOKUP(A591,PARAMETROS!A:A,PARAMETROS!C:C))</f>
        <v>40</v>
      </c>
      <c r="D591">
        <f>IF(_xlfn.XLOOKUP(A591,PARAMETROS!A:A,PARAMETROS!D:D)=0,"",_xlfn.XLOOKUP(A591,PARAMETROS!A:A,PARAMETROS!D:D))</f>
        <v>4</v>
      </c>
      <c r="E591" t="str">
        <f>IF(_xlfn.XLOOKUP('PREENCHIMENTO|LETIVAS'!A591,PARAMETROS!A:A,PARAMETROS!I:I)=0,"",_xlfn.XLOOKUP('PREENCHIMENTO|LETIVAS'!A591,PARAMETROS!A:A,PARAMETROS!I:I))</f>
        <v>PROFESSOR DE ENSINO SUPERIOR EAD</v>
      </c>
      <c r="F591" s="3" t="s">
        <v>38</v>
      </c>
      <c r="G591" s="3">
        <v>1</v>
      </c>
      <c r="H591" s="3" t="s">
        <v>32</v>
      </c>
      <c r="I591" s="3" t="s">
        <v>40</v>
      </c>
      <c r="J591" s="3" t="s">
        <v>1405</v>
      </c>
      <c r="K591" s="3"/>
      <c r="L591" s="19"/>
    </row>
    <row r="592" spans="1:12">
      <c r="A592" s="3" t="s">
        <v>410</v>
      </c>
      <c r="B592" t="str">
        <f>IF(_xlfn.XLOOKUP(A592,PARAMETROS!A:A,PARAMETROS!B:B)=0,"",_xlfn.XLOOKUP(A592,PARAMETROS!A:A,PARAMETROS!B:B))</f>
        <v>012009003848</v>
      </c>
      <c r="C592">
        <f>IF(_xlfn.XLOOKUP(A592,PARAMETROS!A:A,PARAMETROS!C:C)=0,"",_xlfn.XLOOKUP(A592,PARAMETROS!A:A,PARAMETROS!C:C))</f>
        <v>40</v>
      </c>
      <c r="D592">
        <f>IF(_xlfn.XLOOKUP(A592,PARAMETROS!A:A,PARAMETROS!D:D)=0,"",_xlfn.XLOOKUP(A592,PARAMETROS!A:A,PARAMETROS!D:D))</f>
        <v>4</v>
      </c>
      <c r="E592" t="str">
        <f>IF(_xlfn.XLOOKUP('PREENCHIMENTO|LETIVAS'!A592,PARAMETROS!A:A,PARAMETROS!I:I)=0,"",_xlfn.XLOOKUP('PREENCHIMENTO|LETIVAS'!A592,PARAMETROS!A:A,PARAMETROS!I:I))</f>
        <v>PROFESSOR DE ENSINO SUPERIOR EAD</v>
      </c>
      <c r="F592" s="3" t="s">
        <v>38</v>
      </c>
      <c r="G592" s="3">
        <v>2</v>
      </c>
      <c r="H592" s="3" t="s">
        <v>32</v>
      </c>
      <c r="I592" s="3" t="s">
        <v>40</v>
      </c>
      <c r="J592" s="3" t="s">
        <v>1406</v>
      </c>
      <c r="K592" s="3"/>
      <c r="L592" s="19"/>
    </row>
    <row r="593" spans="1:12">
      <c r="A593" s="3" t="s">
        <v>285</v>
      </c>
      <c r="B593" t="str">
        <f>IF(_xlfn.XLOOKUP(A593,PARAMETROS!A:A,PARAMETROS!B:B)=0,"",_xlfn.XLOOKUP(A593,PARAMETROS!A:A,PARAMETROS!B:B))</f>
        <v>012009003534</v>
      </c>
      <c r="C593">
        <f>IF(_xlfn.XLOOKUP(A593,PARAMETROS!A:A,PARAMETROS!C:C)=0,"",_xlfn.XLOOKUP(A593,PARAMETROS!A:A,PARAMETROS!C:C))</f>
        <v>40</v>
      </c>
      <c r="D593">
        <f>IF(_xlfn.XLOOKUP(A593,PARAMETROS!A:A,PARAMETROS!D:D)=0,"",_xlfn.XLOOKUP(A593,PARAMETROS!A:A,PARAMETROS!D:D))</f>
        <v>4</v>
      </c>
      <c r="E593" t="str">
        <f>IF(_xlfn.XLOOKUP('PREENCHIMENTO|LETIVAS'!A593,PARAMETROS!A:A,PARAMETROS!I:I)=0,"",_xlfn.XLOOKUP('PREENCHIMENTO|LETIVAS'!A593,PARAMETROS!A:A,PARAMETROS!I:I))</f>
        <v>PROFESSOR DE ENSINO SUPERIOR EAD</v>
      </c>
      <c r="F593" s="3" t="s">
        <v>38</v>
      </c>
      <c r="G593" s="3">
        <v>2</v>
      </c>
      <c r="H593" s="3" t="s">
        <v>63</v>
      </c>
      <c r="I593" s="3" t="s">
        <v>33</v>
      </c>
      <c r="J593" s="3" t="s">
        <v>1407</v>
      </c>
      <c r="K593" s="3"/>
      <c r="L593" s="19"/>
    </row>
    <row r="594" spans="1:12">
      <c r="A594" s="3" t="s">
        <v>309</v>
      </c>
      <c r="B594" t="str">
        <f>IF(_xlfn.XLOOKUP(A594,PARAMETROS!A:A,PARAMETROS!B:B)=0,"",_xlfn.XLOOKUP(A594,PARAMETROS!A:A,PARAMETROS!B:B))</f>
        <v>012009003528</v>
      </c>
      <c r="C594">
        <f>IF(_xlfn.XLOOKUP(A594,PARAMETROS!A:A,PARAMETROS!C:C)=0,"",_xlfn.XLOOKUP(A594,PARAMETROS!A:A,PARAMETROS!C:C))</f>
        <v>20</v>
      </c>
      <c r="D594">
        <f>IF(_xlfn.XLOOKUP(A594,PARAMETROS!A:A,PARAMETROS!D:D)=0,"",_xlfn.XLOOKUP(A594,PARAMETROS!A:A,PARAMETROS!D:D))</f>
        <v>2</v>
      </c>
      <c r="E594" t="str">
        <f>IF(_xlfn.XLOOKUP('PREENCHIMENTO|LETIVAS'!A594,PARAMETROS!A:A,PARAMETROS!I:I)=0,"",_xlfn.XLOOKUP('PREENCHIMENTO|LETIVAS'!A594,PARAMETROS!A:A,PARAMETROS!I:I))</f>
        <v>PROFESSOR DE ENSINO SUPERIOR EAD</v>
      </c>
      <c r="F594" s="3" t="s">
        <v>38</v>
      </c>
      <c r="G594" s="3">
        <v>2</v>
      </c>
      <c r="H594" s="3" t="s">
        <v>63</v>
      </c>
      <c r="I594" s="3" t="s">
        <v>40</v>
      </c>
      <c r="J594" s="3" t="s">
        <v>1408</v>
      </c>
      <c r="K594" s="3"/>
      <c r="L594" s="19"/>
    </row>
    <row r="595" spans="1:12">
      <c r="A595" s="3" t="s">
        <v>523</v>
      </c>
      <c r="B595" t="str">
        <f>IF(_xlfn.XLOOKUP(A595,PARAMETROS!A:A,PARAMETROS!B:B)=0,"",_xlfn.XLOOKUP(A595,PARAMETROS!A:A,PARAMETROS!B:B))</f>
        <v>012009005681</v>
      </c>
      <c r="C595">
        <f>IF(_xlfn.XLOOKUP(A595,PARAMETROS!A:A,PARAMETROS!C:C)=0,"",_xlfn.XLOOKUP(A595,PARAMETROS!A:A,PARAMETROS!C:C))</f>
        <v>20</v>
      </c>
      <c r="D595">
        <f>IF(_xlfn.XLOOKUP(A595,PARAMETROS!A:A,PARAMETROS!D:D)=0,"",_xlfn.XLOOKUP(A595,PARAMETROS!A:A,PARAMETROS!D:D))</f>
        <v>2</v>
      </c>
      <c r="E595" t="str">
        <f>IF(_xlfn.XLOOKUP('PREENCHIMENTO|LETIVAS'!A595,PARAMETROS!A:A,PARAMETROS!I:I)=0,"",_xlfn.XLOOKUP('PREENCHIMENTO|LETIVAS'!A595,PARAMETROS!A:A,PARAMETROS!I:I))</f>
        <v>PROFESSOR DE ENSINO SUPERIOR EAD</v>
      </c>
      <c r="F595" s="3" t="s">
        <v>38</v>
      </c>
      <c r="G595" s="3">
        <v>1</v>
      </c>
      <c r="H595" s="3" t="s">
        <v>63</v>
      </c>
      <c r="I595" s="3" t="s">
        <v>40</v>
      </c>
      <c r="J595" s="3" t="s">
        <v>1409</v>
      </c>
      <c r="K595" s="3"/>
      <c r="L595" s="19"/>
    </row>
    <row r="596" spans="1:12">
      <c r="A596" s="3" t="s">
        <v>71</v>
      </c>
      <c r="B596" t="str">
        <f>IF(_xlfn.XLOOKUP(A596,PARAMETROS!A:A,PARAMETROS!B:B)=0,"",_xlfn.XLOOKUP(A596,PARAMETROS!A:A,PARAMETROS!B:B))</f>
        <v>012009004457</v>
      </c>
      <c r="C596">
        <f>IF(_xlfn.XLOOKUP(A596,PARAMETROS!A:A,PARAMETROS!C:C)=0,"",_xlfn.XLOOKUP(A596,PARAMETROS!A:A,PARAMETROS!C:C))</f>
        <v>20</v>
      </c>
      <c r="D596">
        <f>IF(_xlfn.XLOOKUP(A596,PARAMETROS!A:A,PARAMETROS!D:D)=0,"",_xlfn.XLOOKUP(A596,PARAMETROS!A:A,PARAMETROS!D:D))</f>
        <v>2</v>
      </c>
      <c r="E596" t="str">
        <f>IF(_xlfn.XLOOKUP('PREENCHIMENTO|LETIVAS'!A596,PARAMETROS!A:A,PARAMETROS!I:I)=0,"",_xlfn.XLOOKUP('PREENCHIMENTO|LETIVAS'!A596,PARAMETROS!A:A,PARAMETROS!I:I))</f>
        <v>PROFESSOR DE ENSINO SUPERIOR EAD</v>
      </c>
      <c r="F596" s="3" t="s">
        <v>38</v>
      </c>
      <c r="G596" s="3">
        <v>2</v>
      </c>
      <c r="H596" s="3" t="s">
        <v>63</v>
      </c>
      <c r="I596" s="3" t="s">
        <v>40</v>
      </c>
      <c r="J596" s="3" t="s">
        <v>1410</v>
      </c>
      <c r="K596" s="3"/>
      <c r="L596" s="19"/>
    </row>
    <row r="597" spans="1:12">
      <c r="A597" s="3" t="s">
        <v>644</v>
      </c>
      <c r="B597" t="str">
        <f>IF(_xlfn.XLOOKUP(A597,PARAMETROS!A:A,PARAMETROS!B:B)=0,"",_xlfn.XLOOKUP(A597,PARAMETROS!A:A,PARAMETROS!B:B))</f>
        <v>012009006281</v>
      </c>
      <c r="C597">
        <f>IF(_xlfn.XLOOKUP(A597,PARAMETROS!A:A,PARAMETROS!C:C)=0,"",_xlfn.XLOOKUP(A597,PARAMETROS!A:A,PARAMETROS!C:C))</f>
        <v>12</v>
      </c>
      <c r="D597">
        <f>IF(_xlfn.XLOOKUP(A597,PARAMETROS!A:A,PARAMETROS!D:D)=0,"",_xlfn.XLOOKUP(A597,PARAMETROS!A:A,PARAMETROS!D:D))</f>
        <v>9</v>
      </c>
      <c r="E597" t="str">
        <f>IF(_xlfn.XLOOKUP('PREENCHIMENTO|LETIVAS'!A597,PARAMETROS!A:A,PARAMETROS!I:I)=0,"",_xlfn.XLOOKUP('PREENCHIMENTO|LETIVAS'!A597,PARAMETROS!A:A,PARAMETROS!I:I))</f>
        <v>PROFESSOR REGENTE</v>
      </c>
      <c r="F597" s="3" t="s">
        <v>38</v>
      </c>
      <c r="G597" s="3">
        <v>1</v>
      </c>
      <c r="H597" s="3" t="s">
        <v>39</v>
      </c>
      <c r="I597" s="3" t="s">
        <v>40</v>
      </c>
      <c r="J597" s="3" t="s">
        <v>1411</v>
      </c>
      <c r="K597" s="3"/>
      <c r="L597" s="19"/>
    </row>
    <row r="598" spans="1:12">
      <c r="A598" s="3" t="s">
        <v>270</v>
      </c>
      <c r="B598" t="str">
        <f>IF(_xlfn.XLOOKUP(A598,PARAMETROS!A:A,PARAMETROS!B:B)=0,"",_xlfn.XLOOKUP(A598,PARAMETROS!A:A,PARAMETROS!B:B))</f>
        <v>012009003830</v>
      </c>
      <c r="C598">
        <f>IF(_xlfn.XLOOKUP(A598,PARAMETROS!A:A,PARAMETROS!C:C)=0,"",_xlfn.XLOOKUP(A598,PARAMETROS!A:A,PARAMETROS!C:C))</f>
        <v>20</v>
      </c>
      <c r="D598">
        <f>IF(_xlfn.XLOOKUP(A598,PARAMETROS!A:A,PARAMETROS!D:D)=0,"",_xlfn.XLOOKUP(A598,PARAMETROS!A:A,PARAMETROS!D:D))</f>
        <v>2</v>
      </c>
      <c r="E598" t="str">
        <f>IF(_xlfn.XLOOKUP('PREENCHIMENTO|LETIVAS'!A598,PARAMETROS!A:A,PARAMETROS!I:I)=0,"",_xlfn.XLOOKUP('PREENCHIMENTO|LETIVAS'!A598,PARAMETROS!A:A,PARAMETROS!I:I))</f>
        <v>PROFESSOR DE ENSINO SUPERIOR EAD</v>
      </c>
      <c r="F598" s="3" t="s">
        <v>38</v>
      </c>
      <c r="G598" s="3">
        <v>2</v>
      </c>
      <c r="H598" s="3" t="s">
        <v>55</v>
      </c>
      <c r="I598" s="3" t="s">
        <v>40</v>
      </c>
      <c r="J598" s="3" t="s">
        <v>1311</v>
      </c>
      <c r="K598" s="3"/>
      <c r="L598" s="19"/>
    </row>
    <row r="599" spans="1:12">
      <c r="A599" s="3" t="s">
        <v>214</v>
      </c>
      <c r="B599" t="str">
        <f>IF(_xlfn.XLOOKUP(A599,PARAMETROS!A:A,PARAMETROS!B:B)=0,"",_xlfn.XLOOKUP(A599,PARAMETROS!A:A,PARAMETROS!B:B))</f>
        <v>012009006209</v>
      </c>
      <c r="C599">
        <f>IF(_xlfn.XLOOKUP(A599,PARAMETROS!A:A,PARAMETROS!C:C)=0,"",_xlfn.XLOOKUP(A599,PARAMETROS!A:A,PARAMETROS!C:C))</f>
        <v>12</v>
      </c>
      <c r="D599">
        <f>IF(_xlfn.XLOOKUP(A599,PARAMETROS!A:A,PARAMETROS!D:D)=0,"",_xlfn.XLOOKUP(A599,PARAMETROS!A:A,PARAMETROS!D:D))</f>
        <v>9</v>
      </c>
      <c r="E599" t="str">
        <f>IF(_xlfn.XLOOKUP('PREENCHIMENTO|LETIVAS'!A599,PARAMETROS!A:A,PARAMETROS!I:I)=0,"",_xlfn.XLOOKUP('PREENCHIMENTO|LETIVAS'!A599,PARAMETROS!A:A,PARAMETROS!I:I))</f>
        <v>PROFESSOR REGENTE</v>
      </c>
      <c r="F599" s="3" t="s">
        <v>38</v>
      </c>
      <c r="G599" s="3">
        <v>1</v>
      </c>
      <c r="H599" s="3" t="s">
        <v>55</v>
      </c>
      <c r="I599" s="3" t="s">
        <v>40</v>
      </c>
      <c r="J599" s="3" t="s">
        <v>1412</v>
      </c>
      <c r="K599" s="3"/>
      <c r="L599" s="19"/>
    </row>
    <row r="600" spans="1:12">
      <c r="A600" s="3" t="s">
        <v>214</v>
      </c>
      <c r="B600" t="str">
        <f>IF(_xlfn.XLOOKUP(A600,PARAMETROS!A:A,PARAMETROS!B:B)=0,"",_xlfn.XLOOKUP(A600,PARAMETROS!A:A,PARAMETROS!B:B))</f>
        <v>012009006209</v>
      </c>
      <c r="C600">
        <f>IF(_xlfn.XLOOKUP(A600,PARAMETROS!A:A,PARAMETROS!C:C)=0,"",_xlfn.XLOOKUP(A600,PARAMETROS!A:A,PARAMETROS!C:C))</f>
        <v>12</v>
      </c>
      <c r="D600">
        <f>IF(_xlfn.XLOOKUP(A600,PARAMETROS!A:A,PARAMETROS!D:D)=0,"",_xlfn.XLOOKUP(A600,PARAMETROS!A:A,PARAMETROS!D:D))</f>
        <v>9</v>
      </c>
      <c r="E600" t="str">
        <f>IF(_xlfn.XLOOKUP('PREENCHIMENTO|LETIVAS'!A600,PARAMETROS!A:A,PARAMETROS!I:I)=0,"",_xlfn.XLOOKUP('PREENCHIMENTO|LETIVAS'!A600,PARAMETROS!A:A,PARAMETROS!I:I))</f>
        <v>PROFESSOR REGENTE</v>
      </c>
      <c r="F600" s="3" t="s">
        <v>38</v>
      </c>
      <c r="G600" s="3" t="s">
        <v>54</v>
      </c>
      <c r="H600" s="3" t="s">
        <v>32</v>
      </c>
      <c r="I600" s="3" t="s">
        <v>33</v>
      </c>
      <c r="J600" s="3" t="s">
        <v>948</v>
      </c>
      <c r="K600" s="3"/>
      <c r="L600" s="19"/>
    </row>
    <row r="601" spans="1:12">
      <c r="A601" s="3" t="s">
        <v>288</v>
      </c>
      <c r="B601" t="str">
        <f>IF(_xlfn.XLOOKUP(A601,PARAMETROS!A:A,PARAMETROS!B:B)=0,"",_xlfn.XLOOKUP(A601,PARAMETROS!A:A,PARAMETROS!B:B))</f>
        <v>012009006190</v>
      </c>
      <c r="C601">
        <f>IF(_xlfn.XLOOKUP(A601,PARAMETROS!A:A,PARAMETROS!C:C)=0,"",_xlfn.XLOOKUP(A601,PARAMETROS!A:A,PARAMETROS!C:C))</f>
        <v>40</v>
      </c>
      <c r="D601">
        <f>IF(_xlfn.XLOOKUP(A601,PARAMETROS!A:A,PARAMETROS!D:D)=0,"",_xlfn.XLOOKUP(A601,PARAMETROS!A:A,PARAMETROS!D:D))</f>
        <v>20</v>
      </c>
      <c r="E601" t="str">
        <f>IF(_xlfn.XLOOKUP('PREENCHIMENTO|LETIVAS'!A601,PARAMETROS!A:A,PARAMETROS!I:I)=0,"",_xlfn.XLOOKUP('PREENCHIMENTO|LETIVAS'!A601,PARAMETROS!A:A,PARAMETROS!I:I))</f>
        <v>PROFESSOR REGENTE</v>
      </c>
      <c r="F601" s="3" t="s">
        <v>38</v>
      </c>
      <c r="G601" s="3" t="s">
        <v>54</v>
      </c>
      <c r="H601" s="3" t="s">
        <v>32</v>
      </c>
      <c r="I601" s="3" t="s">
        <v>33</v>
      </c>
      <c r="J601" s="3" t="s">
        <v>1413</v>
      </c>
      <c r="K601" s="3"/>
      <c r="L601" s="19"/>
    </row>
    <row r="602" spans="1:12">
      <c r="A602" s="3" t="s">
        <v>288</v>
      </c>
      <c r="B602" t="str">
        <f>IF(_xlfn.XLOOKUP(A602,PARAMETROS!A:A,PARAMETROS!B:B)=0,"",_xlfn.XLOOKUP(A602,PARAMETROS!A:A,PARAMETROS!B:B))</f>
        <v>012009006190</v>
      </c>
      <c r="C602">
        <f>IF(_xlfn.XLOOKUP(A602,PARAMETROS!A:A,PARAMETROS!C:C)=0,"",_xlfn.XLOOKUP(A602,PARAMETROS!A:A,PARAMETROS!C:C))</f>
        <v>40</v>
      </c>
      <c r="D602">
        <f>IF(_xlfn.XLOOKUP(A602,PARAMETROS!A:A,PARAMETROS!D:D)=0,"",_xlfn.XLOOKUP(A602,PARAMETROS!A:A,PARAMETROS!D:D))</f>
        <v>20</v>
      </c>
      <c r="E602" t="str">
        <f>IF(_xlfn.XLOOKUP('PREENCHIMENTO|LETIVAS'!A602,PARAMETROS!A:A,PARAMETROS!I:I)=0,"",_xlfn.XLOOKUP('PREENCHIMENTO|LETIVAS'!A602,PARAMETROS!A:A,PARAMETROS!I:I))</f>
        <v>PROFESSOR REGENTE</v>
      </c>
      <c r="F602" s="3" t="s">
        <v>38</v>
      </c>
      <c r="G602" s="3" t="s">
        <v>54</v>
      </c>
      <c r="H602" s="3" t="s">
        <v>32</v>
      </c>
      <c r="I602" s="3" t="s">
        <v>40</v>
      </c>
      <c r="J602" s="3" t="s">
        <v>1414</v>
      </c>
      <c r="K602" s="3"/>
      <c r="L602" s="19"/>
    </row>
    <row r="603" spans="1:12">
      <c r="A603" s="3" t="s">
        <v>288</v>
      </c>
      <c r="B603" t="str">
        <f>IF(_xlfn.XLOOKUP(A603,PARAMETROS!A:A,PARAMETROS!B:B)=0,"",_xlfn.XLOOKUP(A603,PARAMETROS!A:A,PARAMETROS!B:B))</f>
        <v>012009006190</v>
      </c>
      <c r="C603">
        <f>IF(_xlfn.XLOOKUP(A603,PARAMETROS!A:A,PARAMETROS!C:C)=0,"",_xlfn.XLOOKUP(A603,PARAMETROS!A:A,PARAMETROS!C:C))</f>
        <v>40</v>
      </c>
      <c r="D603">
        <f>IF(_xlfn.XLOOKUP(A603,PARAMETROS!A:A,PARAMETROS!D:D)=0,"",_xlfn.XLOOKUP(A603,PARAMETROS!A:A,PARAMETROS!D:D))</f>
        <v>20</v>
      </c>
      <c r="E603" t="str">
        <f>IF(_xlfn.XLOOKUP('PREENCHIMENTO|LETIVAS'!A603,PARAMETROS!A:A,PARAMETROS!I:I)=0,"",_xlfn.XLOOKUP('PREENCHIMENTO|LETIVAS'!A603,PARAMETROS!A:A,PARAMETROS!I:I))</f>
        <v>PROFESSOR REGENTE</v>
      </c>
      <c r="F603" s="3" t="s">
        <v>38</v>
      </c>
      <c r="G603" s="3">
        <v>1</v>
      </c>
      <c r="H603" s="3" t="s">
        <v>55</v>
      </c>
      <c r="I603" s="3" t="s">
        <v>33</v>
      </c>
      <c r="J603" s="3" t="s">
        <v>1415</v>
      </c>
      <c r="K603" s="3"/>
      <c r="L603" s="19"/>
    </row>
    <row r="604" spans="1:12">
      <c r="A604" s="3" t="s">
        <v>514</v>
      </c>
      <c r="B604" t="str">
        <f>IF(_xlfn.XLOOKUP(A604,PARAMETROS!A:A,PARAMETROS!B:B)=0,"",_xlfn.XLOOKUP(A604,PARAMETROS!A:A,PARAMETROS!B:B))</f>
        <v>012009005012</v>
      </c>
      <c r="C604">
        <f>IF(_xlfn.XLOOKUP(A604,PARAMETROS!A:A,PARAMETROS!C:C)=0,"",_xlfn.XLOOKUP(A604,PARAMETROS!A:A,PARAMETROS!C:C))</f>
        <v>20</v>
      </c>
      <c r="D604">
        <f>IF(_xlfn.XLOOKUP(A604,PARAMETROS!A:A,PARAMETROS!D:D)=0,"",_xlfn.XLOOKUP(A604,PARAMETROS!A:A,PARAMETROS!D:D))</f>
        <v>2</v>
      </c>
      <c r="E604" t="str">
        <f>IF(_xlfn.XLOOKUP('PREENCHIMENTO|LETIVAS'!A604,PARAMETROS!A:A,PARAMETROS!I:I)=0,"",_xlfn.XLOOKUP('PREENCHIMENTO|LETIVAS'!A604,PARAMETROS!A:A,PARAMETROS!I:I))</f>
        <v>PROFESSOR DE ENSINO SUPERIOR EAD</v>
      </c>
      <c r="F604" s="3" t="s">
        <v>38</v>
      </c>
      <c r="G604" s="3" t="s">
        <v>54</v>
      </c>
      <c r="H604" s="3" t="s">
        <v>32</v>
      </c>
      <c r="I604" s="3" t="s">
        <v>40</v>
      </c>
      <c r="J604" s="3" t="s">
        <v>1416</v>
      </c>
      <c r="K604" s="3"/>
      <c r="L604" s="19"/>
    </row>
    <row r="605" spans="1:12">
      <c r="A605" s="3" t="s">
        <v>110</v>
      </c>
      <c r="B605" t="str">
        <f>IF(_xlfn.XLOOKUP(A605,PARAMETROS!A:A,PARAMETROS!B:B)=0,"",_xlfn.XLOOKUP(A605,PARAMETROS!A:A,PARAMETROS!B:B))</f>
        <v>012009003558</v>
      </c>
      <c r="C605">
        <f>IF(_xlfn.XLOOKUP(A605,PARAMETROS!A:A,PARAMETROS!C:C)=0,"",_xlfn.XLOOKUP(A605,PARAMETROS!A:A,PARAMETROS!C:C))</f>
        <v>20</v>
      </c>
      <c r="D605">
        <f>IF(_xlfn.XLOOKUP(A605,PARAMETROS!A:A,PARAMETROS!D:D)=0,"",_xlfn.XLOOKUP(A605,PARAMETROS!A:A,PARAMETROS!D:D))</f>
        <v>2</v>
      </c>
      <c r="E605" t="str">
        <f>IF(_xlfn.XLOOKUP('PREENCHIMENTO|LETIVAS'!A605,PARAMETROS!A:A,PARAMETROS!I:I)=0,"",_xlfn.XLOOKUP('PREENCHIMENTO|LETIVAS'!A605,PARAMETROS!A:A,PARAMETROS!I:I))</f>
        <v>PROFESSOR DE ENSINO SUPERIOR EAD</v>
      </c>
      <c r="F605" s="3" t="s">
        <v>38</v>
      </c>
      <c r="G605" s="3">
        <v>2</v>
      </c>
      <c r="H605" s="3" t="s">
        <v>63</v>
      </c>
      <c r="I605" s="3" t="s">
        <v>40</v>
      </c>
      <c r="J605" s="3" t="s">
        <v>1417</v>
      </c>
      <c r="K605" s="3"/>
      <c r="L605" s="19"/>
    </row>
    <row r="606" spans="1:12">
      <c r="A606" s="3" t="s">
        <v>59</v>
      </c>
      <c r="B606" t="str">
        <f>IF(_xlfn.XLOOKUP(A606,PARAMETROS!A:A,PARAMETROS!B:B)=0,"",_xlfn.XLOOKUP(A606,PARAMETROS!A:A,PARAMETROS!B:B))</f>
        <v>012009003713</v>
      </c>
      <c r="C606">
        <f>IF(_xlfn.XLOOKUP(A606,PARAMETROS!A:A,PARAMETROS!C:C)=0,"",_xlfn.XLOOKUP(A606,PARAMETROS!A:A,PARAMETROS!C:C))</f>
        <v>20</v>
      </c>
      <c r="D606">
        <f>IF(_xlfn.XLOOKUP(A606,PARAMETROS!A:A,PARAMETROS!D:D)=0,"",_xlfn.XLOOKUP(A606,PARAMETROS!A:A,PARAMETROS!D:D))</f>
        <v>2</v>
      </c>
      <c r="E606" t="str">
        <f>IF(_xlfn.XLOOKUP('PREENCHIMENTO|LETIVAS'!A606,PARAMETROS!A:A,PARAMETROS!I:I)=0,"",_xlfn.XLOOKUP('PREENCHIMENTO|LETIVAS'!A606,PARAMETROS!A:A,PARAMETROS!I:I))</f>
        <v>PROFESSOR DE ENSINO SUPERIOR EAD</v>
      </c>
      <c r="F606" s="3" t="s">
        <v>38</v>
      </c>
      <c r="G606" s="3">
        <v>1</v>
      </c>
      <c r="H606" s="3" t="s">
        <v>63</v>
      </c>
      <c r="I606" s="3" t="s">
        <v>33</v>
      </c>
      <c r="J606" s="3" t="s">
        <v>1418</v>
      </c>
      <c r="K606" s="3"/>
      <c r="L606" s="19"/>
    </row>
    <row r="607" spans="1:12">
      <c r="A607" s="3" t="s">
        <v>541</v>
      </c>
      <c r="B607" t="str">
        <f>IF(_xlfn.XLOOKUP(A607,PARAMETROS!A:A,PARAMETROS!B:B)=0,"",_xlfn.XLOOKUP(A607,PARAMETROS!A:A,PARAMETROS!B:B))</f>
        <v>012009003731</v>
      </c>
      <c r="C607">
        <f>IF(_xlfn.XLOOKUP(A607,PARAMETROS!A:A,PARAMETROS!C:C)=0,"",_xlfn.XLOOKUP(A607,PARAMETROS!A:A,PARAMETROS!C:C))</f>
        <v>20</v>
      </c>
      <c r="D607">
        <f>IF(_xlfn.XLOOKUP(A607,PARAMETROS!A:A,PARAMETROS!D:D)=0,"",_xlfn.XLOOKUP(A607,PARAMETROS!A:A,PARAMETROS!D:D))</f>
        <v>2</v>
      </c>
      <c r="E607" t="str">
        <f>IF(_xlfn.XLOOKUP('PREENCHIMENTO|LETIVAS'!A607,PARAMETROS!A:A,PARAMETROS!I:I)=0,"",_xlfn.XLOOKUP('PREENCHIMENTO|LETIVAS'!A607,PARAMETROS!A:A,PARAMETROS!I:I))</f>
        <v>PROFESSOR DE ENSINO SUPERIOR EAD</v>
      </c>
      <c r="F607" s="3" t="s">
        <v>38</v>
      </c>
      <c r="G607" s="3">
        <v>1</v>
      </c>
      <c r="H607" s="3" t="s">
        <v>63</v>
      </c>
      <c r="I607" s="3" t="s">
        <v>40</v>
      </c>
      <c r="J607" s="3" t="s">
        <v>1419</v>
      </c>
      <c r="K607" s="3"/>
      <c r="L607" s="19"/>
    </row>
    <row r="608" spans="1:12">
      <c r="A608" s="3" t="s">
        <v>162</v>
      </c>
      <c r="B608" t="str">
        <f>IF(_xlfn.XLOOKUP(A608,PARAMETROS!A:A,PARAMETROS!B:B)=0,"",_xlfn.XLOOKUP(A608,PARAMETROS!A:A,PARAMETROS!B:B))</f>
        <v>012009003638</v>
      </c>
      <c r="C608">
        <f>IF(_xlfn.XLOOKUP(A608,PARAMETROS!A:A,PARAMETROS!C:C)=0,"",_xlfn.XLOOKUP(A608,PARAMETROS!A:A,PARAMETROS!C:C))</f>
        <v>20</v>
      </c>
      <c r="D608">
        <f>IF(_xlfn.XLOOKUP(A608,PARAMETROS!A:A,PARAMETROS!D:D)=0,"",_xlfn.XLOOKUP(A608,PARAMETROS!A:A,PARAMETROS!D:D))</f>
        <v>2</v>
      </c>
      <c r="E608" t="str">
        <f>IF(_xlfn.XLOOKUP('PREENCHIMENTO|LETIVAS'!A608,PARAMETROS!A:A,PARAMETROS!I:I)=0,"",_xlfn.XLOOKUP('PREENCHIMENTO|LETIVAS'!A608,PARAMETROS!A:A,PARAMETROS!I:I))</f>
        <v>PROFESSOR DE ENSINO SUPERIOR EAD</v>
      </c>
      <c r="F608" s="3" t="s">
        <v>38</v>
      </c>
      <c r="G608" s="3">
        <v>2</v>
      </c>
      <c r="H608" s="3" t="s">
        <v>63</v>
      </c>
      <c r="I608" s="3" t="s">
        <v>40</v>
      </c>
      <c r="J608" s="3" t="s">
        <v>1420</v>
      </c>
      <c r="K608" s="3"/>
      <c r="L608" s="19"/>
    </row>
    <row r="609" spans="1:12">
      <c r="A609" s="3" t="s">
        <v>712</v>
      </c>
      <c r="B609" t="str">
        <f>IF(_xlfn.XLOOKUP(A609,PARAMETROS!A:A,PARAMETROS!B:B)=0,"",_xlfn.XLOOKUP(A609,PARAMETROS!A:A,PARAMETROS!B:B))</f>
        <v>012009006376</v>
      </c>
      <c r="C609">
        <f>IF(_xlfn.XLOOKUP(A609,PARAMETROS!A:A,PARAMETROS!C:C)=0,"",_xlfn.XLOOKUP(A609,PARAMETROS!A:A,PARAMETROS!C:C))</f>
        <v>12</v>
      </c>
      <c r="D609">
        <f>IF(_xlfn.XLOOKUP(A609,PARAMETROS!A:A,PARAMETROS!D:D)=0,"",_xlfn.XLOOKUP(A609,PARAMETROS!A:A,PARAMETROS!D:D))</f>
        <v>9</v>
      </c>
      <c r="E609" t="str">
        <f>IF(_xlfn.XLOOKUP('PREENCHIMENTO|LETIVAS'!A609,PARAMETROS!A:A,PARAMETROS!I:I)=0,"",_xlfn.XLOOKUP('PREENCHIMENTO|LETIVAS'!A609,PARAMETROS!A:A,PARAMETROS!I:I))</f>
        <v>PROFESSOR REGENTE</v>
      </c>
      <c r="F609" s="3" t="s">
        <v>38</v>
      </c>
      <c r="G609" s="3">
        <v>2</v>
      </c>
      <c r="H609" s="3" t="s">
        <v>39</v>
      </c>
      <c r="I609" s="3" t="s">
        <v>40</v>
      </c>
      <c r="J609" s="3" t="s">
        <v>1421</v>
      </c>
      <c r="K609" s="3"/>
      <c r="L609" s="19"/>
    </row>
    <row r="610" spans="1:12">
      <c r="A610" s="3" t="s">
        <v>712</v>
      </c>
      <c r="B610" t="str">
        <f>IF(_xlfn.XLOOKUP(A610,PARAMETROS!A:A,PARAMETROS!B:B)=0,"",_xlfn.XLOOKUP(A610,PARAMETROS!A:A,PARAMETROS!B:B))</f>
        <v>012009006376</v>
      </c>
      <c r="C610">
        <f>IF(_xlfn.XLOOKUP(A610,PARAMETROS!A:A,PARAMETROS!C:C)=0,"",_xlfn.XLOOKUP(A610,PARAMETROS!A:A,PARAMETROS!C:C))</f>
        <v>12</v>
      </c>
      <c r="D610">
        <f>IF(_xlfn.XLOOKUP(A610,PARAMETROS!A:A,PARAMETROS!D:D)=0,"",_xlfn.XLOOKUP(A610,PARAMETROS!A:A,PARAMETROS!D:D))</f>
        <v>9</v>
      </c>
      <c r="E610" t="str">
        <f>IF(_xlfn.XLOOKUP('PREENCHIMENTO|LETIVAS'!A610,PARAMETROS!A:A,PARAMETROS!I:I)=0,"",_xlfn.XLOOKUP('PREENCHIMENTO|LETIVAS'!A610,PARAMETROS!A:A,PARAMETROS!I:I))</f>
        <v>PROFESSOR REGENTE</v>
      </c>
      <c r="F610" s="3" t="s">
        <v>38</v>
      </c>
      <c r="G610" s="3">
        <v>2</v>
      </c>
      <c r="H610" s="3" t="s">
        <v>39</v>
      </c>
      <c r="I610" s="3" t="s">
        <v>40</v>
      </c>
      <c r="J610" s="3" t="s">
        <v>1422</v>
      </c>
      <c r="K610" s="3"/>
      <c r="L610" s="19"/>
    </row>
    <row r="611" spans="1:12">
      <c r="A611" s="3" t="s">
        <v>712</v>
      </c>
      <c r="B611" t="str">
        <f>IF(_xlfn.XLOOKUP(A611,PARAMETROS!A:A,PARAMETROS!B:B)=0,"",_xlfn.XLOOKUP(A611,PARAMETROS!A:A,PARAMETROS!B:B))</f>
        <v>012009006376</v>
      </c>
      <c r="C611">
        <f>IF(_xlfn.XLOOKUP(A611,PARAMETROS!A:A,PARAMETROS!C:C)=0,"",_xlfn.XLOOKUP(A611,PARAMETROS!A:A,PARAMETROS!C:C))</f>
        <v>12</v>
      </c>
      <c r="D611">
        <f>IF(_xlfn.XLOOKUP(A611,PARAMETROS!A:A,PARAMETROS!D:D)=0,"",_xlfn.XLOOKUP(A611,PARAMETROS!A:A,PARAMETROS!D:D))</f>
        <v>9</v>
      </c>
      <c r="E611" t="str">
        <f>IF(_xlfn.XLOOKUP('PREENCHIMENTO|LETIVAS'!A611,PARAMETROS!A:A,PARAMETROS!I:I)=0,"",_xlfn.XLOOKUP('PREENCHIMENTO|LETIVAS'!A611,PARAMETROS!A:A,PARAMETROS!I:I))</f>
        <v>PROFESSOR REGENTE</v>
      </c>
      <c r="F611" s="3" t="s">
        <v>38</v>
      </c>
      <c r="G611" s="3" t="s">
        <v>54</v>
      </c>
      <c r="H611" s="3" t="s">
        <v>39</v>
      </c>
      <c r="I611" s="3" t="s">
        <v>33</v>
      </c>
      <c r="J611" s="3" t="s">
        <v>1423</v>
      </c>
      <c r="K611" s="3"/>
      <c r="L611" s="19"/>
    </row>
    <row r="612" spans="1:12">
      <c r="A612" s="3" t="s">
        <v>563</v>
      </c>
      <c r="B612" t="str">
        <f>IF(_xlfn.XLOOKUP(A612,PARAMETROS!A:A,PARAMETROS!B:B)=0,"",_xlfn.XLOOKUP(A612,PARAMETROS!A:A,PARAMETROS!B:B))</f>
        <v>012009006246</v>
      </c>
      <c r="C612">
        <f>IF(_xlfn.XLOOKUP(A612,PARAMETROS!A:A,PARAMETROS!C:C)=0,"",_xlfn.XLOOKUP(A612,PARAMETROS!A:A,PARAMETROS!C:C))</f>
        <v>12</v>
      </c>
      <c r="D612">
        <f>IF(_xlfn.XLOOKUP(A612,PARAMETROS!A:A,PARAMETROS!D:D)=0,"",_xlfn.XLOOKUP(A612,PARAMETROS!A:A,PARAMETROS!D:D))</f>
        <v>9</v>
      </c>
      <c r="E612" t="str">
        <f>IF(_xlfn.XLOOKUP('PREENCHIMENTO|LETIVAS'!A612,PARAMETROS!A:A,PARAMETROS!I:I)=0,"",_xlfn.XLOOKUP('PREENCHIMENTO|LETIVAS'!A612,PARAMETROS!A:A,PARAMETROS!I:I))</f>
        <v>PROFESSOR REGENTE</v>
      </c>
      <c r="F612" s="3" t="s">
        <v>38</v>
      </c>
      <c r="G612" s="3">
        <v>2</v>
      </c>
      <c r="H612" s="3" t="s">
        <v>39</v>
      </c>
      <c r="I612" s="3" t="s">
        <v>33</v>
      </c>
      <c r="J612" s="3" t="s">
        <v>1424</v>
      </c>
      <c r="K612" s="3"/>
      <c r="L612" s="19"/>
    </row>
    <row r="613" spans="1:12">
      <c r="A613" s="3" t="s">
        <v>563</v>
      </c>
      <c r="B613" t="str">
        <f>IF(_xlfn.XLOOKUP(A613,PARAMETROS!A:A,PARAMETROS!B:B)=0,"",_xlfn.XLOOKUP(A613,PARAMETROS!A:A,PARAMETROS!B:B))</f>
        <v>012009006246</v>
      </c>
      <c r="C613">
        <f>IF(_xlfn.XLOOKUP(A613,PARAMETROS!A:A,PARAMETROS!C:C)=0,"",_xlfn.XLOOKUP(A613,PARAMETROS!A:A,PARAMETROS!C:C))</f>
        <v>12</v>
      </c>
      <c r="D613">
        <f>IF(_xlfn.XLOOKUP(A613,PARAMETROS!A:A,PARAMETROS!D:D)=0,"",_xlfn.XLOOKUP(A613,PARAMETROS!A:A,PARAMETROS!D:D))</f>
        <v>9</v>
      </c>
      <c r="E613" t="str">
        <f>IF(_xlfn.XLOOKUP('PREENCHIMENTO|LETIVAS'!A613,PARAMETROS!A:A,PARAMETROS!I:I)=0,"",_xlfn.XLOOKUP('PREENCHIMENTO|LETIVAS'!A613,PARAMETROS!A:A,PARAMETROS!I:I))</f>
        <v>PROFESSOR REGENTE</v>
      </c>
      <c r="F613" s="3" t="s">
        <v>38</v>
      </c>
      <c r="G613" s="3">
        <v>1</v>
      </c>
      <c r="H613" s="3" t="s">
        <v>39</v>
      </c>
      <c r="I613" s="3" t="s">
        <v>40</v>
      </c>
      <c r="J613" s="3" t="s">
        <v>1425</v>
      </c>
      <c r="K613" s="3"/>
      <c r="L613" s="19"/>
    </row>
    <row r="614" spans="1:12">
      <c r="A614" s="3" t="s">
        <v>563</v>
      </c>
      <c r="B614" t="str">
        <f>IF(_xlfn.XLOOKUP(A614,PARAMETROS!A:A,PARAMETROS!B:B)=0,"",_xlfn.XLOOKUP(A614,PARAMETROS!A:A,PARAMETROS!B:B))</f>
        <v>012009006246</v>
      </c>
      <c r="C614">
        <f>IF(_xlfn.XLOOKUP(A614,PARAMETROS!A:A,PARAMETROS!C:C)=0,"",_xlfn.XLOOKUP(A614,PARAMETROS!A:A,PARAMETROS!C:C))</f>
        <v>12</v>
      </c>
      <c r="D614">
        <f>IF(_xlfn.XLOOKUP(A614,PARAMETROS!A:A,PARAMETROS!D:D)=0,"",_xlfn.XLOOKUP(A614,PARAMETROS!A:A,PARAMETROS!D:D))</f>
        <v>9</v>
      </c>
      <c r="E614" t="str">
        <f>IF(_xlfn.XLOOKUP('PREENCHIMENTO|LETIVAS'!A614,PARAMETROS!A:A,PARAMETROS!I:I)=0,"",_xlfn.XLOOKUP('PREENCHIMENTO|LETIVAS'!A614,PARAMETROS!A:A,PARAMETROS!I:I))</f>
        <v>PROFESSOR REGENTE</v>
      </c>
      <c r="F614" s="3" t="s">
        <v>38</v>
      </c>
      <c r="G614" s="3">
        <v>1</v>
      </c>
      <c r="H614" s="3" t="s">
        <v>55</v>
      </c>
      <c r="I614" s="3" t="s">
        <v>40</v>
      </c>
      <c r="J614" s="3" t="s">
        <v>1425</v>
      </c>
      <c r="K614" s="3"/>
      <c r="L614" s="19"/>
    </row>
    <row r="615" spans="1:12">
      <c r="A615" s="3" t="s">
        <v>739</v>
      </c>
      <c r="B615" t="str">
        <f>IF(_xlfn.XLOOKUP(A615,PARAMETROS!A:A,PARAMETROS!B:B)=0,"",_xlfn.XLOOKUP(A615,PARAMETROS!A:A,PARAMETROS!B:B))</f>
        <v>012009003703</v>
      </c>
      <c r="C615" t="str">
        <f>IF(_xlfn.XLOOKUP(A615,PARAMETROS!A:A,PARAMETROS!C:C)=0,"",_xlfn.XLOOKUP(A615,PARAMETROS!A:A,PARAMETROS!C:C))</f>
        <v/>
      </c>
      <c r="D615" t="str">
        <f>IF(_xlfn.XLOOKUP(A615,PARAMETROS!A:A,PARAMETROS!D:D)=0,"",_xlfn.XLOOKUP(A615,PARAMETROS!A:A,PARAMETROS!D:D))</f>
        <v/>
      </c>
      <c r="E615" t="str">
        <f>IF(_xlfn.XLOOKUP('PREENCHIMENTO|LETIVAS'!A615,PARAMETROS!A:A,PARAMETROS!I:I)=0,"",_xlfn.XLOOKUP('PREENCHIMENTO|LETIVAS'!A615,PARAMETROS!A:A,PARAMETROS!I:I))</f>
        <v>PROFESSOR DE ENSINO SUPERIOR PRESENCIAL</v>
      </c>
      <c r="F615" s="3" t="s">
        <v>38</v>
      </c>
      <c r="G615" s="3">
        <v>2</v>
      </c>
      <c r="H615" s="3" t="s">
        <v>39</v>
      </c>
      <c r="I615" s="3" t="s">
        <v>40</v>
      </c>
      <c r="J615" s="3" t="s">
        <v>1426</v>
      </c>
      <c r="K615" s="3"/>
      <c r="L615" s="19"/>
    </row>
    <row r="616" spans="1:12">
      <c r="A616" s="3" t="s">
        <v>739</v>
      </c>
      <c r="B616" t="str">
        <f>IF(_xlfn.XLOOKUP(A616,PARAMETROS!A:A,PARAMETROS!B:B)=0,"",_xlfn.XLOOKUP(A616,PARAMETROS!A:A,PARAMETROS!B:B))</f>
        <v>012009003703</v>
      </c>
      <c r="C616" t="str">
        <f>IF(_xlfn.XLOOKUP(A616,PARAMETROS!A:A,PARAMETROS!C:C)=0,"",_xlfn.XLOOKUP(A616,PARAMETROS!A:A,PARAMETROS!C:C))</f>
        <v/>
      </c>
      <c r="D616" t="str">
        <f>IF(_xlfn.XLOOKUP(A616,PARAMETROS!A:A,PARAMETROS!D:D)=0,"",_xlfn.XLOOKUP(A616,PARAMETROS!A:A,PARAMETROS!D:D))</f>
        <v/>
      </c>
      <c r="E616" t="str">
        <f>IF(_xlfn.XLOOKUP('PREENCHIMENTO|LETIVAS'!A616,PARAMETROS!A:A,PARAMETROS!I:I)=0,"",_xlfn.XLOOKUP('PREENCHIMENTO|LETIVAS'!A616,PARAMETROS!A:A,PARAMETROS!I:I))</f>
        <v>PROFESSOR DE ENSINO SUPERIOR PRESENCIAL</v>
      </c>
      <c r="F616" s="3" t="s">
        <v>38</v>
      </c>
      <c r="G616" s="3">
        <v>2</v>
      </c>
      <c r="H616" s="3" t="s">
        <v>55</v>
      </c>
      <c r="I616" s="3" t="s">
        <v>40</v>
      </c>
      <c r="J616" s="3" t="s">
        <v>1427</v>
      </c>
      <c r="K616" s="3"/>
      <c r="L616" s="19"/>
    </row>
    <row r="617" spans="1:12">
      <c r="A617" s="3" t="s">
        <v>608</v>
      </c>
      <c r="B617" t="str">
        <f>IF(_xlfn.XLOOKUP(A617,PARAMETROS!A:A,PARAMETROS!B:B)=0,"",_xlfn.XLOOKUP(A617,PARAMETROS!A:A,PARAMETROS!B:B))</f>
        <v>012009006308</v>
      </c>
      <c r="C617">
        <f>IF(_xlfn.XLOOKUP(A617,PARAMETROS!A:A,PARAMETROS!C:C)=0,"",_xlfn.XLOOKUP(A617,PARAMETROS!A:A,PARAMETROS!C:C))</f>
        <v>12</v>
      </c>
      <c r="D617">
        <f>IF(_xlfn.XLOOKUP(A617,PARAMETROS!A:A,PARAMETROS!D:D)=0,"",_xlfn.XLOOKUP(A617,PARAMETROS!A:A,PARAMETROS!D:D))</f>
        <v>9</v>
      </c>
      <c r="E617" t="str">
        <f>IF(_xlfn.XLOOKUP('PREENCHIMENTO|LETIVAS'!A617,PARAMETROS!A:A,PARAMETROS!I:I)=0,"",_xlfn.XLOOKUP('PREENCHIMENTO|LETIVAS'!A617,PARAMETROS!A:A,PARAMETROS!I:I))</f>
        <v>PROFESSOR REGENTE</v>
      </c>
      <c r="F617" s="3" t="s">
        <v>38</v>
      </c>
      <c r="G617" s="3">
        <v>1</v>
      </c>
      <c r="H617" s="3" t="s">
        <v>39</v>
      </c>
      <c r="I617" s="3" t="s">
        <v>40</v>
      </c>
      <c r="J617" s="3" t="s">
        <v>1428</v>
      </c>
      <c r="K617" s="3"/>
      <c r="L617" s="19"/>
    </row>
    <row r="618" spans="1:12">
      <c r="A618" s="3" t="s">
        <v>608</v>
      </c>
      <c r="B618" t="str">
        <f>IF(_xlfn.XLOOKUP(A618,PARAMETROS!A:A,PARAMETROS!B:B)=0,"",_xlfn.XLOOKUP(A618,PARAMETROS!A:A,PARAMETROS!B:B))</f>
        <v>012009006308</v>
      </c>
      <c r="C618">
        <f>IF(_xlfn.XLOOKUP(A618,PARAMETROS!A:A,PARAMETROS!C:C)=0,"",_xlfn.XLOOKUP(A618,PARAMETROS!A:A,PARAMETROS!C:C))</f>
        <v>12</v>
      </c>
      <c r="D618">
        <f>IF(_xlfn.XLOOKUP(A618,PARAMETROS!A:A,PARAMETROS!D:D)=0,"",_xlfn.XLOOKUP(A618,PARAMETROS!A:A,PARAMETROS!D:D))</f>
        <v>9</v>
      </c>
      <c r="E618" t="str">
        <f>IF(_xlfn.XLOOKUP('PREENCHIMENTO|LETIVAS'!A618,PARAMETROS!A:A,PARAMETROS!I:I)=0,"",_xlfn.XLOOKUP('PREENCHIMENTO|LETIVAS'!A618,PARAMETROS!A:A,PARAMETROS!I:I))</f>
        <v>PROFESSOR REGENTE</v>
      </c>
      <c r="F618" s="3" t="s">
        <v>38</v>
      </c>
      <c r="G618" s="3">
        <v>1</v>
      </c>
      <c r="H618" s="3" t="s">
        <v>39</v>
      </c>
      <c r="I618" s="3" t="s">
        <v>33</v>
      </c>
      <c r="J618" s="3" t="s">
        <v>1429</v>
      </c>
      <c r="K618" s="3"/>
      <c r="L618" s="19"/>
    </row>
    <row r="619" spans="1:12">
      <c r="A619" s="3" t="s">
        <v>608</v>
      </c>
      <c r="B619" t="str">
        <f>IF(_xlfn.XLOOKUP(A619,PARAMETROS!A:A,PARAMETROS!B:B)=0,"",_xlfn.XLOOKUP(A619,PARAMETROS!A:A,PARAMETROS!B:B))</f>
        <v>012009006308</v>
      </c>
      <c r="C619">
        <f>IF(_xlfn.XLOOKUP(A619,PARAMETROS!A:A,PARAMETROS!C:C)=0,"",_xlfn.XLOOKUP(A619,PARAMETROS!A:A,PARAMETROS!C:C))</f>
        <v>12</v>
      </c>
      <c r="D619">
        <f>IF(_xlfn.XLOOKUP(A619,PARAMETROS!A:A,PARAMETROS!D:D)=0,"",_xlfn.XLOOKUP(A619,PARAMETROS!A:A,PARAMETROS!D:D))</f>
        <v>9</v>
      </c>
      <c r="E619" t="str">
        <f>IF(_xlfn.XLOOKUP('PREENCHIMENTO|LETIVAS'!A619,PARAMETROS!A:A,PARAMETROS!I:I)=0,"",_xlfn.XLOOKUP('PREENCHIMENTO|LETIVAS'!A619,PARAMETROS!A:A,PARAMETROS!I:I))</f>
        <v>PROFESSOR REGENTE</v>
      </c>
      <c r="F619" s="3" t="s">
        <v>38</v>
      </c>
      <c r="G619" s="3" t="s">
        <v>54</v>
      </c>
      <c r="H619" s="3" t="s">
        <v>39</v>
      </c>
      <c r="I619" s="3" t="s">
        <v>33</v>
      </c>
      <c r="J619" s="3" t="s">
        <v>1430</v>
      </c>
      <c r="K619" s="3"/>
      <c r="L619" s="19"/>
    </row>
    <row r="620" spans="1:12">
      <c r="A620" s="3" t="s">
        <v>608</v>
      </c>
      <c r="B620" t="str">
        <f>IF(_xlfn.XLOOKUP(A620,PARAMETROS!A:A,PARAMETROS!B:B)=0,"",_xlfn.XLOOKUP(A620,PARAMETROS!A:A,PARAMETROS!B:B))</f>
        <v>012009006308</v>
      </c>
      <c r="C620">
        <f>IF(_xlfn.XLOOKUP(A620,PARAMETROS!A:A,PARAMETROS!C:C)=0,"",_xlfn.XLOOKUP(A620,PARAMETROS!A:A,PARAMETROS!C:C))</f>
        <v>12</v>
      </c>
      <c r="D620">
        <f>IF(_xlfn.XLOOKUP(A620,PARAMETROS!A:A,PARAMETROS!D:D)=0,"",_xlfn.XLOOKUP(A620,PARAMETROS!A:A,PARAMETROS!D:D))</f>
        <v>9</v>
      </c>
      <c r="E620" t="str">
        <f>IF(_xlfn.XLOOKUP('PREENCHIMENTO|LETIVAS'!A620,PARAMETROS!A:A,PARAMETROS!I:I)=0,"",_xlfn.XLOOKUP('PREENCHIMENTO|LETIVAS'!A620,PARAMETROS!A:A,PARAMETROS!I:I))</f>
        <v>PROFESSOR REGENTE</v>
      </c>
      <c r="F620" s="3" t="s">
        <v>38</v>
      </c>
      <c r="G620" s="3">
        <v>2</v>
      </c>
      <c r="H620" s="3" t="s">
        <v>39</v>
      </c>
      <c r="I620" s="3" t="s">
        <v>33</v>
      </c>
      <c r="J620" s="3" t="s">
        <v>1343</v>
      </c>
      <c r="K620" s="3"/>
      <c r="L620" s="19"/>
    </row>
    <row r="621" spans="1:12">
      <c r="A621" s="3" t="s">
        <v>450</v>
      </c>
      <c r="B621" t="str">
        <f>IF(_xlfn.XLOOKUP(A621,PARAMETROS!A:A,PARAMETROS!B:B)=0,"",_xlfn.XLOOKUP(A621,PARAMETROS!A:A,PARAMETROS!B:B))</f>
        <v>012009006220</v>
      </c>
      <c r="C621">
        <f>IF(_xlfn.XLOOKUP(A621,PARAMETROS!A:A,PARAMETROS!C:C)=0,"",_xlfn.XLOOKUP(A621,PARAMETROS!A:A,PARAMETROS!C:C))</f>
        <v>12</v>
      </c>
      <c r="D621">
        <f>IF(_xlfn.XLOOKUP(A621,PARAMETROS!A:A,PARAMETROS!D:D)=0,"",_xlfn.XLOOKUP(A621,PARAMETROS!A:A,PARAMETROS!D:D))</f>
        <v>9</v>
      </c>
      <c r="E621" t="str">
        <f>IF(_xlfn.XLOOKUP('PREENCHIMENTO|LETIVAS'!A621,PARAMETROS!A:A,PARAMETROS!I:I)=0,"",_xlfn.XLOOKUP('PREENCHIMENTO|LETIVAS'!A621,PARAMETROS!A:A,PARAMETROS!I:I))</f>
        <v>PROFESSOR REGENTE</v>
      </c>
      <c r="F621" s="3" t="s">
        <v>38</v>
      </c>
      <c r="G621" s="3">
        <v>1</v>
      </c>
      <c r="H621" s="3" t="s">
        <v>39</v>
      </c>
      <c r="I621" s="3" t="s">
        <v>40</v>
      </c>
      <c r="J621" s="3" t="s">
        <v>992</v>
      </c>
      <c r="K621" s="3"/>
      <c r="L621" s="19"/>
    </row>
    <row r="622" spans="1:12">
      <c r="A622" s="3" t="s">
        <v>450</v>
      </c>
      <c r="B622" t="str">
        <f>IF(_xlfn.XLOOKUP(A622,PARAMETROS!A:A,PARAMETROS!B:B)=0,"",_xlfn.XLOOKUP(A622,PARAMETROS!A:A,PARAMETROS!B:B))</f>
        <v>012009006220</v>
      </c>
      <c r="C622">
        <f>IF(_xlfn.XLOOKUP(A622,PARAMETROS!A:A,PARAMETROS!C:C)=0,"",_xlfn.XLOOKUP(A622,PARAMETROS!A:A,PARAMETROS!C:C))</f>
        <v>12</v>
      </c>
      <c r="D622">
        <f>IF(_xlfn.XLOOKUP(A622,PARAMETROS!A:A,PARAMETROS!D:D)=0,"",_xlfn.XLOOKUP(A622,PARAMETROS!A:A,PARAMETROS!D:D))</f>
        <v>9</v>
      </c>
      <c r="E622" t="str">
        <f>IF(_xlfn.XLOOKUP('PREENCHIMENTO|LETIVAS'!A622,PARAMETROS!A:A,PARAMETROS!I:I)=0,"",_xlfn.XLOOKUP('PREENCHIMENTO|LETIVAS'!A622,PARAMETROS!A:A,PARAMETROS!I:I))</f>
        <v>PROFESSOR REGENTE</v>
      </c>
      <c r="F622" s="3" t="s">
        <v>38</v>
      </c>
      <c r="G622" s="3">
        <v>2</v>
      </c>
      <c r="H622" s="3" t="s">
        <v>39</v>
      </c>
      <c r="I622" s="3" t="s">
        <v>40</v>
      </c>
      <c r="J622" s="3" t="s">
        <v>1431</v>
      </c>
      <c r="K622" s="3"/>
      <c r="L622" s="19"/>
    </row>
    <row r="623" spans="1:12">
      <c r="A623" s="3" t="s">
        <v>450</v>
      </c>
      <c r="B623" t="str">
        <f>IF(_xlfn.XLOOKUP(A623,PARAMETROS!A:A,PARAMETROS!B:B)=0,"",_xlfn.XLOOKUP(A623,PARAMETROS!A:A,PARAMETROS!B:B))</f>
        <v>012009006220</v>
      </c>
      <c r="C623">
        <f>IF(_xlfn.XLOOKUP(A623,PARAMETROS!A:A,PARAMETROS!C:C)=0,"",_xlfn.XLOOKUP(A623,PARAMETROS!A:A,PARAMETROS!C:C))</f>
        <v>12</v>
      </c>
      <c r="D623">
        <f>IF(_xlfn.XLOOKUP(A623,PARAMETROS!A:A,PARAMETROS!D:D)=0,"",_xlfn.XLOOKUP(A623,PARAMETROS!A:A,PARAMETROS!D:D))</f>
        <v>9</v>
      </c>
      <c r="E623" t="str">
        <f>IF(_xlfn.XLOOKUP('PREENCHIMENTO|LETIVAS'!A623,PARAMETROS!A:A,PARAMETROS!I:I)=0,"",_xlfn.XLOOKUP('PREENCHIMENTO|LETIVAS'!A623,PARAMETROS!A:A,PARAMETROS!I:I))</f>
        <v>PROFESSOR REGENTE</v>
      </c>
      <c r="F623" s="3" t="s">
        <v>38</v>
      </c>
      <c r="G623" s="3">
        <v>2</v>
      </c>
      <c r="H623" s="3" t="s">
        <v>39</v>
      </c>
      <c r="I623" s="3" t="s">
        <v>33</v>
      </c>
      <c r="J623" s="3" t="s">
        <v>1432</v>
      </c>
      <c r="K623" s="3"/>
      <c r="L623" s="19"/>
    </row>
    <row r="624" spans="1:12">
      <c r="A624" s="3" t="s">
        <v>566</v>
      </c>
      <c r="B624" t="str">
        <f>IF(_xlfn.XLOOKUP(A624,PARAMETROS!A:A,PARAMETROS!B:B)=0,"",_xlfn.XLOOKUP(A624,PARAMETROS!A:A,PARAMETROS!B:B))</f>
        <v>012009006250</v>
      </c>
      <c r="C624">
        <f>IF(_xlfn.XLOOKUP(A624,PARAMETROS!A:A,PARAMETROS!C:C)=0,"",_xlfn.XLOOKUP(A624,PARAMETROS!A:A,PARAMETROS!C:C))</f>
        <v>12</v>
      </c>
      <c r="D624">
        <f>IF(_xlfn.XLOOKUP(A624,PARAMETROS!A:A,PARAMETROS!D:D)=0,"",_xlfn.XLOOKUP(A624,PARAMETROS!A:A,PARAMETROS!D:D))</f>
        <v>9</v>
      </c>
      <c r="E624" t="str">
        <f>IF(_xlfn.XLOOKUP('PREENCHIMENTO|LETIVAS'!A624,PARAMETROS!A:A,PARAMETROS!I:I)=0,"",_xlfn.XLOOKUP('PREENCHIMENTO|LETIVAS'!A624,PARAMETROS!A:A,PARAMETROS!I:I))</f>
        <v>PROFESSOR REGENTE</v>
      </c>
      <c r="F624" s="3" t="s">
        <v>38</v>
      </c>
      <c r="G624" s="3">
        <v>2</v>
      </c>
      <c r="H624" s="3" t="s">
        <v>39</v>
      </c>
      <c r="I624" s="3" t="s">
        <v>40</v>
      </c>
      <c r="J624" s="3" t="s">
        <v>1433</v>
      </c>
      <c r="K624" s="3"/>
      <c r="L624" s="19"/>
    </row>
    <row r="625" spans="1:12">
      <c r="A625" s="3" t="s">
        <v>566</v>
      </c>
      <c r="B625" t="str">
        <f>IF(_xlfn.XLOOKUP(A625,PARAMETROS!A:A,PARAMETROS!B:B)=0,"",_xlfn.XLOOKUP(A625,PARAMETROS!A:A,PARAMETROS!B:B))</f>
        <v>012009006250</v>
      </c>
      <c r="C625">
        <f>IF(_xlfn.XLOOKUP(A625,PARAMETROS!A:A,PARAMETROS!C:C)=0,"",_xlfn.XLOOKUP(A625,PARAMETROS!A:A,PARAMETROS!C:C))</f>
        <v>12</v>
      </c>
      <c r="D625">
        <f>IF(_xlfn.XLOOKUP(A625,PARAMETROS!A:A,PARAMETROS!D:D)=0,"",_xlfn.XLOOKUP(A625,PARAMETROS!A:A,PARAMETROS!D:D))</f>
        <v>9</v>
      </c>
      <c r="E625" t="str">
        <f>IF(_xlfn.XLOOKUP('PREENCHIMENTO|LETIVAS'!A625,PARAMETROS!A:A,PARAMETROS!I:I)=0,"",_xlfn.XLOOKUP('PREENCHIMENTO|LETIVAS'!A625,PARAMETROS!A:A,PARAMETROS!I:I))</f>
        <v>PROFESSOR REGENTE</v>
      </c>
      <c r="F625" s="3" t="s">
        <v>38</v>
      </c>
      <c r="G625" s="3">
        <v>1</v>
      </c>
      <c r="H625" s="3" t="s">
        <v>55</v>
      </c>
      <c r="I625" s="3" t="s">
        <v>40</v>
      </c>
      <c r="J625" s="3" t="s">
        <v>1433</v>
      </c>
      <c r="K625" s="3"/>
      <c r="L625" s="19"/>
    </row>
    <row r="626" spans="1:12">
      <c r="A626" s="3" t="s">
        <v>25</v>
      </c>
      <c r="B626" t="str">
        <f>IF(_xlfn.XLOOKUP(A626,PARAMETROS!A:A,PARAMETROS!B:B)=0,"",_xlfn.XLOOKUP(A626,PARAMETROS!A:A,PARAMETROS!B:B))</f>
        <v>012009006172</v>
      </c>
      <c r="C626">
        <f>IF(_xlfn.XLOOKUP(A626,PARAMETROS!A:A,PARAMETROS!C:C)=0,"",_xlfn.XLOOKUP(A626,PARAMETROS!A:A,PARAMETROS!C:C))</f>
        <v>12</v>
      </c>
      <c r="D626">
        <f>IF(_xlfn.XLOOKUP(A626,PARAMETROS!A:A,PARAMETROS!D:D)=0,"",_xlfn.XLOOKUP(A626,PARAMETROS!A:A,PARAMETROS!D:D))</f>
        <v>9</v>
      </c>
      <c r="E626" t="str">
        <f>IF(_xlfn.XLOOKUP('PREENCHIMENTO|LETIVAS'!A626,PARAMETROS!A:A,PARAMETROS!I:I)=0,"",_xlfn.XLOOKUP('PREENCHIMENTO|LETIVAS'!A626,PARAMETROS!A:A,PARAMETROS!I:I))</f>
        <v>PROFESSOR REGENTE</v>
      </c>
      <c r="F626" s="3" t="s">
        <v>38</v>
      </c>
      <c r="G626" s="3">
        <v>2</v>
      </c>
      <c r="H626" s="3" t="s">
        <v>63</v>
      </c>
      <c r="I626" s="3" t="s">
        <v>40</v>
      </c>
      <c r="J626" s="3" t="s">
        <v>1434</v>
      </c>
      <c r="K626" s="3"/>
      <c r="L626" s="19"/>
    </row>
    <row r="627" spans="1:12">
      <c r="A627" s="3" t="s">
        <v>25</v>
      </c>
      <c r="B627" t="str">
        <f>IF(_xlfn.XLOOKUP(A627,PARAMETROS!A:A,PARAMETROS!B:B)=0,"",_xlfn.XLOOKUP(A627,PARAMETROS!A:A,PARAMETROS!B:B))</f>
        <v>012009006172</v>
      </c>
      <c r="C627">
        <f>IF(_xlfn.XLOOKUP(A627,PARAMETROS!A:A,PARAMETROS!C:C)=0,"",_xlfn.XLOOKUP(A627,PARAMETROS!A:A,PARAMETROS!C:C))</f>
        <v>12</v>
      </c>
      <c r="D627">
        <f>IF(_xlfn.XLOOKUP(A627,PARAMETROS!A:A,PARAMETROS!D:D)=0,"",_xlfn.XLOOKUP(A627,PARAMETROS!A:A,PARAMETROS!D:D))</f>
        <v>9</v>
      </c>
      <c r="E627" t="str">
        <f>IF(_xlfn.XLOOKUP('PREENCHIMENTO|LETIVAS'!A627,PARAMETROS!A:A,PARAMETROS!I:I)=0,"",_xlfn.XLOOKUP('PREENCHIMENTO|LETIVAS'!A627,PARAMETROS!A:A,PARAMETROS!I:I))</f>
        <v>PROFESSOR REGENTE</v>
      </c>
      <c r="F627" s="3" t="s">
        <v>38</v>
      </c>
      <c r="G627" s="3">
        <v>1</v>
      </c>
      <c r="H627" s="3" t="s">
        <v>63</v>
      </c>
      <c r="I627" s="3" t="s">
        <v>33</v>
      </c>
      <c r="J627" s="3" t="s">
        <v>1433</v>
      </c>
      <c r="K627" s="3"/>
      <c r="L627" s="19"/>
    </row>
    <row r="628" spans="1:12">
      <c r="A628" s="3" t="s">
        <v>331</v>
      </c>
      <c r="B628" t="str">
        <f>IF(_xlfn.XLOOKUP(A628,PARAMETROS!A:A,PARAMETROS!B:B)=0,"",_xlfn.XLOOKUP(A628,PARAMETROS!A:A,PARAMETROS!B:B))</f>
        <v>012009005027</v>
      </c>
      <c r="C628">
        <f>IF(_xlfn.XLOOKUP(A628,PARAMETROS!A:A,PARAMETROS!C:C)=0,"",_xlfn.XLOOKUP(A628,PARAMETROS!A:A,PARAMETROS!C:C))</f>
        <v>20</v>
      </c>
      <c r="D628">
        <f>IF(_xlfn.XLOOKUP(A628,PARAMETROS!A:A,PARAMETROS!D:D)=0,"",_xlfn.XLOOKUP(A628,PARAMETROS!A:A,PARAMETROS!D:D))</f>
        <v>2</v>
      </c>
      <c r="E628" t="str">
        <f>IF(_xlfn.XLOOKUP('PREENCHIMENTO|LETIVAS'!A628,PARAMETROS!A:A,PARAMETROS!I:I)=0,"",_xlfn.XLOOKUP('PREENCHIMENTO|LETIVAS'!A628,PARAMETROS!A:A,PARAMETROS!I:I))</f>
        <v>PROFESSOR DE ENSINO SUPERIOR EAD</v>
      </c>
      <c r="F628" s="3" t="s">
        <v>38</v>
      </c>
      <c r="G628" s="3">
        <v>1</v>
      </c>
      <c r="H628" s="3" t="s">
        <v>63</v>
      </c>
      <c r="I628" s="3" t="s">
        <v>33</v>
      </c>
      <c r="J628" s="3" t="s">
        <v>1435</v>
      </c>
      <c r="K628" s="3"/>
      <c r="L628" s="19"/>
    </row>
    <row r="629" spans="1:12">
      <c r="A629" s="3" t="s">
        <v>349</v>
      </c>
      <c r="B629" t="str">
        <f>IF(_xlfn.XLOOKUP(A629,PARAMETROS!A:A,PARAMETROS!B:B)=0,"",_xlfn.XLOOKUP(A629,PARAMETROS!A:A,PARAMETROS!B:B))</f>
        <v>012009004589</v>
      </c>
      <c r="C629">
        <f>IF(_xlfn.XLOOKUP(A629,PARAMETROS!A:A,PARAMETROS!C:C)=0,"",_xlfn.XLOOKUP(A629,PARAMETROS!A:A,PARAMETROS!C:C))</f>
        <v>20</v>
      </c>
      <c r="D629">
        <f>IF(_xlfn.XLOOKUP(A629,PARAMETROS!A:A,PARAMETROS!D:D)=0,"",_xlfn.XLOOKUP(A629,PARAMETROS!A:A,PARAMETROS!D:D))</f>
        <v>2</v>
      </c>
      <c r="E629" t="str">
        <f>IF(_xlfn.XLOOKUP('PREENCHIMENTO|LETIVAS'!A629,PARAMETROS!A:A,PARAMETROS!I:I)=0,"",_xlfn.XLOOKUP('PREENCHIMENTO|LETIVAS'!A629,PARAMETROS!A:A,PARAMETROS!I:I))</f>
        <v>PROFESSOR DE ENSINO SUPERIOR EAD</v>
      </c>
      <c r="F629" s="3" t="s">
        <v>38</v>
      </c>
      <c r="G629" s="3">
        <v>1</v>
      </c>
      <c r="H629" s="3" t="s">
        <v>63</v>
      </c>
      <c r="I629" s="3" t="s">
        <v>40</v>
      </c>
      <c r="J629" s="3" t="s">
        <v>1436</v>
      </c>
      <c r="K629" s="3"/>
      <c r="L629" s="19"/>
    </row>
    <row r="630" spans="1:12">
      <c r="A630" s="3" t="s">
        <v>178</v>
      </c>
      <c r="B630" t="str">
        <f>IF(_xlfn.XLOOKUP(A630,PARAMETROS!A:A,PARAMETROS!B:B)=0,"",_xlfn.XLOOKUP(A630,PARAMETROS!A:A,PARAMETROS!B:B))</f>
        <v>012009004310</v>
      </c>
      <c r="C630">
        <f>IF(_xlfn.XLOOKUP(A630,PARAMETROS!A:A,PARAMETROS!C:C)=0,"",_xlfn.XLOOKUP(A630,PARAMETROS!A:A,PARAMETROS!C:C))</f>
        <v>40</v>
      </c>
      <c r="D630">
        <f>IF(_xlfn.XLOOKUP(A630,PARAMETROS!A:A,PARAMETROS!D:D)=0,"",_xlfn.XLOOKUP(A630,PARAMETROS!A:A,PARAMETROS!D:D))</f>
        <v>4</v>
      </c>
      <c r="E630" t="str">
        <f>IF(_xlfn.XLOOKUP('PREENCHIMENTO|LETIVAS'!A630,PARAMETROS!A:A,PARAMETROS!I:I)=0,"",_xlfn.XLOOKUP('PREENCHIMENTO|LETIVAS'!A630,PARAMETROS!A:A,PARAMETROS!I:I))</f>
        <v>PROFESSOR DE ENSINO SUPERIOR EAD</v>
      </c>
      <c r="F630" s="3" t="s">
        <v>38</v>
      </c>
      <c r="G630" s="3">
        <v>2</v>
      </c>
      <c r="H630" s="3" t="s">
        <v>63</v>
      </c>
      <c r="I630" s="3" t="s">
        <v>40</v>
      </c>
      <c r="J630" s="3" t="s">
        <v>1437</v>
      </c>
      <c r="K630" s="3"/>
      <c r="L630" s="19"/>
    </row>
    <row r="631" spans="1:12">
      <c r="A631" s="3" t="s">
        <v>730</v>
      </c>
      <c r="B631" t="str">
        <f>IF(_xlfn.XLOOKUP(A631,PARAMETROS!A:A,PARAMETROS!B:B)=0,"",_xlfn.XLOOKUP(A631,PARAMETROS!A:A,PARAMETROS!B:B))</f>
        <v>012009006371</v>
      </c>
      <c r="C631">
        <f>IF(_xlfn.XLOOKUP(A631,PARAMETROS!A:A,PARAMETROS!C:C)=0,"",_xlfn.XLOOKUP(A631,PARAMETROS!A:A,PARAMETROS!C:C))</f>
        <v>12</v>
      </c>
      <c r="D631">
        <f>IF(_xlfn.XLOOKUP(A631,PARAMETROS!A:A,PARAMETROS!D:D)=0,"",_xlfn.XLOOKUP(A631,PARAMETROS!A:A,PARAMETROS!D:D))</f>
        <v>9</v>
      </c>
      <c r="E631" t="str">
        <f>IF(_xlfn.XLOOKUP('PREENCHIMENTO|LETIVAS'!A631,PARAMETROS!A:A,PARAMETROS!I:I)=0,"",_xlfn.XLOOKUP('PREENCHIMENTO|LETIVAS'!A631,PARAMETROS!A:A,PARAMETROS!I:I))</f>
        <v>PROFESSOR REGENTE</v>
      </c>
      <c r="F631" s="3" t="s">
        <v>38</v>
      </c>
      <c r="G631" s="3">
        <v>1</v>
      </c>
      <c r="H631" s="3" t="s">
        <v>63</v>
      </c>
      <c r="I631" s="3" t="s">
        <v>40</v>
      </c>
      <c r="J631" s="3" t="s">
        <v>1438</v>
      </c>
      <c r="K631" s="3"/>
      <c r="L631" s="19"/>
    </row>
    <row r="632" spans="1:12">
      <c r="A632" s="3" t="s">
        <v>574</v>
      </c>
      <c r="B632" t="str">
        <f>IF(_xlfn.XLOOKUP(A632,PARAMETROS!A:A,PARAMETROS!B:B)=0,"",_xlfn.XLOOKUP(A632,PARAMETROS!A:A,PARAMETROS!B:B))</f>
        <v>012009006261</v>
      </c>
      <c r="C632">
        <f>IF(_xlfn.XLOOKUP(A632,PARAMETROS!A:A,PARAMETROS!C:C)=0,"",_xlfn.XLOOKUP(A632,PARAMETROS!A:A,PARAMETROS!C:C))</f>
        <v>12</v>
      </c>
      <c r="D632">
        <f>IF(_xlfn.XLOOKUP(A632,PARAMETROS!A:A,PARAMETROS!D:D)=0,"",_xlfn.XLOOKUP(A632,PARAMETROS!A:A,PARAMETROS!D:D))</f>
        <v>9</v>
      </c>
      <c r="E632" t="str">
        <f>IF(_xlfn.XLOOKUP('PREENCHIMENTO|LETIVAS'!A632,PARAMETROS!A:A,PARAMETROS!I:I)=0,"",_xlfn.XLOOKUP('PREENCHIMENTO|LETIVAS'!A632,PARAMETROS!A:A,PARAMETROS!I:I))</f>
        <v>PROFESSOR REGENTE</v>
      </c>
      <c r="F632" s="3" t="s">
        <v>38</v>
      </c>
      <c r="G632" s="3">
        <v>2</v>
      </c>
      <c r="H632" s="3" t="s">
        <v>63</v>
      </c>
      <c r="I632" s="3" t="s">
        <v>33</v>
      </c>
      <c r="J632" s="3" t="s">
        <v>1439</v>
      </c>
      <c r="K632" s="3"/>
      <c r="L632" s="19"/>
    </row>
    <row r="633" spans="1:12">
      <c r="A633" s="3" t="s">
        <v>574</v>
      </c>
      <c r="B633" t="str">
        <f>IF(_xlfn.XLOOKUP(A633,PARAMETROS!A:A,PARAMETROS!B:B)=0,"",_xlfn.XLOOKUP(A633,PARAMETROS!A:A,PARAMETROS!B:B))</f>
        <v>012009006261</v>
      </c>
      <c r="C633">
        <f>IF(_xlfn.XLOOKUP(A633,PARAMETROS!A:A,PARAMETROS!C:C)=0,"",_xlfn.XLOOKUP(A633,PARAMETROS!A:A,PARAMETROS!C:C))</f>
        <v>12</v>
      </c>
      <c r="D633">
        <f>IF(_xlfn.XLOOKUP(A633,PARAMETROS!A:A,PARAMETROS!D:D)=0,"",_xlfn.XLOOKUP(A633,PARAMETROS!A:A,PARAMETROS!D:D))</f>
        <v>9</v>
      </c>
      <c r="E633" t="str">
        <f>IF(_xlfn.XLOOKUP('PREENCHIMENTO|LETIVAS'!A633,PARAMETROS!A:A,PARAMETROS!I:I)=0,"",_xlfn.XLOOKUP('PREENCHIMENTO|LETIVAS'!A633,PARAMETROS!A:A,PARAMETROS!I:I))</f>
        <v>PROFESSOR REGENTE</v>
      </c>
      <c r="F633" s="3" t="s">
        <v>38</v>
      </c>
      <c r="G633" s="3">
        <v>1</v>
      </c>
      <c r="H633" s="3" t="s">
        <v>63</v>
      </c>
      <c r="I633" s="3" t="s">
        <v>40</v>
      </c>
      <c r="J633" s="3" t="s">
        <v>1440</v>
      </c>
      <c r="K633" s="3"/>
      <c r="L633" s="19"/>
    </row>
    <row r="634" spans="1:12">
      <c r="A634" s="3" t="s">
        <v>550</v>
      </c>
      <c r="B634" t="str">
        <f>IF(_xlfn.XLOOKUP(A634,PARAMETROS!A:A,PARAMETROS!B:B)=0,"",_xlfn.XLOOKUP(A634,PARAMETROS!A:A,PARAMETROS!B:B))</f>
        <v>012009003910</v>
      </c>
      <c r="C634">
        <f>IF(_xlfn.XLOOKUP(A634,PARAMETROS!A:A,PARAMETROS!C:C)=0,"",_xlfn.XLOOKUP(A634,PARAMETROS!A:A,PARAMETROS!C:C))</f>
        <v>40</v>
      </c>
      <c r="D634">
        <f>IF(_xlfn.XLOOKUP(A634,PARAMETROS!A:A,PARAMETROS!D:D)=0,"",_xlfn.XLOOKUP(A634,PARAMETROS!A:A,PARAMETROS!D:D))</f>
        <v>4</v>
      </c>
      <c r="E634" t="str">
        <f>IF(_xlfn.XLOOKUP('PREENCHIMENTO|LETIVAS'!A634,PARAMETROS!A:A,PARAMETROS!I:I)=0,"",_xlfn.XLOOKUP('PREENCHIMENTO|LETIVAS'!A634,PARAMETROS!A:A,PARAMETROS!I:I))</f>
        <v>PROFESSOR DE ENSINO SUPERIOR EAD</v>
      </c>
      <c r="F634" s="3" t="s">
        <v>38</v>
      </c>
      <c r="G634" s="3">
        <v>2</v>
      </c>
      <c r="H634" s="3" t="s">
        <v>63</v>
      </c>
      <c r="I634" s="3" t="s">
        <v>40</v>
      </c>
      <c r="J634" s="3" t="s">
        <v>868</v>
      </c>
      <c r="K634" s="3"/>
      <c r="L634" s="19"/>
    </row>
    <row r="635" spans="1:12">
      <c r="A635" s="3" t="s">
        <v>550</v>
      </c>
      <c r="B635" t="str">
        <f>IF(_xlfn.XLOOKUP(A635,PARAMETROS!A:A,PARAMETROS!B:B)=0,"",_xlfn.XLOOKUP(A635,PARAMETROS!A:A,PARAMETROS!B:B))</f>
        <v>012009003910</v>
      </c>
      <c r="C635">
        <f>IF(_xlfn.XLOOKUP(A635,PARAMETROS!A:A,PARAMETROS!C:C)=0,"",_xlfn.XLOOKUP(A635,PARAMETROS!A:A,PARAMETROS!C:C))</f>
        <v>40</v>
      </c>
      <c r="D635">
        <f>IF(_xlfn.XLOOKUP(A635,PARAMETROS!A:A,PARAMETROS!D:D)=0,"",_xlfn.XLOOKUP(A635,PARAMETROS!A:A,PARAMETROS!D:D))</f>
        <v>4</v>
      </c>
      <c r="E635" t="str">
        <f>IF(_xlfn.XLOOKUP('PREENCHIMENTO|LETIVAS'!A635,PARAMETROS!A:A,PARAMETROS!I:I)=0,"",_xlfn.XLOOKUP('PREENCHIMENTO|LETIVAS'!A635,PARAMETROS!A:A,PARAMETROS!I:I))</f>
        <v>PROFESSOR DE ENSINO SUPERIOR EAD</v>
      </c>
      <c r="F635" s="3" t="s">
        <v>38</v>
      </c>
      <c r="G635" s="3">
        <v>2</v>
      </c>
      <c r="H635" s="3" t="s">
        <v>63</v>
      </c>
      <c r="I635" s="3" t="s">
        <v>33</v>
      </c>
      <c r="J635" s="3" t="s">
        <v>1441</v>
      </c>
      <c r="K635" s="3"/>
      <c r="L635" s="19"/>
    </row>
    <row r="636" spans="1:12">
      <c r="A636" s="3" t="s">
        <v>550</v>
      </c>
      <c r="B636" t="str">
        <f>IF(_xlfn.XLOOKUP(A636,PARAMETROS!A:A,PARAMETROS!B:B)=0,"",_xlfn.XLOOKUP(A636,PARAMETROS!A:A,PARAMETROS!B:B))</f>
        <v>012009003910</v>
      </c>
      <c r="C636">
        <f>IF(_xlfn.XLOOKUP(A636,PARAMETROS!A:A,PARAMETROS!C:C)=0,"",_xlfn.XLOOKUP(A636,PARAMETROS!A:A,PARAMETROS!C:C))</f>
        <v>40</v>
      </c>
      <c r="D636">
        <f>IF(_xlfn.XLOOKUP(A636,PARAMETROS!A:A,PARAMETROS!D:D)=0,"",_xlfn.XLOOKUP(A636,PARAMETROS!A:A,PARAMETROS!D:D))</f>
        <v>4</v>
      </c>
      <c r="E636" t="str">
        <f>IF(_xlfn.XLOOKUP('PREENCHIMENTO|LETIVAS'!A636,PARAMETROS!A:A,PARAMETROS!I:I)=0,"",_xlfn.XLOOKUP('PREENCHIMENTO|LETIVAS'!A636,PARAMETROS!A:A,PARAMETROS!I:I))</f>
        <v>PROFESSOR DE ENSINO SUPERIOR EAD</v>
      </c>
      <c r="F636" s="3" t="s">
        <v>38</v>
      </c>
      <c r="G636" s="3">
        <v>2</v>
      </c>
      <c r="H636" s="3" t="s">
        <v>39</v>
      </c>
      <c r="I636" s="3" t="s">
        <v>33</v>
      </c>
      <c r="J636" s="3" t="s">
        <v>1441</v>
      </c>
      <c r="K636" s="3"/>
      <c r="L636" s="19"/>
    </row>
    <row r="637" spans="1:12">
      <c r="A637" s="3" t="s">
        <v>240</v>
      </c>
      <c r="B637" t="str">
        <f>IF(_xlfn.XLOOKUP(A637,PARAMETROS!A:A,PARAMETROS!B:B)=0,"",_xlfn.XLOOKUP(A637,PARAMETROS!A:A,PARAMETROS!B:B))</f>
        <v>012009006183</v>
      </c>
      <c r="C637">
        <f>IF(_xlfn.XLOOKUP(A637,PARAMETROS!A:A,PARAMETROS!C:C)=0,"",_xlfn.XLOOKUP(A637,PARAMETROS!A:A,PARAMETROS!C:C))</f>
        <v>12</v>
      </c>
      <c r="D637">
        <f>IF(_xlfn.XLOOKUP(A637,PARAMETROS!A:A,PARAMETROS!D:D)=0,"",_xlfn.XLOOKUP(A637,PARAMETROS!A:A,PARAMETROS!D:D))</f>
        <v>9</v>
      </c>
      <c r="E637" t="str">
        <f>IF(_xlfn.XLOOKUP('PREENCHIMENTO|LETIVAS'!A637,PARAMETROS!A:A,PARAMETROS!I:I)=0,"",_xlfn.XLOOKUP('PREENCHIMENTO|LETIVAS'!A637,PARAMETROS!A:A,PARAMETROS!I:I))</f>
        <v>PROFESSOR REGENTE</v>
      </c>
      <c r="F637" s="3" t="s">
        <v>38</v>
      </c>
      <c r="G637" s="3">
        <v>2</v>
      </c>
      <c r="H637" s="3" t="s">
        <v>63</v>
      </c>
      <c r="I637" s="3" t="s">
        <v>40</v>
      </c>
      <c r="J637" s="3" t="s">
        <v>1442</v>
      </c>
      <c r="K637" s="3"/>
      <c r="L637" s="19"/>
    </row>
    <row r="638" spans="1:12">
      <c r="A638" s="3" t="s">
        <v>240</v>
      </c>
      <c r="B638" t="str">
        <f>IF(_xlfn.XLOOKUP(A638,PARAMETROS!A:A,PARAMETROS!B:B)=0,"",_xlfn.XLOOKUP(A638,PARAMETROS!A:A,PARAMETROS!B:B))</f>
        <v>012009006183</v>
      </c>
      <c r="C638">
        <f>IF(_xlfn.XLOOKUP(A638,PARAMETROS!A:A,PARAMETROS!C:C)=0,"",_xlfn.XLOOKUP(A638,PARAMETROS!A:A,PARAMETROS!C:C))</f>
        <v>12</v>
      </c>
      <c r="D638">
        <f>IF(_xlfn.XLOOKUP(A638,PARAMETROS!A:A,PARAMETROS!D:D)=0,"",_xlfn.XLOOKUP(A638,PARAMETROS!A:A,PARAMETROS!D:D))</f>
        <v>9</v>
      </c>
      <c r="E638" t="str">
        <f>IF(_xlfn.XLOOKUP('PREENCHIMENTO|LETIVAS'!A638,PARAMETROS!A:A,PARAMETROS!I:I)=0,"",_xlfn.XLOOKUP('PREENCHIMENTO|LETIVAS'!A638,PARAMETROS!A:A,PARAMETROS!I:I))</f>
        <v>PROFESSOR REGENTE</v>
      </c>
      <c r="F638" s="3" t="s">
        <v>38</v>
      </c>
      <c r="G638" s="3">
        <v>2</v>
      </c>
      <c r="H638" s="3" t="s">
        <v>63</v>
      </c>
      <c r="I638" s="3" t="s">
        <v>33</v>
      </c>
      <c r="J638" s="3" t="s">
        <v>1443</v>
      </c>
      <c r="K638" s="3"/>
      <c r="L638" s="19"/>
    </row>
    <row r="639" spans="1:12">
      <c r="A639" s="3" t="s">
        <v>261</v>
      </c>
      <c r="B639" t="str">
        <f>IF(_xlfn.XLOOKUP(A639,PARAMETROS!A:A,PARAMETROS!B:B)=0,"",_xlfn.XLOOKUP(A639,PARAMETROS!A:A,PARAMETROS!B:B))</f>
        <v>012009005037</v>
      </c>
      <c r="C639">
        <f>IF(_xlfn.XLOOKUP(A639,PARAMETROS!A:A,PARAMETROS!C:C)=0,"",_xlfn.XLOOKUP(A639,PARAMETROS!A:A,PARAMETROS!C:C))</f>
        <v>40</v>
      </c>
      <c r="D639">
        <f>IF(_xlfn.XLOOKUP(A639,PARAMETROS!A:A,PARAMETROS!D:D)=0,"",_xlfn.XLOOKUP(A639,PARAMETROS!A:A,PARAMETROS!D:D))</f>
        <v>4</v>
      </c>
      <c r="E639" t="str">
        <f>IF(_xlfn.XLOOKUP('PREENCHIMENTO|LETIVAS'!A639,PARAMETROS!A:A,PARAMETROS!I:I)=0,"",_xlfn.XLOOKUP('PREENCHIMENTO|LETIVAS'!A639,PARAMETROS!A:A,PARAMETROS!I:I))</f>
        <v>PROFESSOR DE ENSINO SUPERIOR EAD</v>
      </c>
      <c r="F639" s="3" t="s">
        <v>38</v>
      </c>
      <c r="G639" s="3">
        <v>1</v>
      </c>
      <c r="H639" s="3" t="s">
        <v>63</v>
      </c>
      <c r="I639" s="3" t="s">
        <v>33</v>
      </c>
      <c r="J639" s="3" t="s">
        <v>945</v>
      </c>
      <c r="K639" s="3"/>
      <c r="L639" s="19"/>
    </row>
    <row r="640" spans="1:12">
      <c r="A640" s="3" t="s">
        <v>261</v>
      </c>
      <c r="B640" t="str">
        <f>IF(_xlfn.XLOOKUP(A640,PARAMETROS!A:A,PARAMETROS!B:B)=0,"",_xlfn.XLOOKUP(A640,PARAMETROS!A:A,PARAMETROS!B:B))</f>
        <v>012009005037</v>
      </c>
      <c r="C640">
        <f>IF(_xlfn.XLOOKUP(A640,PARAMETROS!A:A,PARAMETROS!C:C)=0,"",_xlfn.XLOOKUP(A640,PARAMETROS!A:A,PARAMETROS!C:C))</f>
        <v>40</v>
      </c>
      <c r="D640">
        <f>IF(_xlfn.XLOOKUP(A640,PARAMETROS!A:A,PARAMETROS!D:D)=0,"",_xlfn.XLOOKUP(A640,PARAMETROS!A:A,PARAMETROS!D:D))</f>
        <v>4</v>
      </c>
      <c r="E640" t="str">
        <f>IF(_xlfn.XLOOKUP('PREENCHIMENTO|LETIVAS'!A640,PARAMETROS!A:A,PARAMETROS!I:I)=0,"",_xlfn.XLOOKUP('PREENCHIMENTO|LETIVAS'!A640,PARAMETROS!A:A,PARAMETROS!I:I))</f>
        <v>PROFESSOR DE ENSINO SUPERIOR EAD</v>
      </c>
      <c r="F640" s="3" t="s">
        <v>38</v>
      </c>
      <c r="G640" s="3">
        <v>1</v>
      </c>
      <c r="H640" s="3" t="s">
        <v>63</v>
      </c>
      <c r="I640" s="3" t="s">
        <v>40</v>
      </c>
      <c r="J640" s="3" t="s">
        <v>1444</v>
      </c>
      <c r="K640" s="3"/>
      <c r="L640" s="19"/>
    </row>
    <row r="641" spans="1:12">
      <c r="A641" s="3" t="s">
        <v>582</v>
      </c>
      <c r="B641" t="str">
        <f>IF(_xlfn.XLOOKUP(A641,PARAMETROS!A:A,PARAMETROS!B:B)=0,"",_xlfn.XLOOKUP(A641,PARAMETROS!A:A,PARAMETROS!B:B))</f>
        <v>012009006245</v>
      </c>
      <c r="C641">
        <f>IF(_xlfn.XLOOKUP(A641,PARAMETROS!A:A,PARAMETROS!C:C)=0,"",_xlfn.XLOOKUP(A641,PARAMETROS!A:A,PARAMETROS!C:C))</f>
        <v>12</v>
      </c>
      <c r="D641">
        <f>IF(_xlfn.XLOOKUP(A641,PARAMETROS!A:A,PARAMETROS!D:D)=0,"",_xlfn.XLOOKUP(A641,PARAMETROS!A:A,PARAMETROS!D:D))</f>
        <v>9</v>
      </c>
      <c r="E641" t="str">
        <f>IF(_xlfn.XLOOKUP('PREENCHIMENTO|LETIVAS'!A641,PARAMETROS!A:A,PARAMETROS!I:I)=0,"",_xlfn.XLOOKUP('PREENCHIMENTO|LETIVAS'!A641,PARAMETROS!A:A,PARAMETROS!I:I))</f>
        <v>PROFESSOR REGENTE</v>
      </c>
      <c r="F641" s="3" t="s">
        <v>38</v>
      </c>
      <c r="G641" s="3">
        <v>1</v>
      </c>
      <c r="H641" s="3" t="s">
        <v>55</v>
      </c>
      <c r="I641" s="3" t="s">
        <v>40</v>
      </c>
      <c r="J641" s="3" t="s">
        <v>1445</v>
      </c>
      <c r="K641" s="3"/>
      <c r="L641" s="19"/>
    </row>
    <row r="642" spans="1:12">
      <c r="A642" s="3" t="s">
        <v>582</v>
      </c>
      <c r="B642" t="str">
        <f>IF(_xlfn.XLOOKUP(A642,PARAMETROS!A:A,PARAMETROS!B:B)=0,"",_xlfn.XLOOKUP(A642,PARAMETROS!A:A,PARAMETROS!B:B))</f>
        <v>012009006245</v>
      </c>
      <c r="C642">
        <f>IF(_xlfn.XLOOKUP(A642,PARAMETROS!A:A,PARAMETROS!C:C)=0,"",_xlfn.XLOOKUP(A642,PARAMETROS!A:A,PARAMETROS!C:C))</f>
        <v>12</v>
      </c>
      <c r="D642">
        <f>IF(_xlfn.XLOOKUP(A642,PARAMETROS!A:A,PARAMETROS!D:D)=0,"",_xlfn.XLOOKUP(A642,PARAMETROS!A:A,PARAMETROS!D:D))</f>
        <v>9</v>
      </c>
      <c r="E642" t="str">
        <f>IF(_xlfn.XLOOKUP('PREENCHIMENTO|LETIVAS'!A642,PARAMETROS!A:A,PARAMETROS!I:I)=0,"",_xlfn.XLOOKUP('PREENCHIMENTO|LETIVAS'!A642,PARAMETROS!A:A,PARAMETROS!I:I))</f>
        <v>PROFESSOR REGENTE</v>
      </c>
      <c r="F642" s="3" t="s">
        <v>38</v>
      </c>
      <c r="G642" s="3">
        <v>2</v>
      </c>
      <c r="H642" s="3" t="s">
        <v>55</v>
      </c>
      <c r="I642" s="3" t="s">
        <v>40</v>
      </c>
      <c r="J642" s="3" t="s">
        <v>1446</v>
      </c>
      <c r="K642" s="3"/>
      <c r="L642" s="19"/>
    </row>
    <row r="643" spans="1:12">
      <c r="A643" s="3" t="s">
        <v>429</v>
      </c>
      <c r="B643" t="str">
        <f>IF(_xlfn.XLOOKUP(A643,PARAMETROS!A:A,PARAMETROS!B:B)=0,"",_xlfn.XLOOKUP(A643,PARAMETROS!A:A,PARAMETROS!B:B))</f>
        <v>012009004273</v>
      </c>
      <c r="C643">
        <f>IF(_xlfn.XLOOKUP(A643,PARAMETROS!A:A,PARAMETROS!C:C)=0,"",_xlfn.XLOOKUP(A643,PARAMETROS!A:A,PARAMETROS!C:C))</f>
        <v>40</v>
      </c>
      <c r="D643">
        <f>IF(_xlfn.XLOOKUP(A643,PARAMETROS!A:A,PARAMETROS!D:D)=0,"",_xlfn.XLOOKUP(A643,PARAMETROS!A:A,PARAMETROS!D:D))</f>
        <v>4</v>
      </c>
      <c r="E643" t="str">
        <f>IF(_xlfn.XLOOKUP('PREENCHIMENTO|LETIVAS'!A643,PARAMETROS!A:A,PARAMETROS!I:I)=0,"",_xlfn.XLOOKUP('PREENCHIMENTO|LETIVAS'!A643,PARAMETROS!A:A,PARAMETROS!I:I))</f>
        <v>PROFESSOR DE ENSINO SUPERIOR EAD</v>
      </c>
      <c r="F643" s="3" t="s">
        <v>38</v>
      </c>
      <c r="G643" s="3">
        <v>2</v>
      </c>
      <c r="H643" s="3" t="s">
        <v>55</v>
      </c>
      <c r="I643" s="3" t="s">
        <v>33</v>
      </c>
      <c r="J643" s="3" t="s">
        <v>1237</v>
      </c>
      <c r="K643" s="3"/>
      <c r="L643" s="19"/>
    </row>
    <row r="644" spans="1:12">
      <c r="A644" s="3" t="s">
        <v>429</v>
      </c>
      <c r="B644" t="str">
        <f>IF(_xlfn.XLOOKUP(A644,PARAMETROS!A:A,PARAMETROS!B:B)=0,"",_xlfn.XLOOKUP(A644,PARAMETROS!A:A,PARAMETROS!B:B))</f>
        <v>012009004273</v>
      </c>
      <c r="C644">
        <f>IF(_xlfn.XLOOKUP(A644,PARAMETROS!A:A,PARAMETROS!C:C)=0,"",_xlfn.XLOOKUP(A644,PARAMETROS!A:A,PARAMETROS!C:C))</f>
        <v>40</v>
      </c>
      <c r="D644">
        <f>IF(_xlfn.XLOOKUP(A644,PARAMETROS!A:A,PARAMETROS!D:D)=0,"",_xlfn.XLOOKUP(A644,PARAMETROS!A:A,PARAMETROS!D:D))</f>
        <v>4</v>
      </c>
      <c r="E644" t="str">
        <f>IF(_xlfn.XLOOKUP('PREENCHIMENTO|LETIVAS'!A644,PARAMETROS!A:A,PARAMETROS!I:I)=0,"",_xlfn.XLOOKUP('PREENCHIMENTO|LETIVAS'!A644,PARAMETROS!A:A,PARAMETROS!I:I))</f>
        <v>PROFESSOR DE ENSINO SUPERIOR EAD</v>
      </c>
      <c r="F644" s="3" t="s">
        <v>38</v>
      </c>
      <c r="G644" s="3">
        <v>1</v>
      </c>
      <c r="H644" s="3" t="s">
        <v>55</v>
      </c>
      <c r="I644" s="3" t="s">
        <v>33</v>
      </c>
      <c r="J644" s="3" t="s">
        <v>1447</v>
      </c>
      <c r="K644" s="3"/>
      <c r="L644" s="19"/>
    </row>
    <row r="645" spans="1:12">
      <c r="A645" s="3" t="s">
        <v>267</v>
      </c>
      <c r="B645" t="str">
        <f>IF(_xlfn.XLOOKUP(A645,PARAMETROS!A:A,PARAMETROS!B:B)=0,"",_xlfn.XLOOKUP(A645,PARAMETROS!A:A,PARAMETROS!B:B))</f>
        <v>012009006198</v>
      </c>
      <c r="C645">
        <f>IF(_xlfn.XLOOKUP(A645,PARAMETROS!A:A,PARAMETROS!C:C)=0,"",_xlfn.XLOOKUP(A645,PARAMETROS!A:A,PARAMETROS!C:C))</f>
        <v>12</v>
      </c>
      <c r="D645">
        <f>IF(_xlfn.XLOOKUP(A645,PARAMETROS!A:A,PARAMETROS!D:D)=0,"",_xlfn.XLOOKUP(A645,PARAMETROS!A:A,PARAMETROS!D:D))</f>
        <v>9</v>
      </c>
      <c r="E645" t="str">
        <f>IF(_xlfn.XLOOKUP('PREENCHIMENTO|LETIVAS'!A645,PARAMETROS!A:A,PARAMETROS!I:I)=0,"",_xlfn.XLOOKUP('PREENCHIMENTO|LETIVAS'!A645,PARAMETROS!A:A,PARAMETROS!I:I))</f>
        <v>PROFESSOR REGENTE</v>
      </c>
      <c r="F645" s="3" t="s">
        <v>38</v>
      </c>
      <c r="G645" s="3">
        <v>2</v>
      </c>
      <c r="H645" s="3" t="s">
        <v>63</v>
      </c>
      <c r="I645" s="3" t="s">
        <v>40</v>
      </c>
      <c r="J645" s="3" t="s">
        <v>1448</v>
      </c>
      <c r="K645" s="3"/>
      <c r="L645" s="19"/>
    </row>
    <row r="646" spans="1:12">
      <c r="A646" s="3" t="s">
        <v>267</v>
      </c>
      <c r="B646" t="str">
        <f>IF(_xlfn.XLOOKUP(A646,PARAMETROS!A:A,PARAMETROS!B:B)=0,"",_xlfn.XLOOKUP(A646,PARAMETROS!A:A,PARAMETROS!B:B))</f>
        <v>012009006198</v>
      </c>
      <c r="C646">
        <f>IF(_xlfn.XLOOKUP(A646,PARAMETROS!A:A,PARAMETROS!C:C)=0,"",_xlfn.XLOOKUP(A646,PARAMETROS!A:A,PARAMETROS!C:C))</f>
        <v>12</v>
      </c>
      <c r="D646">
        <f>IF(_xlfn.XLOOKUP(A646,PARAMETROS!A:A,PARAMETROS!D:D)=0,"",_xlfn.XLOOKUP(A646,PARAMETROS!A:A,PARAMETROS!D:D))</f>
        <v>9</v>
      </c>
      <c r="E646" t="str">
        <f>IF(_xlfn.XLOOKUP('PREENCHIMENTO|LETIVAS'!A646,PARAMETROS!A:A,PARAMETROS!I:I)=0,"",_xlfn.XLOOKUP('PREENCHIMENTO|LETIVAS'!A646,PARAMETROS!A:A,PARAMETROS!I:I))</f>
        <v>PROFESSOR REGENTE</v>
      </c>
      <c r="F646" s="3" t="s">
        <v>38</v>
      </c>
      <c r="G646" s="3">
        <v>2</v>
      </c>
      <c r="H646" s="3" t="s">
        <v>63</v>
      </c>
      <c r="I646" s="3" t="s">
        <v>33</v>
      </c>
      <c r="J646" s="3" t="s">
        <v>1449</v>
      </c>
      <c r="K646" s="3"/>
      <c r="L646" s="19"/>
    </row>
    <row r="647" spans="1:12">
      <c r="A647" s="3" t="s">
        <v>34</v>
      </c>
      <c r="B647" t="str">
        <f>IF(_xlfn.XLOOKUP(A647,PARAMETROS!A:A,PARAMETROS!B:B)=0,"",_xlfn.XLOOKUP(A647,PARAMETROS!A:A,PARAMETROS!B:B))</f>
        <v>012009004349</v>
      </c>
      <c r="C647">
        <f>IF(_xlfn.XLOOKUP(A647,PARAMETROS!A:A,PARAMETROS!C:C)=0,"",_xlfn.XLOOKUP(A647,PARAMETROS!A:A,PARAMETROS!C:C))</f>
        <v>20</v>
      </c>
      <c r="D647">
        <f>IF(_xlfn.XLOOKUP(A647,PARAMETROS!A:A,PARAMETROS!D:D)=0,"",_xlfn.XLOOKUP(A647,PARAMETROS!A:A,PARAMETROS!D:D))</f>
        <v>2</v>
      </c>
      <c r="E647" t="str">
        <f>IF(_xlfn.XLOOKUP('PREENCHIMENTO|LETIVAS'!A647,PARAMETROS!A:A,PARAMETROS!I:I)=0,"",_xlfn.XLOOKUP('PREENCHIMENTO|LETIVAS'!A647,PARAMETROS!A:A,PARAMETROS!I:I))</f>
        <v>PROFESSOR DE ENSINO SUPERIOR EAD</v>
      </c>
      <c r="F647" s="3" t="s">
        <v>38</v>
      </c>
      <c r="G647" s="3">
        <v>1</v>
      </c>
      <c r="H647" s="3" t="s">
        <v>63</v>
      </c>
      <c r="I647" s="3" t="s">
        <v>33</v>
      </c>
      <c r="J647" s="3" t="s">
        <v>1450</v>
      </c>
      <c r="K647" s="3"/>
      <c r="L647" s="19"/>
    </row>
    <row r="648" spans="1:12">
      <c r="A648" s="3" t="s">
        <v>255</v>
      </c>
      <c r="B648" t="str">
        <f>IF(_xlfn.XLOOKUP(A648,PARAMETROS!A:A,PARAMETROS!B:B)=0,"",_xlfn.XLOOKUP(A648,PARAMETROS!A:A,PARAMETROS!B:B))</f>
        <v>012009003457</v>
      </c>
      <c r="C648">
        <f>IF(_xlfn.XLOOKUP(A648,PARAMETROS!A:A,PARAMETROS!C:C)=0,"",_xlfn.XLOOKUP(A648,PARAMETROS!A:A,PARAMETROS!C:C))</f>
        <v>20</v>
      </c>
      <c r="D648">
        <f>IF(_xlfn.XLOOKUP(A648,PARAMETROS!A:A,PARAMETROS!D:D)=0,"",_xlfn.XLOOKUP(A648,PARAMETROS!A:A,PARAMETROS!D:D))</f>
        <v>2</v>
      </c>
      <c r="E648" t="str">
        <f>IF(_xlfn.XLOOKUP('PREENCHIMENTO|LETIVAS'!A648,PARAMETROS!A:A,PARAMETROS!I:I)=0,"",_xlfn.XLOOKUP('PREENCHIMENTO|LETIVAS'!A648,PARAMETROS!A:A,PARAMETROS!I:I))</f>
        <v>PROFESSOR DE ENSINO SUPERIOR EAD</v>
      </c>
      <c r="F648" s="3" t="s">
        <v>38</v>
      </c>
      <c r="G648" s="3">
        <v>2</v>
      </c>
      <c r="H648" s="3" t="s">
        <v>55</v>
      </c>
      <c r="I648" s="3" t="s">
        <v>40</v>
      </c>
      <c r="J648" s="3" t="s">
        <v>1451</v>
      </c>
      <c r="K648" s="3"/>
      <c r="L648" s="19"/>
    </row>
    <row r="649" spans="1:12">
      <c r="A649" s="3" t="s">
        <v>255</v>
      </c>
      <c r="B649" t="str">
        <f>IF(_xlfn.XLOOKUP(A649,PARAMETROS!A:A,PARAMETROS!B:B)=0,"",_xlfn.XLOOKUP(A649,PARAMETROS!A:A,PARAMETROS!B:B))</f>
        <v>012009003457</v>
      </c>
      <c r="C649">
        <f>IF(_xlfn.XLOOKUP(A649,PARAMETROS!A:A,PARAMETROS!C:C)=0,"",_xlfn.XLOOKUP(A649,PARAMETROS!A:A,PARAMETROS!C:C))</f>
        <v>20</v>
      </c>
      <c r="D649">
        <f>IF(_xlfn.XLOOKUP(A649,PARAMETROS!A:A,PARAMETROS!D:D)=0,"",_xlfn.XLOOKUP(A649,PARAMETROS!A:A,PARAMETROS!D:D))</f>
        <v>2</v>
      </c>
      <c r="E649" t="str">
        <f>IF(_xlfn.XLOOKUP('PREENCHIMENTO|LETIVAS'!A649,PARAMETROS!A:A,PARAMETROS!I:I)=0,"",_xlfn.XLOOKUP('PREENCHIMENTO|LETIVAS'!A649,PARAMETROS!A:A,PARAMETROS!I:I))</f>
        <v>PROFESSOR DE ENSINO SUPERIOR EAD</v>
      </c>
      <c r="F649" s="3" t="s">
        <v>38</v>
      </c>
      <c r="G649" s="3">
        <v>1</v>
      </c>
      <c r="H649" s="3" t="s">
        <v>55</v>
      </c>
      <c r="I649" s="3" t="s">
        <v>33</v>
      </c>
      <c r="J649" s="3" t="s">
        <v>1452</v>
      </c>
      <c r="K649" s="3"/>
      <c r="L649" s="19"/>
    </row>
    <row r="650" spans="1:12">
      <c r="A650" s="3" t="s">
        <v>481</v>
      </c>
      <c r="B650" t="str">
        <f>IF(_xlfn.XLOOKUP(A650,PARAMETROS!A:A,PARAMETROS!B:B)=0,"",_xlfn.XLOOKUP(A650,PARAMETROS!A:A,PARAMETROS!B:B))</f>
        <v>012009003816</v>
      </c>
      <c r="C650">
        <f>IF(_xlfn.XLOOKUP(A650,PARAMETROS!A:A,PARAMETROS!C:C)=0,"",_xlfn.XLOOKUP(A650,PARAMETROS!A:A,PARAMETROS!C:C))</f>
        <v>40</v>
      </c>
      <c r="D650">
        <f>IF(_xlfn.XLOOKUP(A650,PARAMETROS!A:A,PARAMETROS!D:D)=0,"",_xlfn.XLOOKUP(A650,PARAMETROS!A:A,PARAMETROS!D:D))</f>
        <v>4</v>
      </c>
      <c r="E650" t="str">
        <f>IF(_xlfn.XLOOKUP('PREENCHIMENTO|LETIVAS'!A650,PARAMETROS!A:A,PARAMETROS!I:I)=0,"",_xlfn.XLOOKUP('PREENCHIMENTO|LETIVAS'!A650,PARAMETROS!A:A,PARAMETROS!I:I))</f>
        <v>PROFESSOR DE ENSINO SUPERIOR EAD</v>
      </c>
      <c r="F650" s="3" t="s">
        <v>38</v>
      </c>
      <c r="G650" s="3">
        <v>2</v>
      </c>
      <c r="H650" s="3" t="s">
        <v>39</v>
      </c>
      <c r="I650" s="3" t="s">
        <v>40</v>
      </c>
      <c r="J650" s="3" t="s">
        <v>868</v>
      </c>
      <c r="K650" s="3"/>
      <c r="L650" s="19"/>
    </row>
    <row r="651" spans="1:12">
      <c r="A651" s="3" t="s">
        <v>221</v>
      </c>
      <c r="B651" t="str">
        <f>IF(_xlfn.XLOOKUP(A651,PARAMETROS!A:A,PARAMETROS!B:B)=0,"",_xlfn.XLOOKUP(A651,PARAMETROS!A:A,PARAMETROS!B:B))</f>
        <v>012009003393</v>
      </c>
      <c r="C651">
        <f>IF(_xlfn.XLOOKUP(A651,PARAMETROS!A:A,PARAMETROS!C:C)=0,"",_xlfn.XLOOKUP(A651,PARAMETROS!A:A,PARAMETROS!C:C))</f>
        <v>40</v>
      </c>
      <c r="D651">
        <f>IF(_xlfn.XLOOKUP(A651,PARAMETROS!A:A,PARAMETROS!D:D)=0,"",_xlfn.XLOOKUP(A651,PARAMETROS!A:A,PARAMETROS!D:D))</f>
        <v>4</v>
      </c>
      <c r="E651" t="str">
        <f>IF(_xlfn.XLOOKUP('PREENCHIMENTO|LETIVAS'!A651,PARAMETROS!A:A,PARAMETROS!I:I)=0,"",_xlfn.XLOOKUP('PREENCHIMENTO|LETIVAS'!A651,PARAMETROS!A:A,PARAMETROS!I:I))</f>
        <v>PROFESSOR DE ENSINO SUPERIOR EAD</v>
      </c>
      <c r="F651" s="3" t="s">
        <v>38</v>
      </c>
      <c r="G651" s="3">
        <v>2</v>
      </c>
      <c r="H651" s="3" t="s">
        <v>55</v>
      </c>
      <c r="I651" s="3" t="s">
        <v>40</v>
      </c>
      <c r="J651" s="3" t="s">
        <v>1453</v>
      </c>
      <c r="K651" s="3"/>
      <c r="L651" s="19"/>
    </row>
    <row r="652" spans="1:12">
      <c r="A652" s="3" t="s">
        <v>221</v>
      </c>
      <c r="B652" t="str">
        <f>IF(_xlfn.XLOOKUP(A652,PARAMETROS!A:A,PARAMETROS!B:B)=0,"",_xlfn.XLOOKUP(A652,PARAMETROS!A:A,PARAMETROS!B:B))</f>
        <v>012009003393</v>
      </c>
      <c r="C652">
        <f>IF(_xlfn.XLOOKUP(A652,PARAMETROS!A:A,PARAMETROS!C:C)=0,"",_xlfn.XLOOKUP(A652,PARAMETROS!A:A,PARAMETROS!C:C))</f>
        <v>40</v>
      </c>
      <c r="D652">
        <f>IF(_xlfn.XLOOKUP(A652,PARAMETROS!A:A,PARAMETROS!D:D)=0,"",_xlfn.XLOOKUP(A652,PARAMETROS!A:A,PARAMETROS!D:D))</f>
        <v>4</v>
      </c>
      <c r="E652" t="str">
        <f>IF(_xlfn.XLOOKUP('PREENCHIMENTO|LETIVAS'!A652,PARAMETROS!A:A,PARAMETROS!I:I)=0,"",_xlfn.XLOOKUP('PREENCHIMENTO|LETIVAS'!A652,PARAMETROS!A:A,PARAMETROS!I:I))</f>
        <v>PROFESSOR DE ENSINO SUPERIOR EAD</v>
      </c>
      <c r="F652" s="3" t="s">
        <v>38</v>
      </c>
      <c r="G652" s="3">
        <v>2</v>
      </c>
      <c r="H652" s="3" t="s">
        <v>55</v>
      </c>
      <c r="I652" s="3" t="s">
        <v>33</v>
      </c>
      <c r="J652" s="3" t="s">
        <v>1454</v>
      </c>
      <c r="K652" s="3"/>
      <c r="L652" s="19"/>
    </row>
    <row r="653" spans="1:12">
      <c r="A653" s="3" t="s">
        <v>671</v>
      </c>
      <c r="B653" t="str">
        <f>IF(_xlfn.XLOOKUP(A653,PARAMETROS!A:A,PARAMETROS!B:B)=0,"",_xlfn.XLOOKUP(A653,PARAMETROS!A:A,PARAMETROS!B:B))</f>
        <v>012009003546</v>
      </c>
      <c r="C653" t="str">
        <f>IF(_xlfn.XLOOKUP(A653,PARAMETROS!A:A,PARAMETROS!C:C)=0,"",_xlfn.XLOOKUP(A653,PARAMETROS!A:A,PARAMETROS!C:C))</f>
        <v/>
      </c>
      <c r="D653" t="str">
        <f>IF(_xlfn.XLOOKUP(A653,PARAMETROS!A:A,PARAMETROS!D:D)=0,"",_xlfn.XLOOKUP(A653,PARAMETROS!A:A,PARAMETROS!D:D))</f>
        <v/>
      </c>
      <c r="E653" t="str">
        <f>IF(_xlfn.XLOOKUP('PREENCHIMENTO|LETIVAS'!A653,PARAMETROS!A:A,PARAMETROS!I:I)=0,"",_xlfn.XLOOKUP('PREENCHIMENTO|LETIVAS'!A653,PARAMETROS!A:A,PARAMETROS!I:I))</f>
        <v>PROFESSOR DE ENSINO SUPERIOR PRESENCIAL</v>
      </c>
      <c r="F653" s="3" t="s">
        <v>38</v>
      </c>
      <c r="G653" s="3">
        <v>2</v>
      </c>
      <c r="H653" s="3" t="s">
        <v>39</v>
      </c>
      <c r="I653" s="3" t="s">
        <v>40</v>
      </c>
      <c r="J653" s="3" t="s">
        <v>1455</v>
      </c>
      <c r="K653" s="3"/>
      <c r="L653" s="19"/>
    </row>
    <row r="654" spans="1:12">
      <c r="A654" s="3" t="s">
        <v>423</v>
      </c>
      <c r="B654" t="str">
        <f>IF(_xlfn.XLOOKUP(A654,PARAMETROS!A:A,PARAMETROS!B:B)=0,"",_xlfn.XLOOKUP(A654,PARAMETROS!A:A,PARAMETROS!B:B))</f>
        <v>012009006132</v>
      </c>
      <c r="C654">
        <f>IF(_xlfn.XLOOKUP(A654,PARAMETROS!A:A,PARAMETROS!C:C)=0,"",_xlfn.XLOOKUP(A654,PARAMETROS!A:A,PARAMETROS!C:C))</f>
        <v>40</v>
      </c>
      <c r="D654">
        <f>IF(_xlfn.XLOOKUP(A654,PARAMETROS!A:A,PARAMETROS!D:D)=0,"",_xlfn.XLOOKUP(A654,PARAMETROS!A:A,PARAMETROS!D:D))</f>
        <v>4</v>
      </c>
      <c r="E654" t="str">
        <f>IF(_xlfn.XLOOKUP('PREENCHIMENTO|LETIVAS'!A654,PARAMETROS!A:A,PARAMETROS!I:I)=0,"",_xlfn.XLOOKUP('PREENCHIMENTO|LETIVAS'!A654,PARAMETROS!A:A,PARAMETROS!I:I))</f>
        <v>PROFESSOR DE ENSINO SUPERIOR EAD</v>
      </c>
      <c r="F654" s="3" t="s">
        <v>38</v>
      </c>
      <c r="G654" s="3">
        <v>2</v>
      </c>
      <c r="H654" s="3" t="s">
        <v>39</v>
      </c>
      <c r="I654" s="3" t="s">
        <v>40</v>
      </c>
      <c r="J654" s="3" t="s">
        <v>1456</v>
      </c>
      <c r="K654" s="3"/>
      <c r="L654" s="19"/>
    </row>
    <row r="655" spans="1:12">
      <c r="A655" s="3" t="s">
        <v>620</v>
      </c>
      <c r="B655" t="str">
        <f>IF(_xlfn.XLOOKUP(A655,PARAMETROS!A:A,PARAMETROS!B:B)=0,"",_xlfn.XLOOKUP(A655,PARAMETROS!A:A,PARAMETROS!B:B))</f>
        <v>012009006322</v>
      </c>
      <c r="C655">
        <f>IF(_xlfn.XLOOKUP(A655,PARAMETROS!A:A,PARAMETROS!C:C)=0,"",_xlfn.XLOOKUP(A655,PARAMETROS!A:A,PARAMETROS!C:C))</f>
        <v>12</v>
      </c>
      <c r="D655">
        <f>IF(_xlfn.XLOOKUP(A655,PARAMETROS!A:A,PARAMETROS!D:D)=0,"",_xlfn.XLOOKUP(A655,PARAMETROS!A:A,PARAMETROS!D:D))</f>
        <v>9</v>
      </c>
      <c r="E655" t="str">
        <f>IF(_xlfn.XLOOKUP('PREENCHIMENTO|LETIVAS'!A655,PARAMETROS!A:A,PARAMETROS!I:I)=0,"",_xlfn.XLOOKUP('PREENCHIMENTO|LETIVAS'!A655,PARAMETROS!A:A,PARAMETROS!I:I))</f>
        <v>PROFESSOR REGENTE</v>
      </c>
      <c r="F655" s="3" t="s">
        <v>38</v>
      </c>
      <c r="G655" s="3">
        <v>2</v>
      </c>
      <c r="H655" s="3" t="s">
        <v>55</v>
      </c>
      <c r="I655" s="3" t="s">
        <v>40</v>
      </c>
      <c r="J655" s="3" t="s">
        <v>1457</v>
      </c>
      <c r="K655" s="3"/>
      <c r="L655" s="19"/>
    </row>
    <row r="656" spans="1:12">
      <c r="A656" s="3" t="s">
        <v>620</v>
      </c>
      <c r="B656" t="str">
        <f>IF(_xlfn.XLOOKUP(A656,PARAMETROS!A:A,PARAMETROS!B:B)=0,"",_xlfn.XLOOKUP(A656,PARAMETROS!A:A,PARAMETROS!B:B))</f>
        <v>012009006322</v>
      </c>
      <c r="C656">
        <f>IF(_xlfn.XLOOKUP(A656,PARAMETROS!A:A,PARAMETROS!C:C)=0,"",_xlfn.XLOOKUP(A656,PARAMETROS!A:A,PARAMETROS!C:C))</f>
        <v>12</v>
      </c>
      <c r="D656">
        <f>IF(_xlfn.XLOOKUP(A656,PARAMETROS!A:A,PARAMETROS!D:D)=0,"",_xlfn.XLOOKUP(A656,PARAMETROS!A:A,PARAMETROS!D:D))</f>
        <v>9</v>
      </c>
      <c r="E656" t="str">
        <f>IF(_xlfn.XLOOKUP('PREENCHIMENTO|LETIVAS'!A656,PARAMETROS!A:A,PARAMETROS!I:I)=0,"",_xlfn.XLOOKUP('PREENCHIMENTO|LETIVAS'!A656,PARAMETROS!A:A,PARAMETROS!I:I))</f>
        <v>PROFESSOR REGENTE</v>
      </c>
      <c r="F656" s="3" t="s">
        <v>38</v>
      </c>
      <c r="G656" s="3">
        <v>1</v>
      </c>
      <c r="H656" s="3" t="s">
        <v>39</v>
      </c>
      <c r="I656" s="3" t="s">
        <v>40</v>
      </c>
      <c r="J656" s="21" t="s">
        <v>1457</v>
      </c>
      <c r="K656" s="3"/>
      <c r="L656" s="19"/>
    </row>
    <row r="657" spans="1:12">
      <c r="A657" s="3" t="s">
        <v>279</v>
      </c>
      <c r="B657" t="str">
        <f>IF(_xlfn.XLOOKUP(A657,PARAMETROS!A:A,PARAMETROS!B:B)=0,"",_xlfn.XLOOKUP(A657,PARAMETROS!A:A,PARAMETROS!B:B))</f>
        <v>012009006189</v>
      </c>
      <c r="C657">
        <f>IF(_xlfn.XLOOKUP(A657,PARAMETROS!A:A,PARAMETROS!C:C)=0,"",_xlfn.XLOOKUP(A657,PARAMETROS!A:A,PARAMETROS!C:C))</f>
        <v>12</v>
      </c>
      <c r="D657">
        <f>IF(_xlfn.XLOOKUP(A657,PARAMETROS!A:A,PARAMETROS!D:D)=0,"",_xlfn.XLOOKUP(A657,PARAMETROS!A:A,PARAMETROS!D:D))</f>
        <v>9</v>
      </c>
      <c r="E657" t="str">
        <f>IF(_xlfn.XLOOKUP('PREENCHIMENTO|LETIVAS'!A657,PARAMETROS!A:A,PARAMETROS!I:I)=0,"",_xlfn.XLOOKUP('PREENCHIMENTO|LETIVAS'!A657,PARAMETROS!A:A,PARAMETROS!I:I))</f>
        <v>PROFESSOR REGENTE</v>
      </c>
      <c r="F657" s="3" t="s">
        <v>38</v>
      </c>
      <c r="G657" s="3">
        <v>2</v>
      </c>
      <c r="H657" s="3" t="s">
        <v>55</v>
      </c>
      <c r="I657" s="3" t="s">
        <v>33</v>
      </c>
      <c r="J657" s="3" t="s">
        <v>1458</v>
      </c>
      <c r="K657" s="3"/>
      <c r="L657" s="19"/>
    </row>
    <row r="658" spans="1:12">
      <c r="A658" s="3" t="s">
        <v>577</v>
      </c>
      <c r="B658" t="str">
        <f>IF(_xlfn.XLOOKUP(A658,PARAMETROS!A:A,PARAMETROS!B:B)=0,"",_xlfn.XLOOKUP(A658,PARAMETROS!A:A,PARAMETROS!B:B))</f>
        <v>012009006248</v>
      </c>
      <c r="C658">
        <f>IF(_xlfn.XLOOKUP(A658,PARAMETROS!A:A,PARAMETROS!C:C)=0,"",_xlfn.XLOOKUP(A658,PARAMETROS!A:A,PARAMETROS!C:C))</f>
        <v>12</v>
      </c>
      <c r="D658">
        <f>IF(_xlfn.XLOOKUP(A658,PARAMETROS!A:A,PARAMETROS!D:D)=0,"",_xlfn.XLOOKUP(A658,PARAMETROS!A:A,PARAMETROS!D:D))</f>
        <v>9</v>
      </c>
      <c r="E658" t="str">
        <f>IF(_xlfn.XLOOKUP('PREENCHIMENTO|LETIVAS'!A658,PARAMETROS!A:A,PARAMETROS!I:I)=0,"",_xlfn.XLOOKUP('PREENCHIMENTO|LETIVAS'!A658,PARAMETROS!A:A,PARAMETROS!I:I))</f>
        <v>PROFESSOR REGENTE</v>
      </c>
      <c r="F658" s="3" t="s">
        <v>38</v>
      </c>
      <c r="G658" s="3">
        <v>2</v>
      </c>
      <c r="H658" s="3" t="s">
        <v>63</v>
      </c>
      <c r="I658" s="3" t="s">
        <v>40</v>
      </c>
      <c r="J658" s="3" t="s">
        <v>1459</v>
      </c>
      <c r="K658" s="3"/>
      <c r="L658" s="19"/>
    </row>
    <row r="659" spans="1:12">
      <c r="A659" s="3" t="s">
        <v>577</v>
      </c>
      <c r="B659" t="str">
        <f>IF(_xlfn.XLOOKUP(A659,PARAMETROS!A:A,PARAMETROS!B:B)=0,"",_xlfn.XLOOKUP(A659,PARAMETROS!A:A,PARAMETROS!B:B))</f>
        <v>012009006248</v>
      </c>
      <c r="C659">
        <f>IF(_xlfn.XLOOKUP(A659,PARAMETROS!A:A,PARAMETROS!C:C)=0,"",_xlfn.XLOOKUP(A659,PARAMETROS!A:A,PARAMETROS!C:C))</f>
        <v>12</v>
      </c>
      <c r="D659">
        <f>IF(_xlfn.XLOOKUP(A659,PARAMETROS!A:A,PARAMETROS!D:D)=0,"",_xlfn.XLOOKUP(A659,PARAMETROS!A:A,PARAMETROS!D:D))</f>
        <v>9</v>
      </c>
      <c r="E659" t="str">
        <f>IF(_xlfn.XLOOKUP('PREENCHIMENTO|LETIVAS'!A659,PARAMETROS!A:A,PARAMETROS!I:I)=0,"",_xlfn.XLOOKUP('PREENCHIMENTO|LETIVAS'!A659,PARAMETROS!A:A,PARAMETROS!I:I))</f>
        <v>PROFESSOR REGENTE</v>
      </c>
      <c r="F659" s="3" t="s">
        <v>38</v>
      </c>
      <c r="G659" s="3">
        <v>2</v>
      </c>
      <c r="H659" s="3" t="s">
        <v>63</v>
      </c>
      <c r="I659" s="3" t="s">
        <v>33</v>
      </c>
      <c r="J659" s="3" t="s">
        <v>1460</v>
      </c>
      <c r="K659" s="3"/>
      <c r="L659" s="19"/>
    </row>
    <row r="660" spans="1:12">
      <c r="A660" s="3" t="s">
        <v>580</v>
      </c>
      <c r="B660" t="str">
        <f>IF(_xlfn.XLOOKUP(A660,PARAMETROS!A:A,PARAMETROS!B:B)=0,"",_xlfn.XLOOKUP(A660,PARAMETROS!A:A,PARAMETROS!B:B))</f>
        <v>012009006249</v>
      </c>
      <c r="C660">
        <f>IF(_xlfn.XLOOKUP(A660,PARAMETROS!A:A,PARAMETROS!C:C)=0,"",_xlfn.XLOOKUP(A660,PARAMETROS!A:A,PARAMETROS!C:C))</f>
        <v>12</v>
      </c>
      <c r="D660">
        <f>IF(_xlfn.XLOOKUP(A660,PARAMETROS!A:A,PARAMETROS!D:D)=0,"",_xlfn.XLOOKUP(A660,PARAMETROS!A:A,PARAMETROS!D:D))</f>
        <v>9</v>
      </c>
      <c r="E660" t="str">
        <f>IF(_xlfn.XLOOKUP('PREENCHIMENTO|LETIVAS'!A660,PARAMETROS!A:A,PARAMETROS!I:I)=0,"",_xlfn.XLOOKUP('PREENCHIMENTO|LETIVAS'!A660,PARAMETROS!A:A,PARAMETROS!I:I))</f>
        <v>PROFESSOR REGENTE</v>
      </c>
      <c r="F660" s="3" t="s">
        <v>38</v>
      </c>
      <c r="G660" s="3" t="s">
        <v>54</v>
      </c>
      <c r="H660" s="3" t="s">
        <v>55</v>
      </c>
      <c r="I660" s="3" t="s">
        <v>33</v>
      </c>
      <c r="J660" s="3" t="s">
        <v>1461</v>
      </c>
      <c r="K660" s="3"/>
      <c r="L660" s="19"/>
    </row>
    <row r="661" spans="1:12">
      <c r="A661" s="3" t="s">
        <v>580</v>
      </c>
      <c r="B661" t="str">
        <f>IF(_xlfn.XLOOKUP(A661,PARAMETROS!A:A,PARAMETROS!B:B)=0,"",_xlfn.XLOOKUP(A661,PARAMETROS!A:A,PARAMETROS!B:B))</f>
        <v>012009006249</v>
      </c>
      <c r="C661">
        <f>IF(_xlfn.XLOOKUP(A661,PARAMETROS!A:A,PARAMETROS!C:C)=0,"",_xlfn.XLOOKUP(A661,PARAMETROS!A:A,PARAMETROS!C:C))</f>
        <v>12</v>
      </c>
      <c r="D661">
        <f>IF(_xlfn.XLOOKUP(A661,PARAMETROS!A:A,PARAMETROS!D:D)=0,"",_xlfn.XLOOKUP(A661,PARAMETROS!A:A,PARAMETROS!D:D))</f>
        <v>9</v>
      </c>
      <c r="E661" t="str">
        <f>IF(_xlfn.XLOOKUP('PREENCHIMENTO|LETIVAS'!A661,PARAMETROS!A:A,PARAMETROS!I:I)=0,"",_xlfn.XLOOKUP('PREENCHIMENTO|LETIVAS'!A661,PARAMETROS!A:A,PARAMETROS!I:I))</f>
        <v>PROFESSOR REGENTE</v>
      </c>
      <c r="F661" s="3" t="s">
        <v>38</v>
      </c>
      <c r="G661" s="3" t="s">
        <v>54</v>
      </c>
      <c r="H661" s="3" t="s">
        <v>55</v>
      </c>
      <c r="I661" s="3" t="s">
        <v>40</v>
      </c>
      <c r="J661" s="3" t="s">
        <v>1462</v>
      </c>
      <c r="K661" s="3"/>
      <c r="L661" s="19"/>
    </row>
    <row r="662" spans="1:12">
      <c r="A662" s="3" t="s">
        <v>340</v>
      </c>
      <c r="B662" t="str">
        <f>IF(_xlfn.XLOOKUP(A662,PARAMETROS!A:A,PARAMETROS!B:B)=0,"",_xlfn.XLOOKUP(A662,PARAMETROS!A:A,PARAMETROS!B:B))</f>
        <v>012009003508</v>
      </c>
      <c r="C662">
        <f>IF(_xlfn.XLOOKUP(A662,PARAMETROS!A:A,PARAMETROS!C:C)=0,"",_xlfn.XLOOKUP(A662,PARAMETROS!A:A,PARAMETROS!C:C))</f>
        <v>20</v>
      </c>
      <c r="D662">
        <f>IF(_xlfn.XLOOKUP(A662,PARAMETROS!A:A,PARAMETROS!D:D)=0,"",_xlfn.XLOOKUP(A662,PARAMETROS!A:A,PARAMETROS!D:D))</f>
        <v>2</v>
      </c>
      <c r="E662" t="str">
        <f>IF(_xlfn.XLOOKUP('PREENCHIMENTO|LETIVAS'!A662,PARAMETROS!A:A,PARAMETROS!I:I)=0,"",_xlfn.XLOOKUP('PREENCHIMENTO|LETIVAS'!A662,PARAMETROS!A:A,PARAMETROS!I:I))</f>
        <v>PROFESSOR DE ENSINO SUPERIOR EAD</v>
      </c>
      <c r="F662" s="3" t="s">
        <v>38</v>
      </c>
      <c r="G662" s="3">
        <v>1</v>
      </c>
      <c r="H662" s="3" t="s">
        <v>63</v>
      </c>
      <c r="I662" s="3" t="s">
        <v>40</v>
      </c>
      <c r="J662" s="3" t="s">
        <v>1463</v>
      </c>
      <c r="K662" s="3"/>
      <c r="L662" s="19"/>
    </row>
    <row r="663" spans="1:12">
      <c r="A663" s="3" t="s">
        <v>340</v>
      </c>
      <c r="B663" t="str">
        <f>IF(_xlfn.XLOOKUP(A663,PARAMETROS!A:A,PARAMETROS!B:B)=0,"",_xlfn.XLOOKUP(A663,PARAMETROS!A:A,PARAMETROS!B:B))</f>
        <v>012009003508</v>
      </c>
      <c r="C663">
        <f>IF(_xlfn.XLOOKUP(A663,PARAMETROS!A:A,PARAMETROS!C:C)=0,"",_xlfn.XLOOKUP(A663,PARAMETROS!A:A,PARAMETROS!C:C))</f>
        <v>20</v>
      </c>
      <c r="D663">
        <f>IF(_xlfn.XLOOKUP(A663,PARAMETROS!A:A,PARAMETROS!D:D)=0,"",_xlfn.XLOOKUP(A663,PARAMETROS!A:A,PARAMETROS!D:D))</f>
        <v>2</v>
      </c>
      <c r="E663" t="str">
        <f>IF(_xlfn.XLOOKUP('PREENCHIMENTO|LETIVAS'!A663,PARAMETROS!A:A,PARAMETROS!I:I)=0,"",_xlfn.XLOOKUP('PREENCHIMENTO|LETIVAS'!A663,PARAMETROS!A:A,PARAMETROS!I:I))</f>
        <v>PROFESSOR DE ENSINO SUPERIOR EAD</v>
      </c>
      <c r="F663" s="3" t="s">
        <v>38</v>
      </c>
      <c r="G663" s="3">
        <v>2</v>
      </c>
      <c r="H663" s="3" t="s">
        <v>63</v>
      </c>
      <c r="I663" s="3" t="s">
        <v>40</v>
      </c>
      <c r="J663" s="3" t="s">
        <v>1464</v>
      </c>
      <c r="K663" s="3"/>
      <c r="L663" s="19"/>
    </row>
    <row r="664" spans="1:12">
      <c r="A664" s="3" t="s">
        <v>462</v>
      </c>
      <c r="B664" t="str">
        <f>IF(_xlfn.XLOOKUP(A664,PARAMETROS!A:A,PARAMETROS!B:B)=0,"",_xlfn.XLOOKUP(A664,PARAMETROS!A:A,PARAMETROS!B:B))</f>
        <v>012009003803</v>
      </c>
      <c r="C664">
        <f>IF(_xlfn.XLOOKUP(A664,PARAMETROS!A:A,PARAMETROS!C:C)=0,"",_xlfn.XLOOKUP(A664,PARAMETROS!A:A,PARAMETROS!C:C))</f>
        <v>20</v>
      </c>
      <c r="D664">
        <f>IF(_xlfn.XLOOKUP(A664,PARAMETROS!A:A,PARAMETROS!D:D)=0,"",_xlfn.XLOOKUP(A664,PARAMETROS!A:A,PARAMETROS!D:D))</f>
        <v>2</v>
      </c>
      <c r="E664" t="str">
        <f>IF(_xlfn.XLOOKUP('PREENCHIMENTO|LETIVAS'!A664,PARAMETROS!A:A,PARAMETROS!I:I)=0,"",_xlfn.XLOOKUP('PREENCHIMENTO|LETIVAS'!A664,PARAMETROS!A:A,PARAMETROS!I:I))</f>
        <v>PROFESSOR DE ENSINO SUPERIOR EAD</v>
      </c>
      <c r="F664" s="3" t="s">
        <v>38</v>
      </c>
      <c r="G664" s="3">
        <v>2</v>
      </c>
      <c r="H664" s="3" t="s">
        <v>63</v>
      </c>
      <c r="I664" s="3" t="s">
        <v>40</v>
      </c>
      <c r="J664" s="3" t="s">
        <v>1465</v>
      </c>
      <c r="K664" s="3"/>
      <c r="L664" s="19"/>
    </row>
    <row r="665" spans="1:12">
      <c r="A665" s="3" t="s">
        <v>462</v>
      </c>
      <c r="B665" t="str">
        <f>IF(_xlfn.XLOOKUP(A665,PARAMETROS!A:A,PARAMETROS!B:B)=0,"",_xlfn.XLOOKUP(A665,PARAMETROS!A:A,PARAMETROS!B:B))</f>
        <v>012009003803</v>
      </c>
      <c r="C665">
        <f>IF(_xlfn.XLOOKUP(A665,PARAMETROS!A:A,PARAMETROS!C:C)=0,"",_xlfn.XLOOKUP(A665,PARAMETROS!A:A,PARAMETROS!C:C))</f>
        <v>20</v>
      </c>
      <c r="D665">
        <f>IF(_xlfn.XLOOKUP(A665,PARAMETROS!A:A,PARAMETROS!D:D)=0,"",_xlfn.XLOOKUP(A665,PARAMETROS!A:A,PARAMETROS!D:D))</f>
        <v>2</v>
      </c>
      <c r="E665" t="str">
        <f>IF(_xlfn.XLOOKUP('PREENCHIMENTO|LETIVAS'!A665,PARAMETROS!A:A,PARAMETROS!I:I)=0,"",_xlfn.XLOOKUP('PREENCHIMENTO|LETIVAS'!A665,PARAMETROS!A:A,PARAMETROS!I:I))</f>
        <v>PROFESSOR DE ENSINO SUPERIOR EAD</v>
      </c>
      <c r="F665" s="3" t="s">
        <v>38</v>
      </c>
      <c r="G665" s="3">
        <v>1</v>
      </c>
      <c r="H665" s="3" t="s">
        <v>63</v>
      </c>
      <c r="I665" s="3" t="s">
        <v>40</v>
      </c>
      <c r="J665" s="3" t="s">
        <v>1466</v>
      </c>
      <c r="K665" s="3"/>
      <c r="L665" s="19"/>
    </row>
    <row r="666" spans="1:12">
      <c r="A666" s="3" t="s">
        <v>79</v>
      </c>
      <c r="B666" t="str">
        <f>IF(_xlfn.XLOOKUP(A666,PARAMETROS!A:A,PARAMETROS!B:B)=0,"",_xlfn.XLOOKUP(A666,PARAMETROS!A:A,PARAMETROS!B:B))</f>
        <v>012009005709</v>
      </c>
      <c r="C666">
        <f>IF(_xlfn.XLOOKUP(A666,PARAMETROS!A:A,PARAMETROS!C:C)=0,"",_xlfn.XLOOKUP(A666,PARAMETROS!A:A,PARAMETROS!C:C))</f>
        <v>20</v>
      </c>
      <c r="D666">
        <f>IF(_xlfn.XLOOKUP(A666,PARAMETROS!A:A,PARAMETROS!D:D)=0,"",_xlfn.XLOOKUP(A666,PARAMETROS!A:A,PARAMETROS!D:D))</f>
        <v>2</v>
      </c>
      <c r="E666" t="str">
        <f>IF(_xlfn.XLOOKUP('PREENCHIMENTO|LETIVAS'!A666,PARAMETROS!A:A,PARAMETROS!I:I)=0,"",_xlfn.XLOOKUP('PREENCHIMENTO|LETIVAS'!A666,PARAMETROS!A:A,PARAMETROS!I:I))</f>
        <v>PROFESSOR DE ENSINO SUPERIOR EAD</v>
      </c>
      <c r="F666" s="3" t="s">
        <v>38</v>
      </c>
      <c r="G666" s="3">
        <v>1</v>
      </c>
      <c r="H666" s="3" t="s">
        <v>63</v>
      </c>
      <c r="I666" s="3" t="s">
        <v>33</v>
      </c>
      <c r="J666" s="3" t="s">
        <v>1467</v>
      </c>
      <c r="K666" s="3"/>
      <c r="L666" s="19"/>
    </row>
    <row r="667" spans="1:12">
      <c r="A667" s="3" t="s">
        <v>315</v>
      </c>
      <c r="B667" t="str">
        <f>IF(_xlfn.XLOOKUP(A667,PARAMETROS!A:A,PARAMETROS!B:B)=0,"",_xlfn.XLOOKUP(A667,PARAMETROS!A:A,PARAMETROS!B:B))</f>
        <v>012009004198</v>
      </c>
      <c r="C667">
        <f>IF(_xlfn.XLOOKUP(A667,PARAMETROS!A:A,PARAMETROS!C:C)=0,"",_xlfn.XLOOKUP(A667,PARAMETROS!A:A,PARAMETROS!C:C))</f>
        <v>20</v>
      </c>
      <c r="D667">
        <f>IF(_xlfn.XLOOKUP(A667,PARAMETROS!A:A,PARAMETROS!D:D)=0,"",_xlfn.XLOOKUP(A667,PARAMETROS!A:A,PARAMETROS!D:D))</f>
        <v>2</v>
      </c>
      <c r="E667" t="str">
        <f>IF(_xlfn.XLOOKUP('PREENCHIMENTO|LETIVAS'!A667,PARAMETROS!A:A,PARAMETROS!I:I)=0,"",_xlfn.XLOOKUP('PREENCHIMENTO|LETIVAS'!A667,PARAMETROS!A:A,PARAMETROS!I:I))</f>
        <v>PROFESSOR DE ENSINO SUPERIOR EAD</v>
      </c>
      <c r="F667" s="3" t="s">
        <v>38</v>
      </c>
      <c r="G667" s="3">
        <v>2</v>
      </c>
      <c r="H667" s="3" t="s">
        <v>63</v>
      </c>
      <c r="I667" s="3" t="s">
        <v>33</v>
      </c>
      <c r="J667" s="3" t="s">
        <v>1468</v>
      </c>
      <c r="K667" s="3"/>
      <c r="L667" s="19"/>
    </row>
    <row r="668" spans="1:12">
      <c r="A668" s="3" t="s">
        <v>321</v>
      </c>
      <c r="B668" t="str">
        <f>IF(_xlfn.XLOOKUP(A668,PARAMETROS!A:A,PARAMETROS!B:B)=0,"",_xlfn.XLOOKUP(A668,PARAMETROS!A:A,PARAMETROS!B:B))</f>
        <v>012009003978</v>
      </c>
      <c r="C668">
        <f>IF(_xlfn.XLOOKUP(A668,PARAMETROS!A:A,PARAMETROS!C:C)=0,"",_xlfn.XLOOKUP(A668,PARAMETROS!A:A,PARAMETROS!C:C))</f>
        <v>40</v>
      </c>
      <c r="D668">
        <f>IF(_xlfn.XLOOKUP(A668,PARAMETROS!A:A,PARAMETROS!D:D)=0,"",_xlfn.XLOOKUP(A668,PARAMETROS!A:A,PARAMETROS!D:D))</f>
        <v>4</v>
      </c>
      <c r="E668" t="str">
        <f>IF(_xlfn.XLOOKUP('PREENCHIMENTO|LETIVAS'!A668,PARAMETROS!A:A,PARAMETROS!I:I)=0,"",_xlfn.XLOOKUP('PREENCHIMENTO|LETIVAS'!A668,PARAMETROS!A:A,PARAMETROS!I:I))</f>
        <v>PROFESSOR DE ENSINO SUPERIOR EAD</v>
      </c>
      <c r="F668" s="3" t="s">
        <v>38</v>
      </c>
      <c r="G668" s="3">
        <v>1</v>
      </c>
      <c r="H668" s="3" t="s">
        <v>32</v>
      </c>
      <c r="I668" s="3" t="s">
        <v>40</v>
      </c>
      <c r="J668" s="3" t="s">
        <v>1469</v>
      </c>
      <c r="K668" s="3"/>
      <c r="L668" s="19"/>
    </row>
    <row r="669" spans="1:12">
      <c r="A669" s="3" t="s">
        <v>321</v>
      </c>
      <c r="B669" t="str">
        <f>IF(_xlfn.XLOOKUP(A669,PARAMETROS!A:A,PARAMETROS!B:B)=0,"",_xlfn.XLOOKUP(A669,PARAMETROS!A:A,PARAMETROS!B:B))</f>
        <v>012009003978</v>
      </c>
      <c r="C669">
        <f>IF(_xlfn.XLOOKUP(A669,PARAMETROS!A:A,PARAMETROS!C:C)=0,"",_xlfn.XLOOKUP(A669,PARAMETROS!A:A,PARAMETROS!C:C))</f>
        <v>40</v>
      </c>
      <c r="D669">
        <f>IF(_xlfn.XLOOKUP(A669,PARAMETROS!A:A,PARAMETROS!D:D)=0,"",_xlfn.XLOOKUP(A669,PARAMETROS!A:A,PARAMETROS!D:D))</f>
        <v>4</v>
      </c>
      <c r="E669" t="str">
        <f>IF(_xlfn.XLOOKUP('PREENCHIMENTO|LETIVAS'!A669,PARAMETROS!A:A,PARAMETROS!I:I)=0,"",_xlfn.XLOOKUP('PREENCHIMENTO|LETIVAS'!A669,PARAMETROS!A:A,PARAMETROS!I:I))</f>
        <v>PROFESSOR DE ENSINO SUPERIOR EAD</v>
      </c>
      <c r="F669" s="3" t="s">
        <v>38</v>
      </c>
      <c r="G669" s="3">
        <v>2</v>
      </c>
      <c r="H669" s="3" t="s">
        <v>32</v>
      </c>
      <c r="I669" s="3" t="s">
        <v>40</v>
      </c>
      <c r="J669" s="3" t="s">
        <v>1470</v>
      </c>
      <c r="K669" s="3"/>
      <c r="L669" s="19"/>
    </row>
    <row r="670" spans="1:12">
      <c r="A670" s="3" t="s">
        <v>626</v>
      </c>
      <c r="B670" t="str">
        <f>IF(_xlfn.XLOOKUP(A670,PARAMETROS!A:A,PARAMETROS!B:B)=0,"",_xlfn.XLOOKUP(A670,PARAMETROS!A:A,PARAMETROS!B:B))</f>
        <v>012009006277</v>
      </c>
      <c r="C670">
        <f>IF(_xlfn.XLOOKUP(A670,PARAMETROS!A:A,PARAMETROS!C:C)=0,"",_xlfn.XLOOKUP(A670,PARAMETROS!A:A,PARAMETROS!C:C))</f>
        <v>12</v>
      </c>
      <c r="D670">
        <f>IF(_xlfn.XLOOKUP(A670,PARAMETROS!A:A,PARAMETROS!D:D)=0,"",_xlfn.XLOOKUP(A670,PARAMETROS!A:A,PARAMETROS!D:D))</f>
        <v>9</v>
      </c>
      <c r="E670" t="str">
        <f>IF(_xlfn.XLOOKUP('PREENCHIMENTO|LETIVAS'!A670,PARAMETROS!A:A,PARAMETROS!I:I)=0,"",_xlfn.XLOOKUP('PREENCHIMENTO|LETIVAS'!A670,PARAMETROS!A:A,PARAMETROS!I:I))</f>
        <v>PROFESSOR REGENTE</v>
      </c>
      <c r="F670" s="3" t="s">
        <v>38</v>
      </c>
      <c r="G670" s="3">
        <v>1</v>
      </c>
      <c r="H670" s="3" t="s">
        <v>39</v>
      </c>
      <c r="I670" s="3" t="s">
        <v>40</v>
      </c>
      <c r="J670" s="3" t="s">
        <v>1471</v>
      </c>
      <c r="K670" s="3"/>
      <c r="L670" s="19"/>
    </row>
    <row r="671" spans="1:12">
      <c r="A671" s="3" t="s">
        <v>626</v>
      </c>
      <c r="B671" t="str">
        <f>IF(_xlfn.XLOOKUP(A671,PARAMETROS!A:A,PARAMETROS!B:B)=0,"",_xlfn.XLOOKUP(A671,PARAMETROS!A:A,PARAMETROS!B:B))</f>
        <v>012009006277</v>
      </c>
      <c r="C671">
        <f>IF(_xlfn.XLOOKUP(A671,PARAMETROS!A:A,PARAMETROS!C:C)=0,"",_xlfn.XLOOKUP(A671,PARAMETROS!A:A,PARAMETROS!C:C))</f>
        <v>12</v>
      </c>
      <c r="D671">
        <f>IF(_xlfn.XLOOKUP(A671,PARAMETROS!A:A,PARAMETROS!D:D)=0,"",_xlfn.XLOOKUP(A671,PARAMETROS!A:A,PARAMETROS!D:D))</f>
        <v>9</v>
      </c>
      <c r="E671" t="str">
        <f>IF(_xlfn.XLOOKUP('PREENCHIMENTO|LETIVAS'!A671,PARAMETROS!A:A,PARAMETROS!I:I)=0,"",_xlfn.XLOOKUP('PREENCHIMENTO|LETIVAS'!A671,PARAMETROS!A:A,PARAMETROS!I:I))</f>
        <v>PROFESSOR REGENTE</v>
      </c>
      <c r="F671" s="3" t="s">
        <v>38</v>
      </c>
      <c r="G671" s="3">
        <v>2</v>
      </c>
      <c r="H671" s="3" t="s">
        <v>39</v>
      </c>
      <c r="I671" s="3" t="s">
        <v>33</v>
      </c>
      <c r="J671" s="3" t="s">
        <v>1472</v>
      </c>
      <c r="K671" s="3"/>
      <c r="L671" s="19"/>
    </row>
    <row r="672" spans="1:12">
      <c r="A672" s="3" t="s">
        <v>614</v>
      </c>
      <c r="B672" t="str">
        <f>IF(_xlfn.XLOOKUP(A672,PARAMETROS!A:A,PARAMETROS!B:B)=0,"",_xlfn.XLOOKUP(A672,PARAMETROS!A:A,PARAMETROS!B:B))</f>
        <v>012009006307</v>
      </c>
      <c r="C672">
        <f>IF(_xlfn.XLOOKUP(A672,PARAMETROS!A:A,PARAMETROS!C:C)=0,"",_xlfn.XLOOKUP(A672,PARAMETROS!A:A,PARAMETROS!C:C))</f>
        <v>12</v>
      </c>
      <c r="D672">
        <f>IF(_xlfn.XLOOKUP(A672,PARAMETROS!A:A,PARAMETROS!D:D)=0,"",_xlfn.XLOOKUP(A672,PARAMETROS!A:A,PARAMETROS!D:D))</f>
        <v>9</v>
      </c>
      <c r="E672" t="str">
        <f>IF(_xlfn.XLOOKUP('PREENCHIMENTO|LETIVAS'!A672,PARAMETROS!A:A,PARAMETROS!I:I)=0,"",_xlfn.XLOOKUP('PREENCHIMENTO|LETIVAS'!A672,PARAMETROS!A:A,PARAMETROS!I:I))</f>
        <v>PROFESSOR REGENTE</v>
      </c>
      <c r="F672" s="3" t="s">
        <v>38</v>
      </c>
      <c r="G672" s="3">
        <v>2</v>
      </c>
      <c r="H672" s="3" t="s">
        <v>39</v>
      </c>
      <c r="I672" s="3" t="s">
        <v>33</v>
      </c>
      <c r="J672" s="3" t="s">
        <v>1473</v>
      </c>
      <c r="K672" s="3"/>
      <c r="L672" s="19"/>
    </row>
    <row r="673" spans="1:12">
      <c r="A673" s="3" t="s">
        <v>614</v>
      </c>
      <c r="B673" t="str">
        <f>IF(_xlfn.XLOOKUP(A673,PARAMETROS!A:A,PARAMETROS!B:B)=0,"",_xlfn.XLOOKUP(A673,PARAMETROS!A:A,PARAMETROS!B:B))</f>
        <v>012009006307</v>
      </c>
      <c r="C673">
        <f>IF(_xlfn.XLOOKUP(A673,PARAMETROS!A:A,PARAMETROS!C:C)=0,"",_xlfn.XLOOKUP(A673,PARAMETROS!A:A,PARAMETROS!C:C))</f>
        <v>12</v>
      </c>
      <c r="D673">
        <f>IF(_xlfn.XLOOKUP(A673,PARAMETROS!A:A,PARAMETROS!D:D)=0,"",_xlfn.XLOOKUP(A673,PARAMETROS!A:A,PARAMETROS!D:D))</f>
        <v>9</v>
      </c>
      <c r="E673" t="str">
        <f>IF(_xlfn.XLOOKUP('PREENCHIMENTO|LETIVAS'!A673,PARAMETROS!A:A,PARAMETROS!I:I)=0,"",_xlfn.XLOOKUP('PREENCHIMENTO|LETIVAS'!A673,PARAMETROS!A:A,PARAMETROS!I:I))</f>
        <v>PROFESSOR REGENTE</v>
      </c>
      <c r="F673" s="3" t="s">
        <v>38</v>
      </c>
      <c r="G673" s="3">
        <v>2</v>
      </c>
      <c r="H673" s="3" t="s">
        <v>39</v>
      </c>
      <c r="I673" s="3" t="s">
        <v>40</v>
      </c>
      <c r="J673" s="3" t="s">
        <v>1474</v>
      </c>
      <c r="K673" s="3"/>
      <c r="L673" s="19"/>
    </row>
    <row r="674" spans="1:12">
      <c r="A674" s="3" t="s">
        <v>132</v>
      </c>
      <c r="B674" t="str">
        <f>IF(_xlfn.XLOOKUP(A674,PARAMETROS!A:A,PARAMETROS!B:B)=0,"",_xlfn.XLOOKUP(A674,PARAMETROS!A:A,PARAMETROS!B:B))</f>
        <v>012009003470</v>
      </c>
      <c r="C674">
        <f>IF(_xlfn.XLOOKUP(A674,PARAMETROS!A:A,PARAMETROS!C:C)=0,"",_xlfn.XLOOKUP(A674,PARAMETROS!A:A,PARAMETROS!C:C))</f>
        <v>40</v>
      </c>
      <c r="D674">
        <f>IF(_xlfn.XLOOKUP(A674,PARAMETROS!A:A,PARAMETROS!D:D)=0,"",_xlfn.XLOOKUP(A674,PARAMETROS!A:A,PARAMETROS!D:D))</f>
        <v>4</v>
      </c>
      <c r="E674" t="str">
        <f>IF(_xlfn.XLOOKUP('PREENCHIMENTO|LETIVAS'!A674,PARAMETROS!A:A,PARAMETROS!I:I)=0,"",_xlfn.XLOOKUP('PREENCHIMENTO|LETIVAS'!A674,PARAMETROS!A:A,PARAMETROS!I:I))</f>
        <v>PROFESSOR DE ENSINO SUPERIOR EAD</v>
      </c>
      <c r="F674" s="3" t="s">
        <v>38</v>
      </c>
      <c r="G674" s="3">
        <v>1</v>
      </c>
      <c r="H674" s="3" t="s">
        <v>39</v>
      </c>
      <c r="I674" s="3" t="s">
        <v>33</v>
      </c>
      <c r="J674" s="3" t="s">
        <v>1475</v>
      </c>
      <c r="K674" s="3"/>
      <c r="L674" s="19"/>
    </row>
    <row r="675" spans="1:12">
      <c r="A675" s="3" t="s">
        <v>617</v>
      </c>
      <c r="B675" t="str">
        <f>IF(_xlfn.XLOOKUP(A675,PARAMETROS!A:A,PARAMETROS!B:B)=0,"",_xlfn.XLOOKUP(A675,PARAMETROS!A:A,PARAMETROS!B:B))</f>
        <v>012009006315</v>
      </c>
      <c r="C675">
        <f>IF(_xlfn.XLOOKUP(A675,PARAMETROS!A:A,PARAMETROS!C:C)=0,"",_xlfn.XLOOKUP(A675,PARAMETROS!A:A,PARAMETROS!C:C))</f>
        <v>12</v>
      </c>
      <c r="D675">
        <f>IF(_xlfn.XLOOKUP(A675,PARAMETROS!A:A,PARAMETROS!D:D)=0,"",_xlfn.XLOOKUP(A675,PARAMETROS!A:A,PARAMETROS!D:D))</f>
        <v>9</v>
      </c>
      <c r="E675" t="str">
        <f>IF(_xlfn.XLOOKUP('PREENCHIMENTO|LETIVAS'!A675,PARAMETROS!A:A,PARAMETROS!I:I)=0,"",_xlfn.XLOOKUP('PREENCHIMENTO|LETIVAS'!A675,PARAMETROS!A:A,PARAMETROS!I:I))</f>
        <v>PROFESSOR REGENTE</v>
      </c>
      <c r="F675" s="3" t="s">
        <v>38</v>
      </c>
      <c r="G675" s="3">
        <v>1</v>
      </c>
      <c r="H675" s="3" t="s">
        <v>39</v>
      </c>
      <c r="I675" s="3" t="s">
        <v>40</v>
      </c>
      <c r="J675" s="3" t="s">
        <v>1465</v>
      </c>
      <c r="K675" s="3"/>
      <c r="L675" s="19"/>
    </row>
    <row r="676" spans="1:12">
      <c r="A676" s="3" t="s">
        <v>617</v>
      </c>
      <c r="B676" t="str">
        <f>IF(_xlfn.XLOOKUP(A676,PARAMETROS!A:A,PARAMETROS!B:B)=0,"",_xlfn.XLOOKUP(A676,PARAMETROS!A:A,PARAMETROS!B:B))</f>
        <v>012009006315</v>
      </c>
      <c r="C676">
        <f>IF(_xlfn.XLOOKUP(A676,PARAMETROS!A:A,PARAMETROS!C:C)=0,"",_xlfn.XLOOKUP(A676,PARAMETROS!A:A,PARAMETROS!C:C))</f>
        <v>12</v>
      </c>
      <c r="D676">
        <f>IF(_xlfn.XLOOKUP(A676,PARAMETROS!A:A,PARAMETROS!D:D)=0,"",_xlfn.XLOOKUP(A676,PARAMETROS!A:A,PARAMETROS!D:D))</f>
        <v>9</v>
      </c>
      <c r="E676" t="str">
        <f>IF(_xlfn.XLOOKUP('PREENCHIMENTO|LETIVAS'!A676,PARAMETROS!A:A,PARAMETROS!I:I)=0,"",_xlfn.XLOOKUP('PREENCHIMENTO|LETIVAS'!A676,PARAMETROS!A:A,PARAMETROS!I:I))</f>
        <v>PROFESSOR REGENTE</v>
      </c>
      <c r="F676" s="3" t="s">
        <v>38</v>
      </c>
      <c r="G676" s="3">
        <v>1</v>
      </c>
      <c r="H676" s="3" t="s">
        <v>63</v>
      </c>
      <c r="I676" s="3" t="s">
        <v>40</v>
      </c>
      <c r="J676" s="3" t="s">
        <v>1476</v>
      </c>
      <c r="K676" s="3"/>
      <c r="L676" s="19"/>
    </row>
    <row r="677" spans="1:12">
      <c r="A677" s="3" t="s">
        <v>237</v>
      </c>
      <c r="B677" t="str">
        <f>IF(_xlfn.XLOOKUP(A677,PARAMETROS!A:A,PARAMETROS!B:B)=0,"",_xlfn.XLOOKUP(A677,PARAMETROS!A:A,PARAMETROS!B:B))</f>
        <v>012009006182</v>
      </c>
      <c r="C677">
        <f>IF(_xlfn.XLOOKUP(A677,PARAMETROS!A:A,PARAMETROS!C:C)=0,"",_xlfn.XLOOKUP(A677,PARAMETROS!A:A,PARAMETROS!C:C))</f>
        <v>12</v>
      </c>
      <c r="D677">
        <f>IF(_xlfn.XLOOKUP(A677,PARAMETROS!A:A,PARAMETROS!D:D)=0,"",_xlfn.XLOOKUP(A677,PARAMETROS!A:A,PARAMETROS!D:D))</f>
        <v>9</v>
      </c>
      <c r="E677" t="str">
        <f>IF(_xlfn.XLOOKUP('PREENCHIMENTO|LETIVAS'!A677,PARAMETROS!A:A,PARAMETROS!I:I)=0,"",_xlfn.XLOOKUP('PREENCHIMENTO|LETIVAS'!A677,PARAMETROS!A:A,PARAMETROS!I:I))</f>
        <v>PROFESSOR REGENTE</v>
      </c>
      <c r="F677" s="3" t="s">
        <v>38</v>
      </c>
      <c r="G677" s="3">
        <v>1</v>
      </c>
      <c r="H677" s="3" t="s">
        <v>39</v>
      </c>
      <c r="I677" s="3" t="s">
        <v>33</v>
      </c>
      <c r="J677" s="3" t="s">
        <v>1477</v>
      </c>
      <c r="K677" s="3"/>
      <c r="L677" s="19"/>
    </row>
    <row r="678" spans="1:12">
      <c r="A678" s="3" t="s">
        <v>237</v>
      </c>
      <c r="B678" t="str">
        <f>IF(_xlfn.XLOOKUP(A678,PARAMETROS!A:A,PARAMETROS!B:B)=0,"",_xlfn.XLOOKUP(A678,PARAMETROS!A:A,PARAMETROS!B:B))</f>
        <v>012009006182</v>
      </c>
      <c r="C678">
        <f>IF(_xlfn.XLOOKUP(A678,PARAMETROS!A:A,PARAMETROS!C:C)=0,"",_xlfn.XLOOKUP(A678,PARAMETROS!A:A,PARAMETROS!C:C))</f>
        <v>12</v>
      </c>
      <c r="D678">
        <f>IF(_xlfn.XLOOKUP(A678,PARAMETROS!A:A,PARAMETROS!D:D)=0,"",_xlfn.XLOOKUP(A678,PARAMETROS!A:A,PARAMETROS!D:D))</f>
        <v>9</v>
      </c>
      <c r="E678" t="str">
        <f>IF(_xlfn.XLOOKUP('PREENCHIMENTO|LETIVAS'!A678,PARAMETROS!A:A,PARAMETROS!I:I)=0,"",_xlfn.XLOOKUP('PREENCHIMENTO|LETIVAS'!A678,PARAMETROS!A:A,PARAMETROS!I:I))</f>
        <v>PROFESSOR REGENTE</v>
      </c>
      <c r="F678" s="3" t="s">
        <v>38</v>
      </c>
      <c r="G678" s="3" t="s">
        <v>54</v>
      </c>
      <c r="H678" s="3" t="s">
        <v>63</v>
      </c>
      <c r="I678" s="3" t="s">
        <v>33</v>
      </c>
      <c r="J678" s="3" t="s">
        <v>1478</v>
      </c>
      <c r="K678" s="3"/>
      <c r="L678" s="19"/>
    </row>
    <row r="679" spans="1:12">
      <c r="A679" s="3" t="s">
        <v>688</v>
      </c>
      <c r="B679" t="str">
        <f>IF(_xlfn.XLOOKUP(A679,PARAMETROS!A:A,PARAMETROS!B:B)=0,"",_xlfn.XLOOKUP(A679,PARAMETROS!A:A,PARAMETROS!B:B))</f>
        <v>012009004010</v>
      </c>
      <c r="C679" t="str">
        <f>IF(_xlfn.XLOOKUP(A679,PARAMETROS!A:A,PARAMETROS!C:C)=0,"",_xlfn.XLOOKUP(A679,PARAMETROS!A:A,PARAMETROS!C:C))</f>
        <v/>
      </c>
      <c r="D679" t="str">
        <f>IF(_xlfn.XLOOKUP(A679,PARAMETROS!A:A,PARAMETROS!D:D)=0,"",_xlfn.XLOOKUP(A679,PARAMETROS!A:A,PARAMETROS!D:D))</f>
        <v/>
      </c>
      <c r="E679" t="str">
        <f>IF(_xlfn.XLOOKUP('PREENCHIMENTO|LETIVAS'!A679,PARAMETROS!A:A,PARAMETROS!I:I)=0,"",_xlfn.XLOOKUP('PREENCHIMENTO|LETIVAS'!A679,PARAMETROS!A:A,PARAMETROS!I:I))</f>
        <v>PROFESSOR DE ENSINO SUPERIOR PRESENCIAL</v>
      </c>
      <c r="F679" s="3" t="s">
        <v>38</v>
      </c>
      <c r="G679" s="3">
        <v>1</v>
      </c>
      <c r="H679" s="3" t="s">
        <v>39</v>
      </c>
      <c r="I679" s="3" t="s">
        <v>40</v>
      </c>
      <c r="J679" s="3" t="s">
        <v>1466</v>
      </c>
      <c r="K679" s="3"/>
      <c r="L679" s="19"/>
    </row>
    <row r="680" spans="1:12">
      <c r="A680" s="3" t="s">
        <v>691</v>
      </c>
      <c r="B680" t="str">
        <f>IF(_xlfn.XLOOKUP(A680,PARAMETROS!A:A,PARAMETROS!B:B)=0,"",_xlfn.XLOOKUP(A680,PARAMETROS!A:A,PARAMETROS!B:B))</f>
        <v>012009003655</v>
      </c>
      <c r="C680" t="str">
        <f>IF(_xlfn.XLOOKUP(A680,PARAMETROS!A:A,PARAMETROS!C:C)=0,"",_xlfn.XLOOKUP(A680,PARAMETROS!A:A,PARAMETROS!C:C))</f>
        <v/>
      </c>
      <c r="D680" t="str">
        <f>IF(_xlfn.XLOOKUP(A680,PARAMETROS!A:A,PARAMETROS!D:D)=0,"",_xlfn.XLOOKUP(A680,PARAMETROS!A:A,PARAMETROS!D:D))</f>
        <v/>
      </c>
      <c r="E680" t="str">
        <f>IF(_xlfn.XLOOKUP('PREENCHIMENTO|LETIVAS'!A680,PARAMETROS!A:A,PARAMETROS!I:I)=0,"",_xlfn.XLOOKUP('PREENCHIMENTO|LETIVAS'!A680,PARAMETROS!A:A,PARAMETROS!I:I))</f>
        <v>PROFESSOR DE ENSINO SUPERIOR PRESENCIAL</v>
      </c>
      <c r="F680" s="3" t="s">
        <v>38</v>
      </c>
      <c r="G680" s="3">
        <v>2</v>
      </c>
      <c r="H680" s="3" t="s">
        <v>63</v>
      </c>
      <c r="I680" s="3" t="s">
        <v>40</v>
      </c>
      <c r="J680" s="3" t="s">
        <v>1479</v>
      </c>
      <c r="K680" s="3"/>
      <c r="L680" s="19"/>
    </row>
    <row r="681" spans="1:12">
      <c r="A681" s="3" t="s">
        <v>417</v>
      </c>
      <c r="B681" t="str">
        <f>IF(_xlfn.XLOOKUP(A681,PARAMETROS!A:A,PARAMETROS!B:B)=0,"",_xlfn.XLOOKUP(A681,PARAMETROS!A:A,PARAMETROS!B:B))</f>
        <v>012009004027</v>
      </c>
      <c r="C681">
        <f>IF(_xlfn.XLOOKUP(A681,PARAMETROS!A:A,PARAMETROS!C:C)=0,"",_xlfn.XLOOKUP(A681,PARAMETROS!A:A,PARAMETROS!C:C))</f>
        <v>20</v>
      </c>
      <c r="D681">
        <f>IF(_xlfn.XLOOKUP(A681,PARAMETROS!A:A,PARAMETROS!D:D)=0,"",_xlfn.XLOOKUP(A681,PARAMETROS!A:A,PARAMETROS!D:D))</f>
        <v>2</v>
      </c>
      <c r="E681" t="str">
        <f>IF(_xlfn.XLOOKUP('PREENCHIMENTO|LETIVAS'!A681,PARAMETROS!A:A,PARAMETROS!I:I)=0,"",_xlfn.XLOOKUP('PREENCHIMENTO|LETIVAS'!A681,PARAMETROS!A:A,PARAMETROS!I:I))</f>
        <v>PROFESSOR DE ENSINO SUPERIOR EAD</v>
      </c>
      <c r="F681" s="3" t="s">
        <v>38</v>
      </c>
      <c r="G681" s="3">
        <v>2</v>
      </c>
      <c r="H681" s="3" t="s">
        <v>63</v>
      </c>
      <c r="I681" s="3" t="s">
        <v>40</v>
      </c>
      <c r="J681" s="3" t="s">
        <v>1480</v>
      </c>
      <c r="K681" s="3"/>
      <c r="L681" s="19"/>
    </row>
    <row r="682" spans="1:12">
      <c r="A682" s="3" t="s">
        <v>258</v>
      </c>
      <c r="B682" t="str">
        <f>IF(_xlfn.XLOOKUP(A682,PARAMETROS!A:A,PARAMETROS!B:B)=0,"",_xlfn.XLOOKUP(A682,PARAMETROS!A:A,PARAMETROS!B:B))</f>
        <v>012009005549</v>
      </c>
      <c r="C682">
        <f>IF(_xlfn.XLOOKUP(A682,PARAMETROS!A:A,PARAMETROS!C:C)=0,"",_xlfn.XLOOKUP(A682,PARAMETROS!A:A,PARAMETROS!C:C))</f>
        <v>20</v>
      </c>
      <c r="D682">
        <f>IF(_xlfn.XLOOKUP(A682,PARAMETROS!A:A,PARAMETROS!D:D)=0,"",_xlfn.XLOOKUP(A682,PARAMETROS!A:A,PARAMETROS!D:D))</f>
        <v>2</v>
      </c>
      <c r="E682" t="str">
        <f>IF(_xlfn.XLOOKUP('PREENCHIMENTO|LETIVAS'!A682,PARAMETROS!A:A,PARAMETROS!I:I)=0,"",_xlfn.XLOOKUP('PREENCHIMENTO|LETIVAS'!A682,PARAMETROS!A:A,PARAMETROS!I:I))</f>
        <v>PROFESSOR DE ENSINO SUPERIOR EAD</v>
      </c>
      <c r="F682" s="3" t="s">
        <v>38</v>
      </c>
      <c r="G682" s="3" t="s">
        <v>54</v>
      </c>
      <c r="H682" s="3" t="s">
        <v>55</v>
      </c>
      <c r="I682" s="3" t="s">
        <v>33</v>
      </c>
      <c r="J682" s="3" t="s">
        <v>1481</v>
      </c>
      <c r="K682" s="3"/>
      <c r="L682" s="19"/>
    </row>
    <row r="683" spans="1:12">
      <c r="A683" s="3" t="s">
        <v>856</v>
      </c>
      <c r="B683" t="str">
        <f>IF(_xlfn.XLOOKUP(A683,PARAMETROS!A:A,PARAMETROS!B:B)=0,"",_xlfn.XLOOKUP(A683,PARAMETROS!A:A,PARAMETROS!B:B))</f>
        <v>000000000000</v>
      </c>
      <c r="C683" t="str">
        <f>IF(_xlfn.XLOOKUP(A683,PARAMETROS!A:A,PARAMETROS!C:C)=0,"",_xlfn.XLOOKUP(A683,PARAMETROS!A:A,PARAMETROS!C:C))</f>
        <v/>
      </c>
      <c r="D683" t="str">
        <f>IF(_xlfn.XLOOKUP(A683,PARAMETROS!A:A,PARAMETROS!D:D)=0,"",_xlfn.XLOOKUP(A683,PARAMETROS!A:A,PARAMETROS!D:D))</f>
        <v/>
      </c>
      <c r="E683" t="str">
        <f>IF(_xlfn.XLOOKUP('PREENCHIMENTO|LETIVAS'!A683,PARAMETROS!A:A,PARAMETROS!I:I)=0,"",_xlfn.XLOOKUP('PREENCHIMENTO|LETIVAS'!A683,PARAMETROS!A:A,PARAMETROS!I:I))</f>
        <v>RPA</v>
      </c>
      <c r="F683" s="3" t="s">
        <v>38</v>
      </c>
      <c r="G683" s="3" t="s">
        <v>54</v>
      </c>
      <c r="H683" s="3" t="s">
        <v>55</v>
      </c>
      <c r="I683" s="3" t="s">
        <v>33</v>
      </c>
      <c r="J683" s="3" t="s">
        <v>1482</v>
      </c>
      <c r="K683" s="3" t="s">
        <v>1483</v>
      </c>
      <c r="L683" s="19"/>
    </row>
    <row r="684" spans="1:12">
      <c r="A684" s="3" t="s">
        <v>856</v>
      </c>
      <c r="B684" t="str">
        <f>IF(_xlfn.XLOOKUP(A684,PARAMETROS!A:A,PARAMETROS!B:B)=0,"",_xlfn.XLOOKUP(A684,PARAMETROS!A:A,PARAMETROS!B:B))</f>
        <v>000000000000</v>
      </c>
      <c r="C684" t="str">
        <f>IF(_xlfn.XLOOKUP(A684,PARAMETROS!A:A,PARAMETROS!C:C)=0,"",_xlfn.XLOOKUP(A684,PARAMETROS!A:A,PARAMETROS!C:C))</f>
        <v/>
      </c>
      <c r="D684" t="str">
        <f>IF(_xlfn.XLOOKUP(A684,PARAMETROS!A:A,PARAMETROS!D:D)=0,"",_xlfn.XLOOKUP(A684,PARAMETROS!A:A,PARAMETROS!D:D))</f>
        <v/>
      </c>
      <c r="E684" t="str">
        <f>IF(_xlfn.XLOOKUP('PREENCHIMENTO|LETIVAS'!A684,PARAMETROS!A:A,PARAMETROS!I:I)=0,"",_xlfn.XLOOKUP('PREENCHIMENTO|LETIVAS'!A684,PARAMETROS!A:A,PARAMETROS!I:I))</f>
        <v>RPA</v>
      </c>
      <c r="F684" s="3" t="s">
        <v>38</v>
      </c>
      <c r="G684" s="3" t="s">
        <v>54</v>
      </c>
      <c r="H684" s="3" t="s">
        <v>55</v>
      </c>
      <c r="I684" s="3" t="s">
        <v>40</v>
      </c>
      <c r="J684" s="3" t="s">
        <v>1484</v>
      </c>
      <c r="K684" s="3" t="s">
        <v>1485</v>
      </c>
      <c r="L684" s="19"/>
    </row>
    <row r="685" spans="1:12">
      <c r="A685" s="3" t="s">
        <v>444</v>
      </c>
      <c r="B685" t="str">
        <f>IF(_xlfn.XLOOKUP(A685,PARAMETROS!A:A,PARAMETROS!B:B)=0,"",_xlfn.XLOOKUP(A685,PARAMETROS!A:A,PARAMETROS!B:B))</f>
        <v>012009004318</v>
      </c>
      <c r="C685">
        <f>IF(_xlfn.XLOOKUP(A685,PARAMETROS!A:A,PARAMETROS!C:C)=0,"",_xlfn.XLOOKUP(A685,PARAMETROS!A:A,PARAMETROS!C:C))</f>
        <v>20</v>
      </c>
      <c r="D685">
        <f>IF(_xlfn.XLOOKUP(A685,PARAMETROS!A:A,PARAMETROS!D:D)=0,"",_xlfn.XLOOKUP(A685,PARAMETROS!A:A,PARAMETROS!D:D))</f>
        <v>2</v>
      </c>
      <c r="E685" t="str">
        <f>IF(_xlfn.XLOOKUP('PREENCHIMENTO|LETIVAS'!A685,PARAMETROS!A:A,PARAMETROS!I:I)=0,"",_xlfn.XLOOKUP('PREENCHIMENTO|LETIVAS'!A685,PARAMETROS!A:A,PARAMETROS!I:I))</f>
        <v>PROFESSOR DE ENSINO SUPERIOR EAD</v>
      </c>
      <c r="F685" s="3" t="s">
        <v>38</v>
      </c>
      <c r="G685" s="3">
        <v>2</v>
      </c>
      <c r="H685" s="3" t="s">
        <v>39</v>
      </c>
      <c r="I685" s="3" t="s">
        <v>40</v>
      </c>
      <c r="J685" s="3" t="s">
        <v>1486</v>
      </c>
      <c r="K685" s="3"/>
      <c r="L685" s="19"/>
    </row>
    <row r="686" spans="1:12">
      <c r="A686" s="3" t="s">
        <v>444</v>
      </c>
      <c r="B686" t="str">
        <f>IF(_xlfn.XLOOKUP(A686,PARAMETROS!A:A,PARAMETROS!B:B)=0,"",_xlfn.XLOOKUP(A686,PARAMETROS!A:A,PARAMETROS!B:B))</f>
        <v>012009004318</v>
      </c>
      <c r="C686">
        <f>IF(_xlfn.XLOOKUP(A686,PARAMETROS!A:A,PARAMETROS!C:C)=0,"",_xlfn.XLOOKUP(A686,PARAMETROS!A:A,PARAMETROS!C:C))</f>
        <v>20</v>
      </c>
      <c r="D686">
        <f>IF(_xlfn.XLOOKUP(A686,PARAMETROS!A:A,PARAMETROS!D:D)=0,"",_xlfn.XLOOKUP(A686,PARAMETROS!A:A,PARAMETROS!D:D))</f>
        <v>2</v>
      </c>
      <c r="E686" t="str">
        <f>IF(_xlfn.XLOOKUP('PREENCHIMENTO|LETIVAS'!A686,PARAMETROS!A:A,PARAMETROS!I:I)=0,"",_xlfn.XLOOKUP('PREENCHIMENTO|LETIVAS'!A686,PARAMETROS!A:A,PARAMETROS!I:I))</f>
        <v>PROFESSOR DE ENSINO SUPERIOR EAD</v>
      </c>
      <c r="F686" s="3" t="s">
        <v>38</v>
      </c>
      <c r="G686" s="3" t="s">
        <v>54</v>
      </c>
      <c r="H686" s="3" t="s">
        <v>39</v>
      </c>
      <c r="I686" s="3" t="s">
        <v>33</v>
      </c>
      <c r="J686" s="3" t="s">
        <v>1487</v>
      </c>
      <c r="K686" s="3"/>
      <c r="L686" s="19"/>
    </row>
    <row r="687" spans="1:12">
      <c r="A687" s="3" t="s">
        <v>520</v>
      </c>
      <c r="B687" t="str">
        <f>IF(_xlfn.XLOOKUP(A687,PARAMETROS!A:A,PARAMETROS!B:B)=0,"",_xlfn.XLOOKUP(A687,PARAMETROS!A:A,PARAMETROS!B:B))</f>
        <v>012009004226</v>
      </c>
      <c r="C687">
        <f>IF(_xlfn.XLOOKUP(A687,PARAMETROS!A:A,PARAMETROS!C:C)=0,"",_xlfn.XLOOKUP(A687,PARAMETROS!A:A,PARAMETROS!C:C))</f>
        <v>40</v>
      </c>
      <c r="D687">
        <f>IF(_xlfn.XLOOKUP(A687,PARAMETROS!A:A,PARAMETROS!D:D)=0,"",_xlfn.XLOOKUP(A687,PARAMETROS!A:A,PARAMETROS!D:D))</f>
        <v>4</v>
      </c>
      <c r="E687" t="str">
        <f>IF(_xlfn.XLOOKUP('PREENCHIMENTO|LETIVAS'!A687,PARAMETROS!A:A,PARAMETROS!I:I)=0,"",_xlfn.XLOOKUP('PREENCHIMENTO|LETIVAS'!A687,PARAMETROS!A:A,PARAMETROS!I:I))</f>
        <v>PROFESSOR DE ENSINO SUPERIOR EAD</v>
      </c>
      <c r="F687" s="3" t="s">
        <v>38</v>
      </c>
      <c r="G687" s="3">
        <v>1</v>
      </c>
      <c r="H687" s="3" t="s">
        <v>55</v>
      </c>
      <c r="I687" s="3" t="s">
        <v>40</v>
      </c>
      <c r="J687" s="3" t="s">
        <v>1488</v>
      </c>
      <c r="K687" s="3"/>
      <c r="L687" s="19"/>
    </row>
    <row r="688" spans="1:12">
      <c r="A688" s="3" t="s">
        <v>117</v>
      </c>
      <c r="B688" t="str">
        <f>IF(_xlfn.XLOOKUP(A688,PARAMETROS!A:A,PARAMETROS!B:B)=0,"",_xlfn.XLOOKUP(A688,PARAMETROS!A:A,PARAMETROS!B:B))</f>
        <v>012009004350</v>
      </c>
      <c r="C688">
        <f>IF(_xlfn.XLOOKUP(A688,PARAMETROS!A:A,PARAMETROS!C:C)=0,"",_xlfn.XLOOKUP(A688,PARAMETROS!A:A,PARAMETROS!C:C))</f>
        <v>20</v>
      </c>
      <c r="D688">
        <f>IF(_xlfn.XLOOKUP(A688,PARAMETROS!A:A,PARAMETROS!D:D)=0,"",_xlfn.XLOOKUP(A688,PARAMETROS!A:A,PARAMETROS!D:D))</f>
        <v>2</v>
      </c>
      <c r="E688" t="str">
        <f>IF(_xlfn.XLOOKUP('PREENCHIMENTO|LETIVAS'!A688,PARAMETROS!A:A,PARAMETROS!I:I)=0,"",_xlfn.XLOOKUP('PREENCHIMENTO|LETIVAS'!A688,PARAMETROS!A:A,PARAMETROS!I:I))</f>
        <v>PROFESSOR DE ENSINO SUPERIOR EAD</v>
      </c>
      <c r="F688" s="3" t="s">
        <v>38</v>
      </c>
      <c r="G688" s="3">
        <v>2</v>
      </c>
      <c r="H688" s="3" t="s">
        <v>39</v>
      </c>
      <c r="I688" s="3" t="s">
        <v>40</v>
      </c>
      <c r="J688" s="3" t="s">
        <v>1489</v>
      </c>
      <c r="K688" s="3"/>
      <c r="L688" s="19"/>
    </row>
    <row r="689" spans="1:12">
      <c r="A689" s="3" t="s">
        <v>493</v>
      </c>
      <c r="B689" t="str">
        <f>IF(_xlfn.XLOOKUP(A689,PARAMETROS!A:A,PARAMETROS!B:B)=0,"",_xlfn.XLOOKUP(A689,PARAMETROS!A:A,PARAMETROS!B:B))</f>
        <v>012009003935</v>
      </c>
      <c r="C689">
        <f>IF(_xlfn.XLOOKUP(A689,PARAMETROS!A:A,PARAMETROS!C:C)=0,"",_xlfn.XLOOKUP(A689,PARAMETROS!A:A,PARAMETROS!C:C))</f>
        <v>20</v>
      </c>
      <c r="D689">
        <f>IF(_xlfn.XLOOKUP(A689,PARAMETROS!A:A,PARAMETROS!D:D)=0,"",_xlfn.XLOOKUP(A689,PARAMETROS!A:A,PARAMETROS!D:D))</f>
        <v>2</v>
      </c>
      <c r="E689" t="str">
        <f>IF(_xlfn.XLOOKUP('PREENCHIMENTO|LETIVAS'!A689,PARAMETROS!A:A,PARAMETROS!I:I)=0,"",_xlfn.XLOOKUP('PREENCHIMENTO|LETIVAS'!A689,PARAMETROS!A:A,PARAMETROS!I:I))</f>
        <v>PROFESSOR DE ENSINO SUPERIOR EAD</v>
      </c>
      <c r="F689" s="3" t="s">
        <v>38</v>
      </c>
      <c r="G689" s="3">
        <v>2</v>
      </c>
      <c r="H689" s="3" t="s">
        <v>55</v>
      </c>
      <c r="I689" s="3" t="s">
        <v>33</v>
      </c>
      <c r="J689" s="3" t="s">
        <v>1490</v>
      </c>
      <c r="K689" s="3"/>
      <c r="L689" s="19"/>
    </row>
    <row r="690" spans="1:12">
      <c r="A690" s="3" t="s">
        <v>432</v>
      </c>
      <c r="B690" t="str">
        <f>IF(_xlfn.XLOOKUP(A690,PARAMETROS!A:A,PARAMETROS!B:B)=0,"",_xlfn.XLOOKUP(A690,PARAMETROS!A:A,PARAMETROS!B:B))</f>
        <v>012009005489</v>
      </c>
      <c r="C690">
        <f>IF(_xlfn.XLOOKUP(A690,PARAMETROS!A:A,PARAMETROS!C:C)=0,"",_xlfn.XLOOKUP(A690,PARAMETROS!A:A,PARAMETROS!C:C))</f>
        <v>40</v>
      </c>
      <c r="D690">
        <f>IF(_xlfn.XLOOKUP(A690,PARAMETROS!A:A,PARAMETROS!D:D)=0,"",_xlfn.XLOOKUP(A690,PARAMETROS!A:A,PARAMETROS!D:D))</f>
        <v>4</v>
      </c>
      <c r="E690" t="str">
        <f>IF(_xlfn.XLOOKUP('PREENCHIMENTO|LETIVAS'!A690,PARAMETROS!A:A,PARAMETROS!I:I)=0,"",_xlfn.XLOOKUP('PREENCHIMENTO|LETIVAS'!A690,PARAMETROS!A:A,PARAMETROS!I:I))</f>
        <v>PROFESSOR DE ENSINO SUPERIOR EAD</v>
      </c>
      <c r="F690" s="3" t="s">
        <v>38</v>
      </c>
      <c r="G690" s="3">
        <v>1</v>
      </c>
      <c r="H690" s="3" t="s">
        <v>39</v>
      </c>
      <c r="I690" s="3" t="s">
        <v>40</v>
      </c>
      <c r="J690" s="3" t="s">
        <v>1491</v>
      </c>
      <c r="K690" s="3"/>
      <c r="L690" s="19"/>
    </row>
    <row r="691" spans="1:12">
      <c r="A691" s="3" t="s">
        <v>596</v>
      </c>
      <c r="B691" t="str">
        <f>IF(_xlfn.XLOOKUP(A691,PARAMETROS!A:A,PARAMETROS!B:B)=0,"",_xlfn.XLOOKUP(A691,PARAMETROS!A:A,PARAMETROS!B:B))</f>
        <v>012009006304</v>
      </c>
      <c r="C691">
        <f>IF(_xlfn.XLOOKUP(A691,PARAMETROS!A:A,PARAMETROS!C:C)=0,"",_xlfn.XLOOKUP(A691,PARAMETROS!A:A,PARAMETROS!C:C))</f>
        <v>12</v>
      </c>
      <c r="D691">
        <f>IF(_xlfn.XLOOKUP(A691,PARAMETROS!A:A,PARAMETROS!D:D)=0,"",_xlfn.XLOOKUP(A691,PARAMETROS!A:A,PARAMETROS!D:D))</f>
        <v>9</v>
      </c>
      <c r="E691" t="str">
        <f>IF(_xlfn.XLOOKUP('PREENCHIMENTO|LETIVAS'!A691,PARAMETROS!A:A,PARAMETROS!I:I)=0,"",_xlfn.XLOOKUP('PREENCHIMENTO|LETIVAS'!A691,PARAMETROS!A:A,PARAMETROS!I:I))</f>
        <v>PROFESSOR REGENTE</v>
      </c>
      <c r="F691" s="3" t="s">
        <v>38</v>
      </c>
      <c r="G691" s="3">
        <v>2</v>
      </c>
      <c r="H691" s="3" t="s">
        <v>39</v>
      </c>
      <c r="I691" s="3" t="s">
        <v>40</v>
      </c>
      <c r="J691" s="3" t="s">
        <v>1492</v>
      </c>
      <c r="K691" s="3"/>
      <c r="L691" s="19"/>
    </row>
    <row r="692" spans="1:12">
      <c r="A692" s="3" t="s">
        <v>407</v>
      </c>
      <c r="B692" t="str">
        <f>IF(_xlfn.XLOOKUP(A692,PARAMETROS!A:A,PARAMETROS!B:B)=0,"",_xlfn.XLOOKUP(A692,PARAMETROS!A:A,PARAMETROS!B:B))</f>
        <v>012009005581</v>
      </c>
      <c r="C692">
        <f>IF(_xlfn.XLOOKUP(A692,PARAMETROS!A:A,PARAMETROS!C:C)=0,"",_xlfn.XLOOKUP(A692,PARAMETROS!A:A,PARAMETROS!C:C))</f>
        <v>40</v>
      </c>
      <c r="D692">
        <f>IF(_xlfn.XLOOKUP(A692,PARAMETROS!A:A,PARAMETROS!D:D)=0,"",_xlfn.XLOOKUP(A692,PARAMETROS!A:A,PARAMETROS!D:D))</f>
        <v>4</v>
      </c>
      <c r="E692" t="str">
        <f>IF(_xlfn.XLOOKUP('PREENCHIMENTO|LETIVAS'!A692,PARAMETROS!A:A,PARAMETROS!I:I)=0,"",_xlfn.XLOOKUP('PREENCHIMENTO|LETIVAS'!A692,PARAMETROS!A:A,PARAMETROS!I:I))</f>
        <v>PROFESSOR DE ENSINO SUPERIOR EAD</v>
      </c>
      <c r="F692" s="3" t="s">
        <v>38</v>
      </c>
      <c r="G692" s="3">
        <v>1</v>
      </c>
      <c r="H692" s="3" t="s">
        <v>39</v>
      </c>
      <c r="I692" s="3" t="s">
        <v>33</v>
      </c>
      <c r="J692" s="3" t="s">
        <v>1493</v>
      </c>
      <c r="K692" s="3"/>
      <c r="L692" s="19"/>
    </row>
    <row r="693" spans="1:12">
      <c r="A693" s="3" t="s">
        <v>544</v>
      </c>
      <c r="B693" t="str">
        <f>IF(_xlfn.XLOOKUP(A693,PARAMETROS!A:A,PARAMETROS!B:B)=0,"",_xlfn.XLOOKUP(A693,PARAMETROS!A:A,PARAMETROS!B:B))</f>
        <v>012009003435</v>
      </c>
      <c r="C693">
        <f>IF(_xlfn.XLOOKUP(A693,PARAMETROS!A:A,PARAMETROS!C:C)=0,"",_xlfn.XLOOKUP(A693,PARAMETROS!A:A,PARAMETROS!C:C))</f>
        <v>40</v>
      </c>
      <c r="D693">
        <f>IF(_xlfn.XLOOKUP(A693,PARAMETROS!A:A,PARAMETROS!D:D)=0,"",_xlfn.XLOOKUP(A693,PARAMETROS!A:A,PARAMETROS!D:D))</f>
        <v>4</v>
      </c>
      <c r="E693" t="str">
        <f>IF(_xlfn.XLOOKUP('PREENCHIMENTO|LETIVAS'!A693,PARAMETROS!A:A,PARAMETROS!I:I)=0,"",_xlfn.XLOOKUP('PREENCHIMENTO|LETIVAS'!A693,PARAMETROS!A:A,PARAMETROS!I:I))</f>
        <v>PROFESSOR DE ENSINO SUPERIOR EAD</v>
      </c>
      <c r="F693" s="3" t="s">
        <v>38</v>
      </c>
      <c r="G693" s="3">
        <v>1</v>
      </c>
      <c r="H693" s="3" t="s">
        <v>39</v>
      </c>
      <c r="I693" s="3" t="s">
        <v>33</v>
      </c>
      <c r="J693" s="3" t="s">
        <v>1494</v>
      </c>
      <c r="K693" s="3"/>
      <c r="L693" s="19"/>
    </row>
    <row r="694" spans="1:12">
      <c r="A694" s="3" t="s">
        <v>602</v>
      </c>
      <c r="B694" t="str">
        <f>IF(_xlfn.XLOOKUP(A694,PARAMETROS!A:A,PARAMETROS!B:B)=0,"",_xlfn.XLOOKUP(A694,PARAMETROS!A:A,PARAMETROS!B:B))</f>
        <v>012009006310</v>
      </c>
      <c r="C694">
        <f>IF(_xlfn.XLOOKUP(A694,PARAMETROS!A:A,PARAMETROS!C:C)=0,"",_xlfn.XLOOKUP(A694,PARAMETROS!A:A,PARAMETROS!C:C))</f>
        <v>12</v>
      </c>
      <c r="D694">
        <f>IF(_xlfn.XLOOKUP(A694,PARAMETROS!A:A,PARAMETROS!D:D)=0,"",_xlfn.XLOOKUP(A694,PARAMETROS!A:A,PARAMETROS!D:D))</f>
        <v>9</v>
      </c>
      <c r="E694" t="str">
        <f>IF(_xlfn.XLOOKUP('PREENCHIMENTO|LETIVAS'!A694,PARAMETROS!A:A,PARAMETROS!I:I)=0,"",_xlfn.XLOOKUP('PREENCHIMENTO|LETIVAS'!A694,PARAMETROS!A:A,PARAMETROS!I:I))</f>
        <v>PROFESSOR REGENTE</v>
      </c>
      <c r="F694" s="3" t="s">
        <v>38</v>
      </c>
      <c r="G694" s="3">
        <v>1</v>
      </c>
      <c r="H694" s="3" t="s">
        <v>39</v>
      </c>
      <c r="I694" s="3" t="s">
        <v>40</v>
      </c>
      <c r="J694" s="3" t="s">
        <v>1495</v>
      </c>
      <c r="K694" s="3"/>
      <c r="L694" s="19"/>
    </row>
    <row r="695" spans="1:12">
      <c r="A695" s="3" t="s">
        <v>602</v>
      </c>
      <c r="B695" t="str">
        <f>IF(_xlfn.XLOOKUP(A695,PARAMETROS!A:A,PARAMETROS!B:B)=0,"",_xlfn.XLOOKUP(A695,PARAMETROS!A:A,PARAMETROS!B:B))</f>
        <v>012009006310</v>
      </c>
      <c r="C695">
        <f>IF(_xlfn.XLOOKUP(A695,PARAMETROS!A:A,PARAMETROS!C:C)=0,"",_xlfn.XLOOKUP(A695,PARAMETROS!A:A,PARAMETROS!C:C))</f>
        <v>12</v>
      </c>
      <c r="D695">
        <f>IF(_xlfn.XLOOKUP(A695,PARAMETROS!A:A,PARAMETROS!D:D)=0,"",_xlfn.XLOOKUP(A695,PARAMETROS!A:A,PARAMETROS!D:D))</f>
        <v>9</v>
      </c>
      <c r="E695" t="str">
        <f>IF(_xlfn.XLOOKUP('PREENCHIMENTO|LETIVAS'!A695,PARAMETROS!A:A,PARAMETROS!I:I)=0,"",_xlfn.XLOOKUP('PREENCHIMENTO|LETIVAS'!A695,PARAMETROS!A:A,PARAMETROS!I:I))</f>
        <v>PROFESSOR REGENTE</v>
      </c>
      <c r="F695" s="3" t="s">
        <v>38</v>
      </c>
      <c r="G695" s="3">
        <v>2</v>
      </c>
      <c r="H695" s="3" t="s">
        <v>39</v>
      </c>
      <c r="I695" s="3" t="s">
        <v>40</v>
      </c>
      <c r="J695" s="3" t="s">
        <v>1496</v>
      </c>
      <c r="K695" s="3"/>
      <c r="L695" s="19"/>
    </row>
    <row r="696" spans="1:12">
      <c r="A696" s="3" t="s">
        <v>505</v>
      </c>
      <c r="B696" t="str">
        <f>IF(_xlfn.XLOOKUP(A696,PARAMETROS!A:A,PARAMETROS!B:B)=0,"",_xlfn.XLOOKUP(A696,PARAMETROS!A:A,PARAMETROS!B:B))</f>
        <v>012009006225</v>
      </c>
      <c r="C696">
        <f>IF(_xlfn.XLOOKUP(A696,PARAMETROS!A:A,PARAMETROS!C:C)=0,"",_xlfn.XLOOKUP(A696,PARAMETROS!A:A,PARAMETROS!C:C))</f>
        <v>12</v>
      </c>
      <c r="D696">
        <f>IF(_xlfn.XLOOKUP(A696,PARAMETROS!A:A,PARAMETROS!D:D)=0,"",_xlfn.XLOOKUP(A696,PARAMETROS!A:A,PARAMETROS!D:D))</f>
        <v>9</v>
      </c>
      <c r="E696" t="str">
        <f>IF(_xlfn.XLOOKUP('PREENCHIMENTO|LETIVAS'!A696,PARAMETROS!A:A,PARAMETROS!I:I)=0,"",_xlfn.XLOOKUP('PREENCHIMENTO|LETIVAS'!A696,PARAMETROS!A:A,PARAMETROS!I:I))</f>
        <v>PROFESSOR REGENTE</v>
      </c>
      <c r="F696" s="3" t="s">
        <v>38</v>
      </c>
      <c r="G696" s="3">
        <v>2</v>
      </c>
      <c r="H696" s="3" t="s">
        <v>63</v>
      </c>
      <c r="I696" s="3" t="s">
        <v>40</v>
      </c>
      <c r="J696" s="3" t="s">
        <v>1497</v>
      </c>
      <c r="K696" s="3"/>
      <c r="L696" s="19"/>
    </row>
    <row r="697" spans="1:12">
      <c r="A697" s="3" t="s">
        <v>529</v>
      </c>
      <c r="B697" t="str">
        <f>IF(_xlfn.XLOOKUP(A697,PARAMETROS!A:A,PARAMETROS!B:B)=0,"",_xlfn.XLOOKUP(A697,PARAMETROS!A:A,PARAMETROS!B:B))</f>
        <v>012009006227</v>
      </c>
      <c r="C697">
        <f>IF(_xlfn.XLOOKUP(A697,PARAMETROS!A:A,PARAMETROS!C:C)=0,"",_xlfn.XLOOKUP(A697,PARAMETROS!A:A,PARAMETROS!C:C))</f>
        <v>12</v>
      </c>
      <c r="D697">
        <f>IF(_xlfn.XLOOKUP(A697,PARAMETROS!A:A,PARAMETROS!D:D)=0,"",_xlfn.XLOOKUP(A697,PARAMETROS!A:A,PARAMETROS!D:D))</f>
        <v>9</v>
      </c>
      <c r="E697" t="str">
        <f>IF(_xlfn.XLOOKUP('PREENCHIMENTO|LETIVAS'!A697,PARAMETROS!A:A,PARAMETROS!I:I)=0,"",_xlfn.XLOOKUP('PREENCHIMENTO|LETIVAS'!A697,PARAMETROS!A:A,PARAMETROS!I:I))</f>
        <v>PROFESSOR REGENTE</v>
      </c>
      <c r="F697" s="3" t="s">
        <v>38</v>
      </c>
      <c r="G697" s="3">
        <v>1</v>
      </c>
      <c r="H697" s="3" t="s">
        <v>63</v>
      </c>
      <c r="I697" s="3" t="s">
        <v>33</v>
      </c>
      <c r="J697" s="3" t="s">
        <v>1498</v>
      </c>
      <c r="K697" s="3"/>
      <c r="L697" s="19"/>
    </row>
    <row r="698" spans="1:12">
      <c r="A698" s="3" t="s">
        <v>529</v>
      </c>
      <c r="B698" t="str">
        <f>IF(_xlfn.XLOOKUP(A698,PARAMETROS!A:A,PARAMETROS!B:B)=0,"",_xlfn.XLOOKUP(A698,PARAMETROS!A:A,PARAMETROS!B:B))</f>
        <v>012009006227</v>
      </c>
      <c r="C698">
        <f>IF(_xlfn.XLOOKUP(A698,PARAMETROS!A:A,PARAMETROS!C:C)=0,"",_xlfn.XLOOKUP(A698,PARAMETROS!A:A,PARAMETROS!C:C))</f>
        <v>12</v>
      </c>
      <c r="D698">
        <f>IF(_xlfn.XLOOKUP(A698,PARAMETROS!A:A,PARAMETROS!D:D)=0,"",_xlfn.XLOOKUP(A698,PARAMETROS!A:A,PARAMETROS!D:D))</f>
        <v>9</v>
      </c>
      <c r="E698" t="str">
        <f>IF(_xlfn.XLOOKUP('PREENCHIMENTO|LETIVAS'!A698,PARAMETROS!A:A,PARAMETROS!I:I)=0,"",_xlfn.XLOOKUP('PREENCHIMENTO|LETIVAS'!A698,PARAMETROS!A:A,PARAMETROS!I:I))</f>
        <v>PROFESSOR REGENTE</v>
      </c>
      <c r="F698" s="3" t="s">
        <v>38</v>
      </c>
      <c r="G698" s="3">
        <v>2</v>
      </c>
      <c r="H698" s="3" t="s">
        <v>63</v>
      </c>
      <c r="I698" s="3" t="s">
        <v>40</v>
      </c>
      <c r="J698" s="3" t="s">
        <v>1499</v>
      </c>
      <c r="K698" s="3"/>
      <c r="L698" s="19"/>
    </row>
    <row r="699" spans="1:12">
      <c r="A699" s="3" t="s">
        <v>300</v>
      </c>
      <c r="B699" t="str">
        <f>IF(_xlfn.XLOOKUP(A699,PARAMETROS!A:A,PARAMETROS!B:B)=0,"",_xlfn.XLOOKUP(A699,PARAMETROS!A:A,PARAMETROS!B:B))</f>
        <v>012009003346</v>
      </c>
      <c r="C699">
        <f>IF(_xlfn.XLOOKUP(A699,PARAMETROS!A:A,PARAMETROS!C:C)=0,"",_xlfn.XLOOKUP(A699,PARAMETROS!A:A,PARAMETROS!C:C))</f>
        <v>12</v>
      </c>
      <c r="D699">
        <f>IF(_xlfn.XLOOKUP(A699,PARAMETROS!A:A,PARAMETROS!D:D)=0,"",_xlfn.XLOOKUP(A699,PARAMETROS!A:A,PARAMETROS!D:D))</f>
        <v>2</v>
      </c>
      <c r="E699" t="str">
        <f>IF(_xlfn.XLOOKUP('PREENCHIMENTO|LETIVAS'!A699,PARAMETROS!A:A,PARAMETROS!I:I)=0,"",_xlfn.XLOOKUP('PREENCHIMENTO|LETIVAS'!A699,PARAMETROS!A:A,PARAMETROS!I:I))</f>
        <v>PROFESSOR DE ENSINO SUPERIOR EAD</v>
      </c>
      <c r="F699" s="3" t="s">
        <v>38</v>
      </c>
      <c r="G699" s="3">
        <v>2</v>
      </c>
      <c r="H699" s="3" t="s">
        <v>32</v>
      </c>
      <c r="I699" s="3" t="s">
        <v>40</v>
      </c>
      <c r="J699" s="3" t="s">
        <v>1500</v>
      </c>
      <c r="K699" s="3"/>
      <c r="L699" s="19"/>
    </row>
    <row r="700" spans="1:12">
      <c r="A700" s="3" t="s">
        <v>264</v>
      </c>
      <c r="B700" t="str">
        <f>IF(_xlfn.XLOOKUP(A700,PARAMETROS!A:A,PARAMETROS!B:B)=0,"",_xlfn.XLOOKUP(A700,PARAMETROS!A:A,PARAMETROS!B:B))</f>
        <v>012009003704</v>
      </c>
      <c r="C700">
        <f>IF(_xlfn.XLOOKUP(A700,PARAMETROS!A:A,PARAMETROS!C:C)=0,"",_xlfn.XLOOKUP(A700,PARAMETROS!A:A,PARAMETROS!C:C))</f>
        <v>20</v>
      </c>
      <c r="D700">
        <f>IF(_xlfn.XLOOKUP(A700,PARAMETROS!A:A,PARAMETROS!D:D)=0,"",_xlfn.XLOOKUP(A700,PARAMETROS!A:A,PARAMETROS!D:D))</f>
        <v>2</v>
      </c>
      <c r="E700" t="str">
        <f>IF(_xlfn.XLOOKUP('PREENCHIMENTO|LETIVAS'!A700,PARAMETROS!A:A,PARAMETROS!I:I)=0,"",_xlfn.XLOOKUP('PREENCHIMENTO|LETIVAS'!A700,PARAMETROS!A:A,PARAMETROS!I:I))</f>
        <v>PROFESSOR DE ENSINO SUPERIOR EAD</v>
      </c>
      <c r="F700" s="3" t="s">
        <v>38</v>
      </c>
      <c r="G700" s="3">
        <v>1</v>
      </c>
      <c r="H700" s="3" t="s">
        <v>32</v>
      </c>
      <c r="I700" s="3" t="s">
        <v>33</v>
      </c>
      <c r="J700" s="3" t="s">
        <v>1501</v>
      </c>
      <c r="K700" s="3"/>
      <c r="L700" s="19"/>
    </row>
    <row r="701" spans="1:12">
      <c r="A701" s="3" t="s">
        <v>264</v>
      </c>
      <c r="B701" t="str">
        <f>IF(_xlfn.XLOOKUP(A701,PARAMETROS!A:A,PARAMETROS!B:B)=0,"",_xlfn.XLOOKUP(A701,PARAMETROS!A:A,PARAMETROS!B:B))</f>
        <v>012009003704</v>
      </c>
      <c r="C701">
        <f>IF(_xlfn.XLOOKUP(A701,PARAMETROS!A:A,PARAMETROS!C:C)=0,"",_xlfn.XLOOKUP(A701,PARAMETROS!A:A,PARAMETROS!C:C))</f>
        <v>20</v>
      </c>
      <c r="D701">
        <f>IF(_xlfn.XLOOKUP(A701,PARAMETROS!A:A,PARAMETROS!D:D)=0,"",_xlfn.XLOOKUP(A701,PARAMETROS!A:A,PARAMETROS!D:D))</f>
        <v>2</v>
      </c>
      <c r="E701" t="str">
        <f>IF(_xlfn.XLOOKUP('PREENCHIMENTO|LETIVAS'!A701,PARAMETROS!A:A,PARAMETROS!I:I)=0,"",_xlfn.XLOOKUP('PREENCHIMENTO|LETIVAS'!A701,PARAMETROS!A:A,PARAMETROS!I:I))</f>
        <v>PROFESSOR DE ENSINO SUPERIOR EAD</v>
      </c>
      <c r="F701" s="3" t="s">
        <v>38</v>
      </c>
      <c r="G701" s="3">
        <v>2</v>
      </c>
      <c r="H701" s="3" t="s">
        <v>32</v>
      </c>
      <c r="I701" s="3" t="s">
        <v>33</v>
      </c>
      <c r="J701" s="3" t="s">
        <v>1502</v>
      </c>
      <c r="K701" s="3"/>
      <c r="L701" s="19"/>
    </row>
    <row r="702" spans="1:12">
      <c r="A702" s="3" t="s">
        <v>532</v>
      </c>
      <c r="B702" t="str">
        <f>IF(_xlfn.XLOOKUP(A702,PARAMETROS!A:A,PARAMETROS!B:B)=0,"",_xlfn.XLOOKUP(A702,PARAMETROS!A:A,PARAMETROS!B:B))</f>
        <v>012009005304</v>
      </c>
      <c r="C702">
        <f>IF(_xlfn.XLOOKUP(A702,PARAMETROS!A:A,PARAMETROS!C:C)=0,"",_xlfn.XLOOKUP(A702,PARAMETROS!A:A,PARAMETROS!C:C))</f>
        <v>40</v>
      </c>
      <c r="D702">
        <f>IF(_xlfn.XLOOKUP(A702,PARAMETROS!A:A,PARAMETROS!D:D)=0,"",_xlfn.XLOOKUP(A702,PARAMETROS!A:A,PARAMETROS!D:D))</f>
        <v>4</v>
      </c>
      <c r="E702" t="str">
        <f>IF(_xlfn.XLOOKUP('PREENCHIMENTO|LETIVAS'!A702,PARAMETROS!A:A,PARAMETROS!I:I)=0,"",_xlfn.XLOOKUP('PREENCHIMENTO|LETIVAS'!A702,PARAMETROS!A:A,PARAMETROS!I:I))</f>
        <v>PROFESSOR DE ENSINO SUPERIOR EAD</v>
      </c>
      <c r="F702" s="3" t="s">
        <v>38</v>
      </c>
      <c r="G702" s="3" t="s">
        <v>54</v>
      </c>
      <c r="H702" s="3" t="s">
        <v>55</v>
      </c>
      <c r="I702" s="3" t="s">
        <v>40</v>
      </c>
      <c r="J702" s="3" t="s">
        <v>1503</v>
      </c>
      <c r="K702" s="3"/>
      <c r="L702" s="19"/>
    </row>
    <row r="703" spans="1:12">
      <c r="A703" s="3" t="s">
        <v>532</v>
      </c>
      <c r="B703" t="str">
        <f>IF(_xlfn.XLOOKUP(A703,PARAMETROS!A:A,PARAMETROS!B:B)=0,"",_xlfn.XLOOKUP(A703,PARAMETROS!A:A,PARAMETROS!B:B))</f>
        <v>012009005304</v>
      </c>
      <c r="C703">
        <f>IF(_xlfn.XLOOKUP(A703,PARAMETROS!A:A,PARAMETROS!C:C)=0,"",_xlfn.XLOOKUP(A703,PARAMETROS!A:A,PARAMETROS!C:C))</f>
        <v>40</v>
      </c>
      <c r="D703">
        <f>IF(_xlfn.XLOOKUP(A703,PARAMETROS!A:A,PARAMETROS!D:D)=0,"",_xlfn.XLOOKUP(A703,PARAMETROS!A:A,PARAMETROS!D:D))</f>
        <v>4</v>
      </c>
      <c r="E703" t="str">
        <f>IF(_xlfn.XLOOKUP('PREENCHIMENTO|LETIVAS'!A703,PARAMETROS!A:A,PARAMETROS!I:I)=0,"",_xlfn.XLOOKUP('PREENCHIMENTO|LETIVAS'!A703,PARAMETROS!A:A,PARAMETROS!I:I))</f>
        <v>PROFESSOR DE ENSINO SUPERIOR EAD</v>
      </c>
      <c r="F703" s="3" t="s">
        <v>38</v>
      </c>
      <c r="G703" s="3" t="s">
        <v>54</v>
      </c>
      <c r="H703" s="3" t="s">
        <v>55</v>
      </c>
      <c r="I703" s="3" t="s">
        <v>33</v>
      </c>
      <c r="J703" s="3" t="s">
        <v>1504</v>
      </c>
      <c r="K703" s="3"/>
      <c r="L703" s="19"/>
    </row>
    <row r="704" spans="1:12">
      <c r="A704" s="3" t="s">
        <v>751</v>
      </c>
      <c r="B704" t="str">
        <f>IF(_xlfn.XLOOKUP(A704,PARAMETROS!A:A,PARAMETROS!B:B)=0,"",_xlfn.XLOOKUP(A704,PARAMETROS!A:A,PARAMETROS!B:B))</f>
        <v>012009006561</v>
      </c>
      <c r="C704">
        <f>IF(_xlfn.XLOOKUP(A704,PARAMETROS!A:A,PARAMETROS!C:C)=0,"",_xlfn.XLOOKUP(A704,PARAMETROS!A:A,PARAMETROS!C:C))</f>
        <v>12</v>
      </c>
      <c r="D704">
        <f>IF(_xlfn.XLOOKUP(A704,PARAMETROS!A:A,PARAMETROS!D:D)=0,"",_xlfn.XLOOKUP(A704,PARAMETROS!A:A,PARAMETROS!D:D))</f>
        <v>9</v>
      </c>
      <c r="E704" t="str">
        <f>IF(_xlfn.XLOOKUP('PREENCHIMENTO|LETIVAS'!A704,PARAMETROS!A:A,PARAMETROS!I:I)=0,"",_xlfn.XLOOKUP('PREENCHIMENTO|LETIVAS'!A704,PARAMETROS!A:A,PARAMETROS!I:I))</f>
        <v>PROFESSOR REGENTE</v>
      </c>
      <c r="F704" s="3" t="s">
        <v>38</v>
      </c>
      <c r="G704" s="3">
        <v>1</v>
      </c>
      <c r="H704" s="3" t="s">
        <v>39</v>
      </c>
      <c r="I704" s="3" t="s">
        <v>40</v>
      </c>
      <c r="J704" s="3" t="s">
        <v>1505</v>
      </c>
      <c r="K704" s="3"/>
      <c r="L704" s="19"/>
    </row>
    <row r="705" spans="1:12">
      <c r="A705" s="3" t="s">
        <v>751</v>
      </c>
      <c r="B705" t="str">
        <f>IF(_xlfn.XLOOKUP(A705,PARAMETROS!A:A,PARAMETROS!B:B)=0,"",_xlfn.XLOOKUP(A705,PARAMETROS!A:A,PARAMETROS!B:B))</f>
        <v>012009006561</v>
      </c>
      <c r="C705">
        <f>IF(_xlfn.XLOOKUP(A705,PARAMETROS!A:A,PARAMETROS!C:C)=0,"",_xlfn.XLOOKUP(A705,PARAMETROS!A:A,PARAMETROS!C:C))</f>
        <v>12</v>
      </c>
      <c r="D705">
        <f>IF(_xlfn.XLOOKUP(A705,PARAMETROS!A:A,PARAMETROS!D:D)=0,"",_xlfn.XLOOKUP(A705,PARAMETROS!A:A,PARAMETROS!D:D))</f>
        <v>9</v>
      </c>
      <c r="E705" t="str">
        <f>IF(_xlfn.XLOOKUP('PREENCHIMENTO|LETIVAS'!A705,PARAMETROS!A:A,PARAMETROS!I:I)=0,"",_xlfn.XLOOKUP('PREENCHIMENTO|LETIVAS'!A705,PARAMETROS!A:A,PARAMETROS!I:I))</f>
        <v>PROFESSOR REGENTE</v>
      </c>
      <c r="F705" s="3" t="s">
        <v>38</v>
      </c>
      <c r="G705" s="3">
        <v>2</v>
      </c>
      <c r="H705" s="3" t="s">
        <v>39</v>
      </c>
      <c r="I705" s="3" t="s">
        <v>33</v>
      </c>
      <c r="J705" s="3" t="s">
        <v>1506</v>
      </c>
      <c r="K705" s="3"/>
      <c r="L705" s="19"/>
    </row>
    <row r="706" spans="1:12">
      <c r="A706" s="3" t="s">
        <v>751</v>
      </c>
      <c r="B706" t="str">
        <f>IF(_xlfn.XLOOKUP(A706,PARAMETROS!A:A,PARAMETROS!B:B)=0,"",_xlfn.XLOOKUP(A706,PARAMETROS!A:A,PARAMETROS!B:B))</f>
        <v>012009006561</v>
      </c>
      <c r="C706">
        <f>IF(_xlfn.XLOOKUP(A706,PARAMETROS!A:A,PARAMETROS!C:C)=0,"",_xlfn.XLOOKUP(A706,PARAMETROS!A:A,PARAMETROS!C:C))</f>
        <v>12</v>
      </c>
      <c r="D706">
        <f>IF(_xlfn.XLOOKUP(A706,PARAMETROS!A:A,PARAMETROS!D:D)=0,"",_xlfn.XLOOKUP(A706,PARAMETROS!A:A,PARAMETROS!D:D))</f>
        <v>9</v>
      </c>
      <c r="E706" t="str">
        <f>IF(_xlfn.XLOOKUP('PREENCHIMENTO|LETIVAS'!A706,PARAMETROS!A:A,PARAMETROS!I:I)=0,"",_xlfn.XLOOKUP('PREENCHIMENTO|LETIVAS'!A706,PARAMETROS!A:A,PARAMETROS!I:I))</f>
        <v>PROFESSOR REGENTE</v>
      </c>
      <c r="F706" s="3" t="s">
        <v>38</v>
      </c>
      <c r="G706" s="3" t="s">
        <v>54</v>
      </c>
      <c r="H706" s="3" t="s">
        <v>63</v>
      </c>
      <c r="I706" s="3" t="s">
        <v>33</v>
      </c>
      <c r="J706" s="3" t="s">
        <v>1244</v>
      </c>
      <c r="K706" s="3"/>
      <c r="L706" s="19"/>
    </row>
    <row r="707" spans="1:12">
      <c r="A707" s="3" t="s">
        <v>755</v>
      </c>
      <c r="B707" t="str">
        <f>IF(_xlfn.XLOOKUP(A707,PARAMETROS!A:A,PARAMETROS!B:B)=0,"",_xlfn.XLOOKUP(A707,PARAMETROS!A:A,PARAMETROS!B:B))</f>
        <v>012009006535</v>
      </c>
      <c r="C707">
        <f>IF(_xlfn.XLOOKUP(A707,PARAMETROS!A:A,PARAMETROS!C:C)=0,"",_xlfn.XLOOKUP(A707,PARAMETROS!A:A,PARAMETROS!C:C))</f>
        <v>12</v>
      </c>
      <c r="D707">
        <f>IF(_xlfn.XLOOKUP(A707,PARAMETROS!A:A,PARAMETROS!D:D)=0,"",_xlfn.XLOOKUP(A707,PARAMETROS!A:A,PARAMETROS!D:D))</f>
        <v>9</v>
      </c>
      <c r="E707" t="str">
        <f>IF(_xlfn.XLOOKUP('PREENCHIMENTO|LETIVAS'!A707,PARAMETROS!A:A,PARAMETROS!I:I)=0,"",_xlfn.XLOOKUP('PREENCHIMENTO|LETIVAS'!A707,PARAMETROS!A:A,PARAMETROS!I:I))</f>
        <v>PROFESSOR REGENTE</v>
      </c>
      <c r="F707" s="3" t="s">
        <v>38</v>
      </c>
      <c r="G707" s="3">
        <v>1</v>
      </c>
      <c r="H707" s="3" t="s">
        <v>39</v>
      </c>
      <c r="I707" s="3" t="s">
        <v>40</v>
      </c>
      <c r="J707" s="3" t="s">
        <v>1507</v>
      </c>
      <c r="K707" s="3"/>
      <c r="L707" s="19"/>
    </row>
    <row r="708" spans="1:12">
      <c r="A708" s="3" t="s">
        <v>755</v>
      </c>
      <c r="B708" t="str">
        <f>IF(_xlfn.XLOOKUP(A708,PARAMETROS!A:A,PARAMETROS!B:B)=0,"",_xlfn.XLOOKUP(A708,PARAMETROS!A:A,PARAMETROS!B:B))</f>
        <v>012009006535</v>
      </c>
      <c r="C708">
        <f>IF(_xlfn.XLOOKUP(A708,PARAMETROS!A:A,PARAMETROS!C:C)=0,"",_xlfn.XLOOKUP(A708,PARAMETROS!A:A,PARAMETROS!C:C))</f>
        <v>12</v>
      </c>
      <c r="D708">
        <f>IF(_xlfn.XLOOKUP(A708,PARAMETROS!A:A,PARAMETROS!D:D)=0,"",_xlfn.XLOOKUP(A708,PARAMETROS!A:A,PARAMETROS!D:D))</f>
        <v>9</v>
      </c>
      <c r="E708" t="str">
        <f>IF(_xlfn.XLOOKUP('PREENCHIMENTO|LETIVAS'!A708,PARAMETROS!A:A,PARAMETROS!I:I)=0,"",_xlfn.XLOOKUP('PREENCHIMENTO|LETIVAS'!A708,PARAMETROS!A:A,PARAMETROS!I:I))</f>
        <v>PROFESSOR REGENTE</v>
      </c>
      <c r="F708" s="3" t="s">
        <v>38</v>
      </c>
      <c r="G708" s="3">
        <v>2</v>
      </c>
      <c r="H708" s="3" t="s">
        <v>39</v>
      </c>
      <c r="I708" s="3" t="s">
        <v>33</v>
      </c>
      <c r="J708" s="3" t="s">
        <v>1463</v>
      </c>
      <c r="K708" s="3"/>
      <c r="L708" s="19"/>
    </row>
    <row r="709" spans="1:12">
      <c r="A709" s="3" t="s">
        <v>759</v>
      </c>
      <c r="B709" t="str">
        <f>IF(_xlfn.XLOOKUP(A709,PARAMETROS!A:A,PARAMETROS!B:B)=0,"",_xlfn.XLOOKUP(A709,PARAMETROS!A:A,PARAMETROS!B:B))</f>
        <v>012009006502</v>
      </c>
      <c r="C709">
        <f>IF(_xlfn.XLOOKUP(A709,PARAMETROS!A:A,PARAMETROS!C:C)=0,"",_xlfn.XLOOKUP(A709,PARAMETROS!A:A,PARAMETROS!C:C))</f>
        <v>12</v>
      </c>
      <c r="D709">
        <f>IF(_xlfn.XLOOKUP(A709,PARAMETROS!A:A,PARAMETROS!D:D)=0,"",_xlfn.XLOOKUP(A709,PARAMETROS!A:A,PARAMETROS!D:D))</f>
        <v>9</v>
      </c>
      <c r="E709" t="str">
        <f>IF(_xlfn.XLOOKUP('PREENCHIMENTO|LETIVAS'!A709,PARAMETROS!A:A,PARAMETROS!I:I)=0,"",_xlfn.XLOOKUP('PREENCHIMENTO|LETIVAS'!A709,PARAMETROS!A:A,PARAMETROS!I:I))</f>
        <v>PROFESSOR REGENTE</v>
      </c>
      <c r="F709" s="3" t="s">
        <v>38</v>
      </c>
      <c r="G709" s="3">
        <v>1</v>
      </c>
      <c r="H709" s="3" t="s">
        <v>39</v>
      </c>
      <c r="I709" s="3" t="s">
        <v>40</v>
      </c>
      <c r="J709" s="3" t="s">
        <v>1270</v>
      </c>
      <c r="K709" s="3"/>
      <c r="L709" s="19"/>
    </row>
    <row r="710" spans="1:12">
      <c r="A710" s="3" t="s">
        <v>759</v>
      </c>
      <c r="B710" t="str">
        <f>IF(_xlfn.XLOOKUP(A710,PARAMETROS!A:A,PARAMETROS!B:B)=0,"",_xlfn.XLOOKUP(A710,PARAMETROS!A:A,PARAMETROS!B:B))</f>
        <v>012009006502</v>
      </c>
      <c r="C710">
        <f>IF(_xlfn.XLOOKUP(A710,PARAMETROS!A:A,PARAMETROS!C:C)=0,"",_xlfn.XLOOKUP(A710,PARAMETROS!A:A,PARAMETROS!C:C))</f>
        <v>12</v>
      </c>
      <c r="D710">
        <f>IF(_xlfn.XLOOKUP(A710,PARAMETROS!A:A,PARAMETROS!D:D)=0,"",_xlfn.XLOOKUP(A710,PARAMETROS!A:A,PARAMETROS!D:D))</f>
        <v>9</v>
      </c>
      <c r="E710" t="str">
        <f>IF(_xlfn.XLOOKUP('PREENCHIMENTO|LETIVAS'!A710,PARAMETROS!A:A,PARAMETROS!I:I)=0,"",_xlfn.XLOOKUP('PREENCHIMENTO|LETIVAS'!A710,PARAMETROS!A:A,PARAMETROS!I:I))</f>
        <v>PROFESSOR REGENTE</v>
      </c>
      <c r="F710" s="3" t="s">
        <v>38</v>
      </c>
      <c r="G710" s="3" t="s">
        <v>54</v>
      </c>
      <c r="H710" s="3" t="s">
        <v>32</v>
      </c>
      <c r="I710" s="3" t="s">
        <v>33</v>
      </c>
      <c r="J710" s="3" t="s">
        <v>1508</v>
      </c>
      <c r="K710" s="3"/>
      <c r="L710" s="19"/>
    </row>
    <row r="711" spans="1:12">
      <c r="A711" s="3" t="s">
        <v>759</v>
      </c>
      <c r="B711" t="str">
        <f>IF(_xlfn.XLOOKUP(A711,PARAMETROS!A:A,PARAMETROS!B:B)=0,"",_xlfn.XLOOKUP(A711,PARAMETROS!A:A,PARAMETROS!B:B))</f>
        <v>012009006502</v>
      </c>
      <c r="C711">
        <f>IF(_xlfn.XLOOKUP(A711,PARAMETROS!A:A,PARAMETROS!C:C)=0,"",_xlfn.XLOOKUP(A711,PARAMETROS!A:A,PARAMETROS!C:C))</f>
        <v>12</v>
      </c>
      <c r="D711">
        <f>IF(_xlfn.XLOOKUP(A711,PARAMETROS!A:A,PARAMETROS!D:D)=0,"",_xlfn.XLOOKUP(A711,PARAMETROS!A:A,PARAMETROS!D:D))</f>
        <v>9</v>
      </c>
      <c r="E711" t="str">
        <f>IF(_xlfn.XLOOKUP('PREENCHIMENTO|LETIVAS'!A711,PARAMETROS!A:A,PARAMETROS!I:I)=0,"",_xlfn.XLOOKUP('PREENCHIMENTO|LETIVAS'!A711,PARAMETROS!A:A,PARAMETROS!I:I))</f>
        <v>PROFESSOR REGENTE</v>
      </c>
      <c r="F711" s="3" t="s">
        <v>38</v>
      </c>
      <c r="G711" s="3" t="s">
        <v>54</v>
      </c>
      <c r="H711" s="3" t="s">
        <v>32</v>
      </c>
      <c r="I711" s="3" t="s">
        <v>40</v>
      </c>
      <c r="J711" s="3" t="s">
        <v>1509</v>
      </c>
      <c r="K711" s="3"/>
      <c r="L711" s="19"/>
    </row>
    <row r="712" spans="1:12">
      <c r="A712" s="3" t="s">
        <v>763</v>
      </c>
      <c r="B712" t="str">
        <f>IF(_xlfn.XLOOKUP(A712,PARAMETROS!A:A,PARAMETROS!B:B)=0,"",_xlfn.XLOOKUP(A712,PARAMETROS!A:A,PARAMETROS!B:B))</f>
        <v>012009003673</v>
      </c>
      <c r="C712" t="str">
        <f>IF(_xlfn.XLOOKUP(A712,PARAMETROS!A:A,PARAMETROS!C:C)=0,"",_xlfn.XLOOKUP(A712,PARAMETROS!A:A,PARAMETROS!C:C))</f>
        <v/>
      </c>
      <c r="D712" t="str">
        <f>IF(_xlfn.XLOOKUP(A712,PARAMETROS!A:A,PARAMETROS!D:D)=0,"",_xlfn.XLOOKUP(A712,PARAMETROS!A:A,PARAMETROS!D:D))</f>
        <v/>
      </c>
      <c r="E712" t="str">
        <f>IF(_xlfn.XLOOKUP('PREENCHIMENTO|LETIVAS'!A712,PARAMETROS!A:A,PARAMETROS!I:I)=0,"",_xlfn.XLOOKUP('PREENCHIMENTO|LETIVAS'!A712,PARAMETROS!A:A,PARAMETROS!I:I))</f>
        <v>PROFESSOR DE ENSINO SUPERIOR PRESENCIAL</v>
      </c>
      <c r="F712" s="3" t="s">
        <v>38</v>
      </c>
      <c r="G712" s="3">
        <v>2</v>
      </c>
      <c r="H712" s="3" t="s">
        <v>32</v>
      </c>
      <c r="I712" s="3" t="s">
        <v>40</v>
      </c>
      <c r="J712" s="3" t="s">
        <v>1510</v>
      </c>
      <c r="K712" s="3"/>
      <c r="L712" s="19"/>
    </row>
    <row r="713" spans="1:12">
      <c r="A713" s="3" t="s">
        <v>763</v>
      </c>
      <c r="B713" t="str">
        <f>IF(_xlfn.XLOOKUP(A713,PARAMETROS!A:A,PARAMETROS!B:B)=0,"",_xlfn.XLOOKUP(A713,PARAMETROS!A:A,PARAMETROS!B:B))</f>
        <v>012009003673</v>
      </c>
      <c r="C713" t="str">
        <f>IF(_xlfn.XLOOKUP(A713,PARAMETROS!A:A,PARAMETROS!C:C)=0,"",_xlfn.XLOOKUP(A713,PARAMETROS!A:A,PARAMETROS!C:C))</f>
        <v/>
      </c>
      <c r="D713" t="str">
        <f>IF(_xlfn.XLOOKUP(A713,PARAMETROS!A:A,PARAMETROS!D:D)=0,"",_xlfn.XLOOKUP(A713,PARAMETROS!A:A,PARAMETROS!D:D))</f>
        <v/>
      </c>
      <c r="E713" t="str">
        <f>IF(_xlfn.XLOOKUP('PREENCHIMENTO|LETIVAS'!A713,PARAMETROS!A:A,PARAMETROS!I:I)=0,"",_xlfn.XLOOKUP('PREENCHIMENTO|LETIVAS'!A713,PARAMETROS!A:A,PARAMETROS!I:I))</f>
        <v>PROFESSOR DE ENSINO SUPERIOR PRESENCIAL</v>
      </c>
      <c r="F713" s="3" t="s">
        <v>38</v>
      </c>
      <c r="G713" s="3">
        <v>2</v>
      </c>
      <c r="H713" s="3" t="s">
        <v>55</v>
      </c>
      <c r="I713" s="3" t="s">
        <v>40</v>
      </c>
      <c r="J713" s="3" t="s">
        <v>1511</v>
      </c>
      <c r="K713" s="3"/>
      <c r="L713" s="19"/>
    </row>
    <row r="714" spans="1:12">
      <c r="A714" s="3" t="s">
        <v>767</v>
      </c>
      <c r="B714" t="str">
        <f>IF(_xlfn.XLOOKUP(A714,PARAMETROS!A:A,PARAMETROS!B:B)=0,"",_xlfn.XLOOKUP(A714,PARAMETROS!A:A,PARAMETROS!B:B))</f>
        <v>012009004012</v>
      </c>
      <c r="C714" t="str">
        <f>IF(_xlfn.XLOOKUP(A714,PARAMETROS!A:A,PARAMETROS!C:C)=0,"",_xlfn.XLOOKUP(A714,PARAMETROS!A:A,PARAMETROS!C:C))</f>
        <v/>
      </c>
      <c r="D714" t="str">
        <f>IF(_xlfn.XLOOKUP(A714,PARAMETROS!A:A,PARAMETROS!D:D)=0,"",_xlfn.XLOOKUP(A714,PARAMETROS!A:A,PARAMETROS!D:D))</f>
        <v/>
      </c>
      <c r="E714" t="str">
        <f>IF(_xlfn.XLOOKUP('PREENCHIMENTO|LETIVAS'!A714,PARAMETROS!A:A,PARAMETROS!I:I)=0,"",_xlfn.XLOOKUP('PREENCHIMENTO|LETIVAS'!A714,PARAMETROS!A:A,PARAMETROS!I:I))</f>
        <v>PROFESSOR DE ENSINO SUPERIOR PRESENCIAL</v>
      </c>
      <c r="F714" s="3" t="s">
        <v>38</v>
      </c>
      <c r="G714" s="3">
        <v>1</v>
      </c>
      <c r="H714" s="3" t="s">
        <v>55</v>
      </c>
      <c r="I714" s="3" t="s">
        <v>40</v>
      </c>
      <c r="J714" s="3" t="s">
        <v>1512</v>
      </c>
      <c r="K714" s="3"/>
      <c r="L714" s="19"/>
    </row>
    <row r="715" spans="1:12">
      <c r="A715" s="3" t="s">
        <v>767</v>
      </c>
      <c r="B715" t="str">
        <f>IF(_xlfn.XLOOKUP(A715,PARAMETROS!A:A,PARAMETROS!B:B)=0,"",_xlfn.XLOOKUP(A715,PARAMETROS!A:A,PARAMETROS!B:B))</f>
        <v>012009004012</v>
      </c>
      <c r="C715" t="str">
        <f>IF(_xlfn.XLOOKUP(A715,PARAMETROS!A:A,PARAMETROS!C:C)=0,"",_xlfn.XLOOKUP(A715,PARAMETROS!A:A,PARAMETROS!C:C))</f>
        <v/>
      </c>
      <c r="D715" t="str">
        <f>IF(_xlfn.XLOOKUP(A715,PARAMETROS!A:A,PARAMETROS!D:D)=0,"",_xlfn.XLOOKUP(A715,PARAMETROS!A:A,PARAMETROS!D:D))</f>
        <v/>
      </c>
      <c r="E715" t="str">
        <f>IF(_xlfn.XLOOKUP('PREENCHIMENTO|LETIVAS'!A715,PARAMETROS!A:A,PARAMETROS!I:I)=0,"",_xlfn.XLOOKUP('PREENCHIMENTO|LETIVAS'!A715,PARAMETROS!A:A,PARAMETROS!I:I))</f>
        <v>PROFESSOR DE ENSINO SUPERIOR PRESENCIAL</v>
      </c>
      <c r="F715" s="3" t="s">
        <v>38</v>
      </c>
      <c r="G715" s="3">
        <v>2</v>
      </c>
      <c r="H715" s="3" t="s">
        <v>63</v>
      </c>
      <c r="I715" s="3" t="s">
        <v>40</v>
      </c>
      <c r="J715" s="3" t="s">
        <v>1513</v>
      </c>
      <c r="K715" s="3"/>
      <c r="L715" s="19"/>
    </row>
    <row r="716" spans="1:12">
      <c r="A716" s="3" t="s">
        <v>767</v>
      </c>
      <c r="B716" t="str">
        <f>IF(_xlfn.XLOOKUP(A716,PARAMETROS!A:A,PARAMETROS!B:B)=0,"",_xlfn.XLOOKUP(A716,PARAMETROS!A:A,PARAMETROS!B:B))</f>
        <v>012009004012</v>
      </c>
      <c r="C716" t="str">
        <f>IF(_xlfn.XLOOKUP(A716,PARAMETROS!A:A,PARAMETROS!C:C)=0,"",_xlfn.XLOOKUP(A716,PARAMETROS!A:A,PARAMETROS!C:C))</f>
        <v/>
      </c>
      <c r="D716" t="str">
        <f>IF(_xlfn.XLOOKUP(A716,PARAMETROS!A:A,PARAMETROS!D:D)=0,"",_xlfn.XLOOKUP(A716,PARAMETROS!A:A,PARAMETROS!D:D))</f>
        <v/>
      </c>
      <c r="E716" t="str">
        <f>IF(_xlfn.XLOOKUP('PREENCHIMENTO|LETIVAS'!A716,PARAMETROS!A:A,PARAMETROS!I:I)=0,"",_xlfn.XLOOKUP('PREENCHIMENTO|LETIVAS'!A716,PARAMETROS!A:A,PARAMETROS!I:I))</f>
        <v>PROFESSOR DE ENSINO SUPERIOR PRESENCIAL</v>
      </c>
      <c r="F716" s="3" t="s">
        <v>38</v>
      </c>
      <c r="G716" s="3">
        <v>1</v>
      </c>
      <c r="H716" s="3" t="s">
        <v>55</v>
      </c>
      <c r="I716" s="3" t="s">
        <v>33</v>
      </c>
      <c r="J716" s="3" t="s">
        <v>1514</v>
      </c>
      <c r="K716" s="3"/>
      <c r="L716" s="19"/>
    </row>
    <row r="717" spans="1:12">
      <c r="A717" s="3" t="s">
        <v>343</v>
      </c>
      <c r="B717" t="str">
        <f>IF(_xlfn.XLOOKUP(A717,PARAMETROS!A:A,PARAMETROS!B:B)=0,"",_xlfn.XLOOKUP(A717,PARAMETROS!A:A,PARAMETROS!B:B))</f>
        <v>012009003454</v>
      </c>
      <c r="C717">
        <f>IF(_xlfn.XLOOKUP(A717,PARAMETROS!A:A,PARAMETROS!C:C)=0,"",_xlfn.XLOOKUP(A717,PARAMETROS!A:A,PARAMETROS!C:C))</f>
        <v>40</v>
      </c>
      <c r="D717">
        <f>IF(_xlfn.XLOOKUP(A717,PARAMETROS!A:A,PARAMETROS!D:D)=0,"",_xlfn.XLOOKUP(A717,PARAMETROS!A:A,PARAMETROS!D:D))</f>
        <v>4</v>
      </c>
      <c r="E717" t="str">
        <f>IF(_xlfn.XLOOKUP('PREENCHIMENTO|LETIVAS'!A717,PARAMETROS!A:A,PARAMETROS!I:I)=0,"",_xlfn.XLOOKUP('PREENCHIMENTO|LETIVAS'!A717,PARAMETROS!A:A,PARAMETROS!I:I))</f>
        <v>PROFESSOR DE ENSINO SUPERIOR EAD</v>
      </c>
      <c r="F717" s="3" t="s">
        <v>38</v>
      </c>
      <c r="G717" s="3">
        <v>2</v>
      </c>
      <c r="H717" s="3" t="s">
        <v>55</v>
      </c>
      <c r="I717" s="3" t="s">
        <v>40</v>
      </c>
      <c r="J717" s="3" t="s">
        <v>1515</v>
      </c>
      <c r="K717" s="3"/>
      <c r="L717" s="19"/>
    </row>
    <row r="718" spans="1:12">
      <c r="A718" s="3" t="s">
        <v>769</v>
      </c>
      <c r="B718" t="str">
        <f>IF(_xlfn.XLOOKUP(A718,PARAMETROS!A:A,PARAMETROS!B:B)=0,"",_xlfn.XLOOKUP(A718,PARAMETROS!A:A,PARAMETROS!B:B))</f>
        <v>012009006510</v>
      </c>
      <c r="C718">
        <f>IF(_xlfn.XLOOKUP(A718,PARAMETROS!A:A,PARAMETROS!C:C)=0,"",_xlfn.XLOOKUP(A718,PARAMETROS!A:A,PARAMETROS!C:C))</f>
        <v>12</v>
      </c>
      <c r="D718">
        <f>IF(_xlfn.XLOOKUP(A718,PARAMETROS!A:A,PARAMETROS!D:D)=0,"",_xlfn.XLOOKUP(A718,PARAMETROS!A:A,PARAMETROS!D:D))</f>
        <v>9</v>
      </c>
      <c r="E718" t="str">
        <f>IF(_xlfn.XLOOKUP('PREENCHIMENTO|LETIVAS'!A718,PARAMETROS!A:A,PARAMETROS!I:I)=0,"",_xlfn.XLOOKUP('PREENCHIMENTO|LETIVAS'!A718,PARAMETROS!A:A,PARAMETROS!I:I))</f>
        <v>PROFESSOR REGENTE</v>
      </c>
      <c r="F718" s="3" t="s">
        <v>38</v>
      </c>
      <c r="G718" s="3">
        <v>2</v>
      </c>
      <c r="H718" s="3" t="s">
        <v>63</v>
      </c>
      <c r="I718" s="3" t="s">
        <v>40</v>
      </c>
      <c r="J718" s="3" t="s">
        <v>1516</v>
      </c>
      <c r="K718" s="3"/>
      <c r="L718" s="19"/>
    </row>
    <row r="719" spans="1:12">
      <c r="A719" s="3" t="s">
        <v>587</v>
      </c>
      <c r="B719" t="str">
        <f>IF(_xlfn.XLOOKUP(A719,PARAMETROS!A:A,PARAMETROS!B:B)=0,"",_xlfn.XLOOKUP(A719,PARAMETROS!A:A,PARAMETROS!B:B))</f>
        <v>012009006305</v>
      </c>
      <c r="C719">
        <f>IF(_xlfn.XLOOKUP(A719,PARAMETROS!A:A,PARAMETROS!C:C)=0,"",_xlfn.XLOOKUP(A719,PARAMETROS!A:A,PARAMETROS!C:C))</f>
        <v>12</v>
      </c>
      <c r="D719">
        <f>IF(_xlfn.XLOOKUP(A719,PARAMETROS!A:A,PARAMETROS!D:D)=0,"",_xlfn.XLOOKUP(A719,PARAMETROS!A:A,PARAMETROS!D:D))</f>
        <v>9</v>
      </c>
      <c r="E719" t="str">
        <f>IF(_xlfn.XLOOKUP('PREENCHIMENTO|LETIVAS'!A719,PARAMETROS!A:A,PARAMETROS!I:I)=0,"",_xlfn.XLOOKUP('PREENCHIMENTO|LETIVAS'!A719,PARAMETROS!A:A,PARAMETROS!I:I))</f>
        <v>PROFESSOR REGENTE</v>
      </c>
      <c r="F719" s="3" t="s">
        <v>38</v>
      </c>
      <c r="G719" s="3" t="s">
        <v>54</v>
      </c>
      <c r="H719" s="3" t="s">
        <v>55</v>
      </c>
      <c r="I719" s="3" t="s">
        <v>40</v>
      </c>
      <c r="J719" s="3" t="s">
        <v>1517</v>
      </c>
      <c r="K719" s="3"/>
      <c r="L719" s="19"/>
    </row>
    <row r="720" spans="1:12">
      <c r="A720" s="3" t="s">
        <v>587</v>
      </c>
      <c r="B720" t="str">
        <f>IF(_xlfn.XLOOKUP(A720,PARAMETROS!A:A,PARAMETROS!B:B)=0,"",_xlfn.XLOOKUP(A720,PARAMETROS!A:A,PARAMETROS!B:B))</f>
        <v>012009006305</v>
      </c>
      <c r="C720">
        <f>IF(_xlfn.XLOOKUP(A720,PARAMETROS!A:A,PARAMETROS!C:C)=0,"",_xlfn.XLOOKUP(A720,PARAMETROS!A:A,PARAMETROS!C:C))</f>
        <v>12</v>
      </c>
      <c r="D720">
        <f>IF(_xlfn.XLOOKUP(A720,PARAMETROS!A:A,PARAMETROS!D:D)=0,"",_xlfn.XLOOKUP(A720,PARAMETROS!A:A,PARAMETROS!D:D))</f>
        <v>9</v>
      </c>
      <c r="E720" t="str">
        <f>IF(_xlfn.XLOOKUP('PREENCHIMENTO|LETIVAS'!A720,PARAMETROS!A:A,PARAMETROS!I:I)=0,"",_xlfn.XLOOKUP('PREENCHIMENTO|LETIVAS'!A720,PARAMETROS!A:A,PARAMETROS!I:I))</f>
        <v>PROFESSOR REGENTE</v>
      </c>
      <c r="F720" s="3" t="s">
        <v>38</v>
      </c>
      <c r="G720" s="3" t="s">
        <v>54</v>
      </c>
      <c r="H720" s="3" t="s">
        <v>55</v>
      </c>
      <c r="I720" s="3" t="s">
        <v>33</v>
      </c>
      <c r="J720" s="3" t="s">
        <v>1518</v>
      </c>
      <c r="K720" s="3"/>
      <c r="L720" s="19"/>
    </row>
    <row r="721" spans="1:12">
      <c r="A721" s="3" t="s">
        <v>774</v>
      </c>
      <c r="B721" t="str">
        <f>IF(_xlfn.XLOOKUP(A721,PARAMETROS!A:A,PARAMETROS!B:B)=0,"",_xlfn.XLOOKUP(A721,PARAMETROS!A:A,PARAMETROS!B:B))</f>
        <v>012009006534</v>
      </c>
      <c r="C721">
        <f>IF(_xlfn.XLOOKUP(A721,PARAMETROS!A:A,PARAMETROS!C:C)=0,"",_xlfn.XLOOKUP(A721,PARAMETROS!A:A,PARAMETROS!C:C))</f>
        <v>12</v>
      </c>
      <c r="D721">
        <f>IF(_xlfn.XLOOKUP(A721,PARAMETROS!A:A,PARAMETROS!D:D)=0,"",_xlfn.XLOOKUP(A721,PARAMETROS!A:A,PARAMETROS!D:D))</f>
        <v>9</v>
      </c>
      <c r="E721" t="str">
        <f>IF(_xlfn.XLOOKUP('PREENCHIMENTO|LETIVAS'!A721,PARAMETROS!A:A,PARAMETROS!I:I)=0,"",_xlfn.XLOOKUP('PREENCHIMENTO|LETIVAS'!A721,PARAMETROS!A:A,PARAMETROS!I:I))</f>
        <v>PROFESSOR REGENTE</v>
      </c>
      <c r="F721" s="3" t="s">
        <v>38</v>
      </c>
      <c r="G721" s="3">
        <v>2</v>
      </c>
      <c r="H721" s="3" t="s">
        <v>39</v>
      </c>
      <c r="I721" s="3" t="s">
        <v>33</v>
      </c>
      <c r="J721" s="3" t="s">
        <v>1519</v>
      </c>
      <c r="K721" s="3"/>
      <c r="L721" s="19"/>
    </row>
    <row r="722" spans="1:12">
      <c r="A722" s="3" t="s">
        <v>856</v>
      </c>
      <c r="B722" t="str">
        <f>IF(_xlfn.XLOOKUP(A722,PARAMETROS!A:A,PARAMETROS!B:B)=0,"",_xlfn.XLOOKUP(A722,PARAMETROS!A:A,PARAMETROS!B:B))</f>
        <v>000000000000</v>
      </c>
      <c r="C722" t="str">
        <f>IF(_xlfn.XLOOKUP(A722,PARAMETROS!A:A,PARAMETROS!C:C)=0,"",_xlfn.XLOOKUP(A722,PARAMETROS!A:A,PARAMETROS!C:C))</f>
        <v/>
      </c>
      <c r="D722" t="str">
        <f>IF(_xlfn.XLOOKUP(A722,PARAMETROS!A:A,PARAMETROS!D:D)=0,"",_xlfn.XLOOKUP(A722,PARAMETROS!A:A,PARAMETROS!D:D))</f>
        <v/>
      </c>
      <c r="E722" t="str">
        <f>IF(_xlfn.XLOOKUP('PREENCHIMENTO|LETIVAS'!A722,PARAMETROS!A:A,PARAMETROS!I:I)=0,"",_xlfn.XLOOKUP('PREENCHIMENTO|LETIVAS'!A722,PARAMETROS!A:A,PARAMETROS!I:I))</f>
        <v>RPA</v>
      </c>
      <c r="F722" s="3" t="s">
        <v>38</v>
      </c>
      <c r="G722" s="3">
        <v>1</v>
      </c>
      <c r="H722" s="3" t="s">
        <v>39</v>
      </c>
      <c r="I722" s="3" t="s">
        <v>40</v>
      </c>
      <c r="J722" s="3" t="s">
        <v>1520</v>
      </c>
      <c r="K722" s="3" t="s">
        <v>825</v>
      </c>
      <c r="L722" s="19"/>
    </row>
    <row r="723" spans="1:12">
      <c r="A723" s="3" t="s">
        <v>856</v>
      </c>
      <c r="B723" t="str">
        <f>IF(_xlfn.XLOOKUP(A723,PARAMETROS!A:A,PARAMETROS!B:B)=0,"",_xlfn.XLOOKUP(A723,PARAMETROS!A:A,PARAMETROS!B:B))</f>
        <v>000000000000</v>
      </c>
      <c r="C723" t="str">
        <f>IF(_xlfn.XLOOKUP(A723,PARAMETROS!A:A,PARAMETROS!C:C)=0,"",_xlfn.XLOOKUP(A723,PARAMETROS!A:A,PARAMETROS!C:C))</f>
        <v/>
      </c>
      <c r="D723" t="str">
        <f>IF(_xlfn.XLOOKUP(A723,PARAMETROS!A:A,PARAMETROS!D:D)=0,"",_xlfn.XLOOKUP(A723,PARAMETROS!A:A,PARAMETROS!D:D))</f>
        <v/>
      </c>
      <c r="E723" t="str">
        <f>IF(_xlfn.XLOOKUP('PREENCHIMENTO|LETIVAS'!A723,PARAMETROS!A:A,PARAMETROS!I:I)=0,"",_xlfn.XLOOKUP('PREENCHIMENTO|LETIVAS'!A723,PARAMETROS!A:A,PARAMETROS!I:I))</f>
        <v>RPA</v>
      </c>
      <c r="F723" s="3" t="s">
        <v>38</v>
      </c>
      <c r="G723" s="3" t="s">
        <v>54</v>
      </c>
      <c r="H723" s="3" t="s">
        <v>63</v>
      </c>
      <c r="I723" s="3" t="s">
        <v>33</v>
      </c>
      <c r="J723" s="3" t="s">
        <v>1520</v>
      </c>
      <c r="K723" s="3" t="s">
        <v>825</v>
      </c>
      <c r="L723" s="19"/>
    </row>
    <row r="724" spans="1:12">
      <c r="A724" s="3" t="s">
        <v>856</v>
      </c>
      <c r="B724" t="str">
        <f>IF(_xlfn.XLOOKUP(A724,PARAMETROS!A:A,PARAMETROS!B:B)=0,"",_xlfn.XLOOKUP(A724,PARAMETROS!A:A,PARAMETROS!B:B))</f>
        <v>000000000000</v>
      </c>
      <c r="C724" t="str">
        <f>IF(_xlfn.XLOOKUP(A724,PARAMETROS!A:A,PARAMETROS!C:C)=0,"",_xlfn.XLOOKUP(A724,PARAMETROS!A:A,PARAMETROS!C:C))</f>
        <v/>
      </c>
      <c r="D724" t="str">
        <f>IF(_xlfn.XLOOKUP(A724,PARAMETROS!A:A,PARAMETROS!D:D)=0,"",_xlfn.XLOOKUP(A724,PARAMETROS!A:A,PARAMETROS!D:D))</f>
        <v/>
      </c>
      <c r="E724" t="str">
        <f>IF(_xlfn.XLOOKUP('PREENCHIMENTO|LETIVAS'!A724,PARAMETROS!A:A,PARAMETROS!I:I)=0,"",_xlfn.XLOOKUP('PREENCHIMENTO|LETIVAS'!A724,PARAMETROS!A:A,PARAMETROS!I:I))</f>
        <v>RPA</v>
      </c>
      <c r="F724" s="3" t="s">
        <v>38</v>
      </c>
      <c r="G724" s="3" t="s">
        <v>54</v>
      </c>
      <c r="H724" s="3" t="s">
        <v>32</v>
      </c>
      <c r="I724" s="3" t="s">
        <v>33</v>
      </c>
      <c r="J724" s="3" t="s">
        <v>1521</v>
      </c>
      <c r="K724" s="3" t="s">
        <v>1522</v>
      </c>
      <c r="L724" s="19"/>
    </row>
    <row r="725" spans="1:12">
      <c r="A725" s="3" t="s">
        <v>856</v>
      </c>
      <c r="B725" t="str">
        <f>IF(_xlfn.XLOOKUP(A725,PARAMETROS!A:A,PARAMETROS!B:B)=0,"",_xlfn.XLOOKUP(A725,PARAMETROS!A:A,PARAMETROS!B:B))</f>
        <v>000000000000</v>
      </c>
      <c r="C725" t="str">
        <f>IF(_xlfn.XLOOKUP(A725,PARAMETROS!A:A,PARAMETROS!C:C)=0,"",_xlfn.XLOOKUP(A725,PARAMETROS!A:A,PARAMETROS!C:C))</f>
        <v/>
      </c>
      <c r="D725" t="str">
        <f>IF(_xlfn.XLOOKUP(A725,PARAMETROS!A:A,PARAMETROS!D:D)=0,"",_xlfn.XLOOKUP(A725,PARAMETROS!A:A,PARAMETROS!D:D))</f>
        <v/>
      </c>
      <c r="E725" t="str">
        <f>IF(_xlfn.XLOOKUP('PREENCHIMENTO|LETIVAS'!A725,PARAMETROS!A:A,PARAMETROS!I:I)=0,"",_xlfn.XLOOKUP('PREENCHIMENTO|LETIVAS'!A725,PARAMETROS!A:A,PARAMETROS!I:I))</f>
        <v>RPA</v>
      </c>
      <c r="F725" s="3" t="s">
        <v>38</v>
      </c>
      <c r="G725" s="3">
        <v>1</v>
      </c>
      <c r="H725" s="3" t="s">
        <v>63</v>
      </c>
      <c r="I725" s="3" t="s">
        <v>33</v>
      </c>
      <c r="J725" s="3" t="s">
        <v>1468</v>
      </c>
      <c r="K725" s="3" t="s">
        <v>1523</v>
      </c>
      <c r="L725" s="19"/>
    </row>
    <row r="726" spans="1:12">
      <c r="A726" s="3" t="s">
        <v>856</v>
      </c>
      <c r="B726" t="str">
        <f>IF(_xlfn.XLOOKUP(A726,PARAMETROS!A:A,PARAMETROS!B:B)=0,"",_xlfn.XLOOKUP(A726,PARAMETROS!A:A,PARAMETROS!B:B))</f>
        <v>000000000000</v>
      </c>
      <c r="C726" t="str">
        <f>IF(_xlfn.XLOOKUP(A726,PARAMETROS!A:A,PARAMETROS!C:C)=0,"",_xlfn.XLOOKUP(A726,PARAMETROS!A:A,PARAMETROS!C:C))</f>
        <v/>
      </c>
      <c r="D726" t="str">
        <f>IF(_xlfn.XLOOKUP(A726,PARAMETROS!A:A,PARAMETROS!D:D)=0,"",_xlfn.XLOOKUP(A726,PARAMETROS!A:A,PARAMETROS!D:D))</f>
        <v/>
      </c>
      <c r="E726" t="str">
        <f>IF(_xlfn.XLOOKUP('PREENCHIMENTO|LETIVAS'!A726,PARAMETROS!A:A,PARAMETROS!I:I)=0,"",_xlfn.XLOOKUP('PREENCHIMENTO|LETIVAS'!A726,PARAMETROS!A:A,PARAMETROS!I:I))</f>
        <v>RPA</v>
      </c>
      <c r="F726" s="3" t="s">
        <v>38</v>
      </c>
      <c r="G726" s="3" t="s">
        <v>54</v>
      </c>
      <c r="H726" s="3" t="s">
        <v>32</v>
      </c>
      <c r="I726" s="3" t="s">
        <v>40</v>
      </c>
      <c r="J726" s="3" t="s">
        <v>1386</v>
      </c>
      <c r="K726" s="3" t="s">
        <v>1524</v>
      </c>
      <c r="L726" s="19"/>
    </row>
    <row r="727" spans="1:12">
      <c r="A727" s="3" t="s">
        <v>856</v>
      </c>
      <c r="B727" t="str">
        <f>IF(_xlfn.XLOOKUP(A727,PARAMETROS!A:A,PARAMETROS!B:B)=0,"",_xlfn.XLOOKUP(A727,PARAMETROS!A:A,PARAMETROS!B:B))</f>
        <v>000000000000</v>
      </c>
      <c r="C727" t="str">
        <f>IF(_xlfn.XLOOKUP(A727,PARAMETROS!A:A,PARAMETROS!C:C)=0,"",_xlfn.XLOOKUP(A727,PARAMETROS!A:A,PARAMETROS!C:C))</f>
        <v/>
      </c>
      <c r="D727" t="str">
        <f>IF(_xlfn.XLOOKUP(A727,PARAMETROS!A:A,PARAMETROS!D:D)=0,"",_xlfn.XLOOKUP(A727,PARAMETROS!A:A,PARAMETROS!D:D))</f>
        <v/>
      </c>
      <c r="E727" t="str">
        <f>IF(_xlfn.XLOOKUP('PREENCHIMENTO|LETIVAS'!A727,PARAMETROS!A:A,PARAMETROS!I:I)=0,"",_xlfn.XLOOKUP('PREENCHIMENTO|LETIVAS'!A727,PARAMETROS!A:A,PARAMETROS!I:I))</f>
        <v>RPA</v>
      </c>
      <c r="F727" s="3" t="s">
        <v>38</v>
      </c>
      <c r="G727" s="3" t="s">
        <v>54</v>
      </c>
      <c r="H727" s="3" t="s">
        <v>32</v>
      </c>
      <c r="I727" s="3" t="s">
        <v>33</v>
      </c>
      <c r="J727" s="3" t="s">
        <v>1525</v>
      </c>
      <c r="K727" s="3" t="s">
        <v>1526</v>
      </c>
      <c r="L727" s="19"/>
    </row>
    <row r="728" spans="1:12">
      <c r="A728" s="3" t="s">
        <v>856</v>
      </c>
      <c r="B728" t="str">
        <f>IF(_xlfn.XLOOKUP(A728,PARAMETROS!A:A,PARAMETROS!B:B)=0,"",_xlfn.XLOOKUP(A728,PARAMETROS!A:A,PARAMETROS!B:B))</f>
        <v>000000000000</v>
      </c>
      <c r="C728" t="str">
        <f>IF(_xlfn.XLOOKUP(A728,PARAMETROS!A:A,PARAMETROS!C:C)=0,"",_xlfn.XLOOKUP(A728,PARAMETROS!A:A,PARAMETROS!C:C))</f>
        <v/>
      </c>
      <c r="D728" t="str">
        <f>IF(_xlfn.XLOOKUP(A728,PARAMETROS!A:A,PARAMETROS!D:D)=0,"",_xlfn.XLOOKUP(A728,PARAMETROS!A:A,PARAMETROS!D:D))</f>
        <v/>
      </c>
      <c r="E728" t="str">
        <f>IF(_xlfn.XLOOKUP('PREENCHIMENTO|LETIVAS'!A728,PARAMETROS!A:A,PARAMETROS!I:I)=0,"",_xlfn.XLOOKUP('PREENCHIMENTO|LETIVAS'!A728,PARAMETROS!A:A,PARAMETROS!I:I))</f>
        <v>RPA</v>
      </c>
      <c r="F728" s="3" t="s">
        <v>38</v>
      </c>
      <c r="G728" s="3" t="s">
        <v>54</v>
      </c>
      <c r="H728" s="3" t="s">
        <v>32</v>
      </c>
      <c r="I728" s="3" t="s">
        <v>40</v>
      </c>
      <c r="J728" s="3" t="s">
        <v>1527</v>
      </c>
      <c r="K728" s="3" t="s">
        <v>1528</v>
      </c>
      <c r="L728" s="19"/>
    </row>
    <row r="729" spans="1:12">
      <c r="A729" s="3" t="s">
        <v>856</v>
      </c>
      <c r="B729" t="str">
        <f>IF(_xlfn.XLOOKUP(A729,PARAMETROS!A:A,PARAMETROS!B:B)=0,"",_xlfn.XLOOKUP(A729,PARAMETROS!A:A,PARAMETROS!B:B))</f>
        <v>000000000000</v>
      </c>
      <c r="C729" t="str">
        <f>IF(_xlfn.XLOOKUP(A729,PARAMETROS!A:A,PARAMETROS!C:C)=0,"",_xlfn.XLOOKUP(A729,PARAMETROS!A:A,PARAMETROS!C:C))</f>
        <v/>
      </c>
      <c r="D729" t="str">
        <f>IF(_xlfn.XLOOKUP(A729,PARAMETROS!A:A,PARAMETROS!D:D)=0,"",_xlfn.XLOOKUP(A729,PARAMETROS!A:A,PARAMETROS!D:D))</f>
        <v/>
      </c>
      <c r="E729" t="str">
        <f>IF(_xlfn.XLOOKUP('PREENCHIMENTO|LETIVAS'!A729,PARAMETROS!A:A,PARAMETROS!I:I)=0,"",_xlfn.XLOOKUP('PREENCHIMENTO|LETIVAS'!A729,PARAMETROS!A:A,PARAMETROS!I:I))</f>
        <v>RPA</v>
      </c>
      <c r="F729" s="3" t="s">
        <v>38</v>
      </c>
      <c r="G729" s="3" t="s">
        <v>54</v>
      </c>
      <c r="H729" s="3" t="s">
        <v>55</v>
      </c>
      <c r="I729" s="3" t="s">
        <v>33</v>
      </c>
      <c r="J729" s="3" t="s">
        <v>1529</v>
      </c>
      <c r="K729" s="3" t="s">
        <v>1528</v>
      </c>
      <c r="L729" s="19"/>
    </row>
    <row r="730" spans="1:12">
      <c r="A730" s="3" t="s">
        <v>856</v>
      </c>
      <c r="B730" t="str">
        <f>IF(_xlfn.XLOOKUP(A730,PARAMETROS!A:A,PARAMETROS!B:B)=0,"",_xlfn.XLOOKUP(A730,PARAMETROS!A:A,PARAMETROS!B:B))</f>
        <v>000000000000</v>
      </c>
      <c r="C730" t="str">
        <f>IF(_xlfn.XLOOKUP(A730,PARAMETROS!A:A,PARAMETROS!C:C)=0,"",_xlfn.XLOOKUP(A730,PARAMETROS!A:A,PARAMETROS!C:C))</f>
        <v/>
      </c>
      <c r="D730" t="str">
        <f>IF(_xlfn.XLOOKUP(A730,PARAMETROS!A:A,PARAMETROS!D:D)=0,"",_xlfn.XLOOKUP(A730,PARAMETROS!A:A,PARAMETROS!D:D))</f>
        <v/>
      </c>
      <c r="E730" t="str">
        <f>IF(_xlfn.XLOOKUP('PREENCHIMENTO|LETIVAS'!A730,PARAMETROS!A:A,PARAMETROS!I:I)=0,"",_xlfn.XLOOKUP('PREENCHIMENTO|LETIVAS'!A730,PARAMETROS!A:A,PARAMETROS!I:I))</f>
        <v>RPA</v>
      </c>
      <c r="F730" s="3" t="s">
        <v>38</v>
      </c>
      <c r="G730" s="3" t="s">
        <v>54</v>
      </c>
      <c r="H730" s="3" t="s">
        <v>55</v>
      </c>
      <c r="I730" s="3" t="s">
        <v>40</v>
      </c>
      <c r="J730" s="3" t="s">
        <v>1530</v>
      </c>
      <c r="K730" s="3" t="s">
        <v>1528</v>
      </c>
      <c r="L730" s="19"/>
    </row>
    <row r="731" spans="1:12">
      <c r="A731" s="3" t="s">
        <v>856</v>
      </c>
      <c r="B731" t="str">
        <f>IF(_xlfn.XLOOKUP(A731,PARAMETROS!A:A,PARAMETROS!B:B)=0,"",_xlfn.XLOOKUP(A731,PARAMETROS!A:A,PARAMETROS!B:B))</f>
        <v>000000000000</v>
      </c>
      <c r="C731" t="str">
        <f>IF(_xlfn.XLOOKUP(A731,PARAMETROS!A:A,PARAMETROS!C:C)=0,"",_xlfn.XLOOKUP(A731,PARAMETROS!A:A,PARAMETROS!C:C))</f>
        <v/>
      </c>
      <c r="D731" t="str">
        <f>IF(_xlfn.XLOOKUP(A731,PARAMETROS!A:A,PARAMETROS!D:D)=0,"",_xlfn.XLOOKUP(A731,PARAMETROS!A:A,PARAMETROS!D:D))</f>
        <v/>
      </c>
      <c r="E731" t="str">
        <f>IF(_xlfn.XLOOKUP('PREENCHIMENTO|LETIVAS'!A731,PARAMETROS!A:A,PARAMETROS!I:I)=0,"",_xlfn.XLOOKUP('PREENCHIMENTO|LETIVAS'!A731,PARAMETROS!A:A,PARAMETROS!I:I))</f>
        <v>RPA</v>
      </c>
      <c r="F731" s="3" t="s">
        <v>38</v>
      </c>
      <c r="G731" s="3" t="s">
        <v>54</v>
      </c>
      <c r="H731" s="3" t="s">
        <v>32</v>
      </c>
      <c r="I731" s="3" t="s">
        <v>33</v>
      </c>
      <c r="J731" s="3" t="s">
        <v>1531</v>
      </c>
      <c r="K731" s="3" t="s">
        <v>1528</v>
      </c>
      <c r="L731" s="19"/>
    </row>
    <row r="732" spans="1:12">
      <c r="A732" s="3" t="s">
        <v>856</v>
      </c>
      <c r="B732" t="str">
        <f>IF(_xlfn.XLOOKUP(A732,PARAMETROS!A:A,PARAMETROS!B:B)=0,"",_xlfn.XLOOKUP(A732,PARAMETROS!A:A,PARAMETROS!B:B))</f>
        <v>000000000000</v>
      </c>
      <c r="C732" t="str">
        <f>IF(_xlfn.XLOOKUP(A732,PARAMETROS!A:A,PARAMETROS!C:C)=0,"",_xlfn.XLOOKUP(A732,PARAMETROS!A:A,PARAMETROS!C:C))</f>
        <v/>
      </c>
      <c r="D732" t="str">
        <f>IF(_xlfn.XLOOKUP(A732,PARAMETROS!A:A,PARAMETROS!D:D)=0,"",_xlfn.XLOOKUP(A732,PARAMETROS!A:A,PARAMETROS!D:D))</f>
        <v/>
      </c>
      <c r="E732" t="str">
        <f>IF(_xlfn.XLOOKUP('PREENCHIMENTO|LETIVAS'!A732,PARAMETROS!A:A,PARAMETROS!I:I)=0,"",_xlfn.XLOOKUP('PREENCHIMENTO|LETIVAS'!A732,PARAMETROS!A:A,PARAMETROS!I:I))</f>
        <v>RPA</v>
      </c>
      <c r="F732" s="3" t="s">
        <v>38</v>
      </c>
      <c r="G732" s="3" t="s">
        <v>54</v>
      </c>
      <c r="H732" s="3" t="s">
        <v>32</v>
      </c>
      <c r="I732" s="3" t="s">
        <v>40</v>
      </c>
      <c r="J732" s="3" t="s">
        <v>1532</v>
      </c>
      <c r="K732" s="3" t="s">
        <v>1533</v>
      </c>
      <c r="L732" s="19"/>
    </row>
    <row r="733" spans="1:12">
      <c r="A733" s="3" t="s">
        <v>778</v>
      </c>
      <c r="B733" t="str">
        <f>IF(_xlfn.XLOOKUP(A733,PARAMETROS!A:A,PARAMETROS!B:B)=0,"",_xlfn.XLOOKUP(A733,PARAMETROS!A:A,PARAMETROS!B:B))</f>
        <v>012009006162</v>
      </c>
      <c r="C733">
        <f>IF(_xlfn.XLOOKUP(A733,PARAMETROS!A:A,PARAMETROS!C:C)=0,"",_xlfn.XLOOKUP(A733,PARAMETROS!A:A,PARAMETROS!C:C))</f>
        <v>40</v>
      </c>
      <c r="D733" t="str">
        <f>IF(_xlfn.XLOOKUP(A733,PARAMETROS!A:A,PARAMETROS!D:D)=0,"",_xlfn.XLOOKUP(A733,PARAMETROS!A:A,PARAMETROS!D:D))</f>
        <v/>
      </c>
      <c r="E733" t="str">
        <f>IF(_xlfn.XLOOKUP('PREENCHIMENTO|LETIVAS'!A733,PARAMETROS!A:A,PARAMETROS!I:I)=0,"",_xlfn.XLOOKUP('PREENCHIMENTO|LETIVAS'!A733,PARAMETROS!A:A,PARAMETROS!I:I))</f>
        <v>TUTOR FACILITADOR ONLINE</v>
      </c>
      <c r="F733" s="3" t="s">
        <v>38</v>
      </c>
      <c r="G733" s="3" t="s">
        <v>54</v>
      </c>
      <c r="H733" s="3" t="s">
        <v>32</v>
      </c>
      <c r="I733" s="3" t="s">
        <v>33</v>
      </c>
      <c r="J733" s="3" t="s">
        <v>914</v>
      </c>
      <c r="K733" s="3"/>
      <c r="L733" s="19"/>
    </row>
    <row r="734" spans="1:12">
      <c r="A734" s="3" t="s">
        <v>778</v>
      </c>
      <c r="B734" t="str">
        <f>IF(_xlfn.XLOOKUP(A734,PARAMETROS!A:A,PARAMETROS!B:B)=0,"",_xlfn.XLOOKUP(A734,PARAMETROS!A:A,PARAMETROS!B:B))</f>
        <v>012009006162</v>
      </c>
      <c r="C734">
        <f>IF(_xlfn.XLOOKUP(A734,PARAMETROS!A:A,PARAMETROS!C:C)=0,"",_xlfn.XLOOKUP(A734,PARAMETROS!A:A,PARAMETROS!C:C))</f>
        <v>40</v>
      </c>
      <c r="D734" t="str">
        <f>IF(_xlfn.XLOOKUP(A734,PARAMETROS!A:A,PARAMETROS!D:D)=0,"",_xlfn.XLOOKUP(A734,PARAMETROS!A:A,PARAMETROS!D:D))</f>
        <v/>
      </c>
      <c r="E734" t="str">
        <f>IF(_xlfn.XLOOKUP('PREENCHIMENTO|LETIVAS'!A734,PARAMETROS!A:A,PARAMETROS!I:I)=0,"",_xlfn.XLOOKUP('PREENCHIMENTO|LETIVAS'!A734,PARAMETROS!A:A,PARAMETROS!I:I))</f>
        <v>TUTOR FACILITADOR ONLINE</v>
      </c>
      <c r="F734" s="3" t="s">
        <v>38</v>
      </c>
      <c r="G734" s="3">
        <v>2</v>
      </c>
      <c r="H734" s="3" t="s">
        <v>55</v>
      </c>
      <c r="I734" s="3" t="s">
        <v>40</v>
      </c>
      <c r="J734" s="3" t="s">
        <v>976</v>
      </c>
      <c r="K734" s="3"/>
      <c r="L734" s="19"/>
    </row>
    <row r="735" spans="1:12">
      <c r="A735" s="3" t="s">
        <v>413</v>
      </c>
      <c r="B735" t="str">
        <f>IF(_xlfn.XLOOKUP(A735,PARAMETROS!A:A,PARAMETROS!B:B)=0,"",_xlfn.XLOOKUP(A735,PARAMETROS!A:A,PARAMETROS!B:B))</f>
        <v>012009006213</v>
      </c>
      <c r="C735">
        <f>IF(_xlfn.XLOOKUP(A735,PARAMETROS!A:A,PARAMETROS!C:C)=0,"",_xlfn.XLOOKUP(A735,PARAMETROS!A:A,PARAMETROS!C:C))</f>
        <v>12</v>
      </c>
      <c r="D735">
        <f>IF(_xlfn.XLOOKUP(A735,PARAMETROS!A:A,PARAMETROS!D:D)=0,"",_xlfn.XLOOKUP(A735,PARAMETROS!A:A,PARAMETROS!D:D))</f>
        <v>9</v>
      </c>
      <c r="E735" t="str">
        <f>IF(_xlfn.XLOOKUP('PREENCHIMENTO|LETIVAS'!A735,PARAMETROS!A:A,PARAMETROS!I:I)=0,"",_xlfn.XLOOKUP('PREENCHIMENTO|LETIVAS'!A735,PARAMETROS!A:A,PARAMETROS!I:I))</f>
        <v>PROFESSOR REGENTE</v>
      </c>
      <c r="F735" s="3" t="s">
        <v>38</v>
      </c>
      <c r="G735" s="3" t="s">
        <v>54</v>
      </c>
      <c r="H735" s="3" t="s">
        <v>63</v>
      </c>
      <c r="I735" s="3" t="s">
        <v>33</v>
      </c>
      <c r="J735" s="3" t="s">
        <v>1306</v>
      </c>
      <c r="K735" s="3" t="s">
        <v>1534</v>
      </c>
      <c r="L735" s="19"/>
    </row>
    <row r="736" spans="1:12">
      <c r="A736" s="3" t="s">
        <v>340</v>
      </c>
      <c r="B736" t="str">
        <f>IF(_xlfn.XLOOKUP(A736,PARAMETROS!A:A,PARAMETROS!B:B)=0,"",_xlfn.XLOOKUP(A736,PARAMETROS!A:A,PARAMETROS!B:B))</f>
        <v>012009003508</v>
      </c>
      <c r="C736">
        <f>IF(_xlfn.XLOOKUP(A736,PARAMETROS!A:A,PARAMETROS!C:C)=0,"",_xlfn.XLOOKUP(A736,PARAMETROS!A:A,PARAMETROS!C:C))</f>
        <v>20</v>
      </c>
      <c r="D736">
        <f>IF(_xlfn.XLOOKUP(A736,PARAMETROS!A:A,PARAMETROS!D:D)=0,"",_xlfn.XLOOKUP(A736,PARAMETROS!A:A,PARAMETROS!D:D))</f>
        <v>2</v>
      </c>
      <c r="E736" t="str">
        <f>IF(_xlfn.XLOOKUP('PREENCHIMENTO|LETIVAS'!A736,PARAMETROS!A:A,PARAMETROS!I:I)=0,"",_xlfn.XLOOKUP('PREENCHIMENTO|LETIVAS'!A736,PARAMETROS!A:A,PARAMETROS!I:I))</f>
        <v>PROFESSOR DE ENSINO SUPERIOR EAD</v>
      </c>
      <c r="F736" s="3" t="s">
        <v>38</v>
      </c>
      <c r="G736" s="3">
        <v>2</v>
      </c>
      <c r="H736" s="3" t="s">
        <v>63</v>
      </c>
      <c r="I736" s="3" t="s">
        <v>40</v>
      </c>
      <c r="J736" s="3" t="s">
        <v>1535</v>
      </c>
      <c r="K736" s="3"/>
      <c r="L736" s="19"/>
    </row>
    <row r="737" spans="1:12">
      <c r="A737" s="3" t="s">
        <v>774</v>
      </c>
      <c r="B737" t="str">
        <f>IF(_xlfn.XLOOKUP(A737,PARAMETROS!A:A,PARAMETROS!B:B)=0,"",_xlfn.XLOOKUP(A737,PARAMETROS!A:A,PARAMETROS!B:B))</f>
        <v>012009006534</v>
      </c>
      <c r="C737">
        <f>IF(_xlfn.XLOOKUP(A737,PARAMETROS!A:A,PARAMETROS!C:C)=0,"",_xlfn.XLOOKUP(A737,PARAMETROS!A:A,PARAMETROS!C:C))</f>
        <v>12</v>
      </c>
      <c r="D737">
        <f>IF(_xlfn.XLOOKUP(A737,PARAMETROS!A:A,PARAMETROS!D:D)=0,"",_xlfn.XLOOKUP(A737,PARAMETROS!A:A,PARAMETROS!D:D))</f>
        <v>9</v>
      </c>
      <c r="E737" t="str">
        <f>IF(_xlfn.XLOOKUP('PREENCHIMENTO|LETIVAS'!A737,PARAMETROS!A:A,PARAMETROS!I:I)=0,"",_xlfn.XLOOKUP('PREENCHIMENTO|LETIVAS'!A737,PARAMETROS!A:A,PARAMETROS!I:I))</f>
        <v>PROFESSOR REGENTE</v>
      </c>
      <c r="F737" s="3" t="s">
        <v>38</v>
      </c>
      <c r="G737" s="3">
        <v>1</v>
      </c>
      <c r="H737" s="3" t="s">
        <v>63</v>
      </c>
      <c r="I737" s="3" t="s">
        <v>33</v>
      </c>
      <c r="J737" s="3" t="s">
        <v>892</v>
      </c>
      <c r="K737" s="3"/>
      <c r="L737" s="19"/>
    </row>
    <row r="738" spans="1:12">
      <c r="A738" s="3" t="s">
        <v>790</v>
      </c>
      <c r="B738" t="str">
        <f>IF(_xlfn.XLOOKUP(A738,PARAMETROS!A:A,PARAMETROS!B:B)=0,"",_xlfn.XLOOKUP(A738,PARAMETROS!A:A,PARAMETROS!B:B))</f>
        <v>012009006643</v>
      </c>
      <c r="C738">
        <f>IF(_xlfn.XLOOKUP(A738,PARAMETROS!A:A,PARAMETROS!C:C)=0,"",_xlfn.XLOOKUP(A738,PARAMETROS!A:A,PARAMETROS!C:C))</f>
        <v>12</v>
      </c>
      <c r="D738">
        <f>IF(_xlfn.XLOOKUP(A738,PARAMETROS!A:A,PARAMETROS!D:D)=0,"",_xlfn.XLOOKUP(A738,PARAMETROS!A:A,PARAMETROS!D:D))</f>
        <v>9</v>
      </c>
      <c r="E738" t="str">
        <f>IF(_xlfn.XLOOKUP('PREENCHIMENTO|LETIVAS'!A738,PARAMETROS!A:A,PARAMETROS!I:I)=0,"",_xlfn.XLOOKUP('PREENCHIMENTO|LETIVAS'!A738,PARAMETROS!A:A,PARAMETROS!I:I))</f>
        <v>PROFESSOR REGENTE</v>
      </c>
      <c r="F738" s="3" t="s">
        <v>38</v>
      </c>
      <c r="G738" s="3">
        <v>1</v>
      </c>
      <c r="H738" s="3" t="s">
        <v>63</v>
      </c>
      <c r="I738" s="3" t="s">
        <v>40</v>
      </c>
      <c r="J738" s="3" t="s">
        <v>1536</v>
      </c>
      <c r="K738" s="3"/>
      <c r="L738" s="19"/>
    </row>
    <row r="739" spans="1:12">
      <c r="A739" s="3" t="s">
        <v>337</v>
      </c>
      <c r="B739" t="str">
        <f>IF(_xlfn.XLOOKUP(A739,PARAMETROS!A:A,PARAMETROS!B:B)=0,"",_xlfn.XLOOKUP(A739,PARAMETROS!A:A,PARAMETROS!B:B))</f>
        <v>012009006216</v>
      </c>
      <c r="C739">
        <f>IF(_xlfn.XLOOKUP(A739,PARAMETROS!A:A,PARAMETROS!C:C)=0,"",_xlfn.XLOOKUP(A739,PARAMETROS!A:A,PARAMETROS!C:C))</f>
        <v>12</v>
      </c>
      <c r="D739">
        <f>IF(_xlfn.XLOOKUP(A739,PARAMETROS!A:A,PARAMETROS!D:D)=0,"",_xlfn.XLOOKUP(A739,PARAMETROS!A:A,PARAMETROS!D:D))</f>
        <v>9</v>
      </c>
      <c r="E739" t="str">
        <f>IF(_xlfn.XLOOKUP('PREENCHIMENTO|LETIVAS'!A739,PARAMETROS!A:A,PARAMETROS!I:I)=0,"",_xlfn.XLOOKUP('PREENCHIMENTO|LETIVAS'!A739,PARAMETROS!A:A,PARAMETROS!I:I))</f>
        <v>PROFESSOR REGENTE</v>
      </c>
      <c r="F739" s="3" t="s">
        <v>38</v>
      </c>
      <c r="G739" s="3">
        <v>2</v>
      </c>
      <c r="H739" s="3" t="s">
        <v>32</v>
      </c>
      <c r="I739" s="3" t="s">
        <v>33</v>
      </c>
      <c r="J739" s="3" t="s">
        <v>1537</v>
      </c>
      <c r="K739" s="3"/>
      <c r="L739" s="19"/>
    </row>
    <row r="740" spans="1:12">
      <c r="A740" s="3" t="s">
        <v>132</v>
      </c>
      <c r="B740" t="str">
        <f>IF(_xlfn.XLOOKUP(A740,PARAMETROS!A:A,PARAMETROS!B:B)=0,"",_xlfn.XLOOKUP(A740,PARAMETROS!A:A,PARAMETROS!B:B))</f>
        <v>012009003470</v>
      </c>
      <c r="C740">
        <f>IF(_xlfn.XLOOKUP(A740,PARAMETROS!A:A,PARAMETROS!C:C)=0,"",_xlfn.XLOOKUP(A740,PARAMETROS!A:A,PARAMETROS!C:C))</f>
        <v>40</v>
      </c>
      <c r="D740">
        <f>IF(_xlfn.XLOOKUP(A740,PARAMETROS!A:A,PARAMETROS!D:D)=0,"",_xlfn.XLOOKUP(A740,PARAMETROS!A:A,PARAMETROS!D:D))</f>
        <v>4</v>
      </c>
      <c r="E740" t="str">
        <f>IF(_xlfn.XLOOKUP('PREENCHIMENTO|LETIVAS'!A740,PARAMETROS!A:A,PARAMETROS!I:I)=0,"",_xlfn.XLOOKUP('PREENCHIMENTO|LETIVAS'!A740,PARAMETROS!A:A,PARAMETROS!I:I))</f>
        <v>PROFESSOR DE ENSINO SUPERIOR EAD</v>
      </c>
      <c r="F740" s="3" t="s">
        <v>53</v>
      </c>
      <c r="G740" s="3">
        <v>1</v>
      </c>
      <c r="H740" s="3" t="s">
        <v>55</v>
      </c>
      <c r="I740" s="3" t="s">
        <v>40</v>
      </c>
      <c r="J740" s="3" t="s">
        <v>1002</v>
      </c>
      <c r="K740" s="3"/>
      <c r="L740" s="19"/>
    </row>
    <row r="741" spans="1:12">
      <c r="A741" s="3" t="s">
        <v>132</v>
      </c>
      <c r="B741" t="str">
        <f>IF(_xlfn.XLOOKUP(A741,PARAMETROS!A:A,PARAMETROS!B:B)=0,"",_xlfn.XLOOKUP(A741,PARAMETROS!A:A,PARAMETROS!B:B))</f>
        <v>012009003470</v>
      </c>
      <c r="C741">
        <f>IF(_xlfn.XLOOKUP(A741,PARAMETROS!A:A,PARAMETROS!C:C)=0,"",_xlfn.XLOOKUP(A741,PARAMETROS!A:A,PARAMETROS!C:C))</f>
        <v>40</v>
      </c>
      <c r="D741">
        <f>IF(_xlfn.XLOOKUP(A741,PARAMETROS!A:A,PARAMETROS!D:D)=0,"",_xlfn.XLOOKUP(A741,PARAMETROS!A:A,PARAMETROS!D:D))</f>
        <v>4</v>
      </c>
      <c r="E741" t="str">
        <f>IF(_xlfn.XLOOKUP('PREENCHIMENTO|LETIVAS'!A741,PARAMETROS!A:A,PARAMETROS!I:I)=0,"",_xlfn.XLOOKUP('PREENCHIMENTO|LETIVAS'!A741,PARAMETROS!A:A,PARAMETROS!I:I))</f>
        <v>PROFESSOR DE ENSINO SUPERIOR EAD</v>
      </c>
      <c r="F741" s="3" t="s">
        <v>53</v>
      </c>
      <c r="G741" s="3">
        <v>2</v>
      </c>
      <c r="H741" s="3" t="s">
        <v>55</v>
      </c>
      <c r="I741" s="3" t="s">
        <v>40</v>
      </c>
      <c r="J741" s="3" t="s">
        <v>1025</v>
      </c>
      <c r="K741" s="3"/>
      <c r="L741" s="19"/>
    </row>
    <row r="742" spans="1:12">
      <c r="A742" s="3" t="s">
        <v>132</v>
      </c>
      <c r="B742" t="str">
        <f>IF(_xlfn.XLOOKUP(A742,PARAMETROS!A:A,PARAMETROS!B:B)=0,"",_xlfn.XLOOKUP(A742,PARAMETROS!A:A,PARAMETROS!B:B))</f>
        <v>012009003470</v>
      </c>
      <c r="C742">
        <f>IF(_xlfn.XLOOKUP(A742,PARAMETROS!A:A,PARAMETROS!C:C)=0,"",_xlfn.XLOOKUP(A742,PARAMETROS!A:A,PARAMETROS!C:C))</f>
        <v>40</v>
      </c>
      <c r="D742">
        <f>IF(_xlfn.XLOOKUP(A742,PARAMETROS!A:A,PARAMETROS!D:D)=0,"",_xlfn.XLOOKUP(A742,PARAMETROS!A:A,PARAMETROS!D:D))</f>
        <v>4</v>
      </c>
      <c r="E742" t="str">
        <f>IF(_xlfn.XLOOKUP('PREENCHIMENTO|LETIVAS'!A742,PARAMETROS!A:A,PARAMETROS!I:I)=0,"",_xlfn.XLOOKUP('PREENCHIMENTO|LETIVAS'!A742,PARAMETROS!A:A,PARAMETROS!I:I))</f>
        <v>PROFESSOR DE ENSINO SUPERIOR EAD</v>
      </c>
      <c r="F742" s="3" t="s">
        <v>53</v>
      </c>
      <c r="G742" s="3">
        <v>2</v>
      </c>
      <c r="H742" s="3" t="s">
        <v>55</v>
      </c>
      <c r="I742" s="3" t="s">
        <v>33</v>
      </c>
      <c r="J742" s="3" t="s">
        <v>1538</v>
      </c>
      <c r="K742" s="3"/>
      <c r="L742" s="19"/>
    </row>
    <row r="743" spans="1:12">
      <c r="A743" s="3" t="s">
        <v>662</v>
      </c>
      <c r="B743" t="str">
        <f>IF(_xlfn.XLOOKUP(A743,PARAMETROS!A:A,PARAMETROS!B:B)=0,"",_xlfn.XLOOKUP(A743,PARAMETROS!A:A,PARAMETROS!B:B))</f>
        <v>012009004054</v>
      </c>
      <c r="C743">
        <f>IF(_xlfn.XLOOKUP(A743,PARAMETROS!A:A,PARAMETROS!C:C)=0,"",_xlfn.XLOOKUP(A743,PARAMETROS!A:A,PARAMETROS!C:C))</f>
        <v>40</v>
      </c>
      <c r="D743">
        <f>IF(_xlfn.XLOOKUP(A743,PARAMETROS!A:A,PARAMETROS!D:D)=0,"",_xlfn.XLOOKUP(A743,PARAMETROS!A:A,PARAMETROS!D:D))</f>
        <v>20</v>
      </c>
      <c r="E743" t="str">
        <f>IF(_xlfn.XLOOKUP('PREENCHIMENTO|LETIVAS'!A743,PARAMETROS!A:A,PARAMETROS!I:I)=0,"",_xlfn.XLOOKUP('PREENCHIMENTO|LETIVAS'!A743,PARAMETROS!A:A,PARAMETROS!I:I))</f>
        <v>PROFESSOR REGENTE</v>
      </c>
      <c r="F743" s="3" t="s">
        <v>53</v>
      </c>
      <c r="G743" s="3">
        <v>1</v>
      </c>
      <c r="H743" s="3" t="s">
        <v>63</v>
      </c>
      <c r="I743" s="3" t="s">
        <v>40</v>
      </c>
      <c r="J743" s="3" t="s">
        <v>1539</v>
      </c>
      <c r="K743" s="3"/>
      <c r="L743" s="19"/>
    </row>
    <row r="744" spans="1:12">
      <c r="A744" s="3" t="s">
        <v>386</v>
      </c>
      <c r="B744" t="str">
        <f>IF(_xlfn.XLOOKUP(A744,PARAMETROS!A:A,PARAMETROS!B:B)=0,"",_xlfn.XLOOKUP(A744,PARAMETROS!A:A,PARAMETROS!B:B))</f>
        <v>012009002197</v>
      </c>
      <c r="C744">
        <f>IF(_xlfn.XLOOKUP(A744,PARAMETROS!A:A,PARAMETROS!C:C)=0,"",_xlfn.XLOOKUP(A744,PARAMETROS!A:A,PARAMETROS!C:C))</f>
        <v>40</v>
      </c>
      <c r="D744">
        <f>IF(_xlfn.XLOOKUP(A744,PARAMETROS!A:A,PARAMETROS!D:D)=0,"",_xlfn.XLOOKUP(A744,PARAMETROS!A:A,PARAMETROS!D:D))</f>
        <v>4</v>
      </c>
      <c r="E744" t="str">
        <f>IF(_xlfn.XLOOKUP('PREENCHIMENTO|LETIVAS'!A744,PARAMETROS!A:A,PARAMETROS!I:I)=0,"",_xlfn.XLOOKUP('PREENCHIMENTO|LETIVAS'!A744,PARAMETROS!A:A,PARAMETROS!I:I))</f>
        <v>PROFESSOR DE ENSINO SUPERIOR EAD</v>
      </c>
      <c r="F744" s="3" t="s">
        <v>53</v>
      </c>
      <c r="G744" s="3">
        <v>1</v>
      </c>
      <c r="H744" s="3" t="s">
        <v>55</v>
      </c>
      <c r="I744" s="3" t="s">
        <v>40</v>
      </c>
      <c r="J744" s="3" t="s">
        <v>1540</v>
      </c>
      <c r="K744" s="3"/>
      <c r="L744" s="19"/>
    </row>
    <row r="745" spans="1:12">
      <c r="A745" s="3" t="s">
        <v>517</v>
      </c>
      <c r="B745" t="str">
        <f>IF(_xlfn.XLOOKUP(A745,PARAMETROS!A:A,PARAMETROS!B:B)=0,"",_xlfn.XLOOKUP(A745,PARAMETROS!A:A,PARAMETROS!B:B))</f>
        <v>012009003838</v>
      </c>
      <c r="C745">
        <f>IF(_xlfn.XLOOKUP(A745,PARAMETROS!A:A,PARAMETROS!C:C)=0,"",_xlfn.XLOOKUP(A745,PARAMETROS!A:A,PARAMETROS!C:C))</f>
        <v>20</v>
      </c>
      <c r="D745">
        <f>IF(_xlfn.XLOOKUP(A745,PARAMETROS!A:A,PARAMETROS!D:D)=0,"",_xlfn.XLOOKUP(A745,PARAMETROS!A:A,PARAMETROS!D:D))</f>
        <v>2</v>
      </c>
      <c r="E745" t="str">
        <f>IF(_xlfn.XLOOKUP('PREENCHIMENTO|LETIVAS'!A745,PARAMETROS!A:A,PARAMETROS!I:I)=0,"",_xlfn.XLOOKUP('PREENCHIMENTO|LETIVAS'!A745,PARAMETROS!A:A,PARAMETROS!I:I))</f>
        <v>PROFESSOR DE ENSINO SUPERIOR EAD</v>
      </c>
      <c r="F745" s="3" t="s">
        <v>53</v>
      </c>
      <c r="G745" s="3">
        <v>1</v>
      </c>
      <c r="H745" s="3" t="s">
        <v>55</v>
      </c>
      <c r="I745" s="3" t="s">
        <v>33</v>
      </c>
      <c r="J745" s="3" t="s">
        <v>1541</v>
      </c>
      <c r="K745" s="3"/>
      <c r="L745" s="19"/>
    </row>
    <row r="746" spans="1:12">
      <c r="A746" s="3" t="s">
        <v>517</v>
      </c>
      <c r="B746" t="str">
        <f>IF(_xlfn.XLOOKUP(A746,PARAMETROS!A:A,PARAMETROS!B:B)=0,"",_xlfn.XLOOKUP(A746,PARAMETROS!A:A,PARAMETROS!B:B))</f>
        <v>012009003838</v>
      </c>
      <c r="C746">
        <f>IF(_xlfn.XLOOKUP(A746,PARAMETROS!A:A,PARAMETROS!C:C)=0,"",_xlfn.XLOOKUP(A746,PARAMETROS!A:A,PARAMETROS!C:C))</f>
        <v>20</v>
      </c>
      <c r="D746">
        <f>IF(_xlfn.XLOOKUP(A746,PARAMETROS!A:A,PARAMETROS!D:D)=0,"",_xlfn.XLOOKUP(A746,PARAMETROS!A:A,PARAMETROS!D:D))</f>
        <v>2</v>
      </c>
      <c r="E746" t="str">
        <f>IF(_xlfn.XLOOKUP('PREENCHIMENTO|LETIVAS'!A746,PARAMETROS!A:A,PARAMETROS!I:I)=0,"",_xlfn.XLOOKUP('PREENCHIMENTO|LETIVAS'!A746,PARAMETROS!A:A,PARAMETROS!I:I))</f>
        <v>PROFESSOR DE ENSINO SUPERIOR EAD</v>
      </c>
      <c r="F746" s="3" t="s">
        <v>53</v>
      </c>
      <c r="G746" s="3">
        <v>2</v>
      </c>
      <c r="H746" s="3" t="s">
        <v>55</v>
      </c>
      <c r="I746" s="3" t="s">
        <v>33</v>
      </c>
      <c r="J746" s="3" t="s">
        <v>1542</v>
      </c>
      <c r="K746" s="3"/>
      <c r="L746" s="19"/>
    </row>
    <row r="747" spans="1:12">
      <c r="A747" s="3" t="s">
        <v>544</v>
      </c>
      <c r="B747" t="str">
        <f>IF(_xlfn.XLOOKUP(A747,PARAMETROS!A:A,PARAMETROS!B:B)=0,"",_xlfn.XLOOKUP(A747,PARAMETROS!A:A,PARAMETROS!B:B))</f>
        <v>012009003435</v>
      </c>
      <c r="C747">
        <f>IF(_xlfn.XLOOKUP(A747,PARAMETROS!A:A,PARAMETROS!C:C)=0,"",_xlfn.XLOOKUP(A747,PARAMETROS!A:A,PARAMETROS!C:C))</f>
        <v>40</v>
      </c>
      <c r="D747">
        <f>IF(_xlfn.XLOOKUP(A747,PARAMETROS!A:A,PARAMETROS!D:D)=0,"",_xlfn.XLOOKUP(A747,PARAMETROS!A:A,PARAMETROS!D:D))</f>
        <v>4</v>
      </c>
      <c r="E747" t="str">
        <f>IF(_xlfn.XLOOKUP('PREENCHIMENTO|LETIVAS'!A747,PARAMETROS!A:A,PARAMETROS!I:I)=0,"",_xlfn.XLOOKUP('PREENCHIMENTO|LETIVAS'!A747,PARAMETROS!A:A,PARAMETROS!I:I))</f>
        <v>PROFESSOR DE ENSINO SUPERIOR EAD</v>
      </c>
      <c r="F747" s="3" t="s">
        <v>53</v>
      </c>
      <c r="G747" s="3" t="s">
        <v>54</v>
      </c>
      <c r="H747" s="3" t="s">
        <v>39</v>
      </c>
      <c r="I747" s="3" t="s">
        <v>33</v>
      </c>
      <c r="J747" s="3" t="s">
        <v>1543</v>
      </c>
      <c r="K747" s="3" t="s">
        <v>1544</v>
      </c>
      <c r="L747" s="19"/>
    </row>
    <row r="748" spans="1:12">
      <c r="A748" s="3" t="s">
        <v>544</v>
      </c>
      <c r="B748" t="str">
        <f>IF(_xlfn.XLOOKUP(A748,PARAMETROS!A:A,PARAMETROS!B:B)=0,"",_xlfn.XLOOKUP(A748,PARAMETROS!A:A,PARAMETROS!B:B))</f>
        <v>012009003435</v>
      </c>
      <c r="C748">
        <f>IF(_xlfn.XLOOKUP(A748,PARAMETROS!A:A,PARAMETROS!C:C)=0,"",_xlfn.XLOOKUP(A748,PARAMETROS!A:A,PARAMETROS!C:C))</f>
        <v>40</v>
      </c>
      <c r="D748">
        <f>IF(_xlfn.XLOOKUP(A748,PARAMETROS!A:A,PARAMETROS!D:D)=0,"",_xlfn.XLOOKUP(A748,PARAMETROS!A:A,PARAMETROS!D:D))</f>
        <v>4</v>
      </c>
      <c r="E748" t="str">
        <f>IF(_xlfn.XLOOKUP('PREENCHIMENTO|LETIVAS'!A748,PARAMETROS!A:A,PARAMETROS!I:I)=0,"",_xlfn.XLOOKUP('PREENCHIMENTO|LETIVAS'!A748,PARAMETROS!A:A,PARAMETROS!I:I))</f>
        <v>PROFESSOR DE ENSINO SUPERIOR EAD</v>
      </c>
      <c r="F748" s="3" t="s">
        <v>53</v>
      </c>
      <c r="G748" s="3">
        <v>1</v>
      </c>
      <c r="H748" s="3" t="s">
        <v>39</v>
      </c>
      <c r="I748" s="3" t="s">
        <v>40</v>
      </c>
      <c r="J748" s="3" t="s">
        <v>1545</v>
      </c>
      <c r="K748" s="3"/>
      <c r="L748" s="19"/>
    </row>
    <row r="749" spans="1:12">
      <c r="A749" s="3" t="s">
        <v>544</v>
      </c>
      <c r="B749" t="str">
        <f>IF(_xlfn.XLOOKUP(A749,PARAMETROS!A:A,PARAMETROS!B:B)=0,"",_xlfn.XLOOKUP(A749,PARAMETROS!A:A,PARAMETROS!B:B))</f>
        <v>012009003435</v>
      </c>
      <c r="C749">
        <f>IF(_xlfn.XLOOKUP(A749,PARAMETROS!A:A,PARAMETROS!C:C)=0,"",_xlfn.XLOOKUP(A749,PARAMETROS!A:A,PARAMETROS!C:C))</f>
        <v>40</v>
      </c>
      <c r="D749">
        <f>IF(_xlfn.XLOOKUP(A749,PARAMETROS!A:A,PARAMETROS!D:D)=0,"",_xlfn.XLOOKUP(A749,PARAMETROS!A:A,PARAMETROS!D:D))</f>
        <v>4</v>
      </c>
      <c r="E749" t="str">
        <f>IF(_xlfn.XLOOKUP('PREENCHIMENTO|LETIVAS'!A749,PARAMETROS!A:A,PARAMETROS!I:I)=0,"",_xlfn.XLOOKUP('PREENCHIMENTO|LETIVAS'!A749,PARAMETROS!A:A,PARAMETROS!I:I))</f>
        <v>PROFESSOR DE ENSINO SUPERIOR EAD</v>
      </c>
      <c r="F749" s="3" t="s">
        <v>53</v>
      </c>
      <c r="G749" s="3">
        <v>1</v>
      </c>
      <c r="H749" s="3" t="s">
        <v>39</v>
      </c>
      <c r="I749" s="3" t="s">
        <v>33</v>
      </c>
      <c r="J749" s="3" t="s">
        <v>918</v>
      </c>
      <c r="K749" s="3"/>
      <c r="L749" s="19"/>
    </row>
    <row r="750" spans="1:12">
      <c r="A750" s="3" t="s">
        <v>285</v>
      </c>
      <c r="B750" t="str">
        <f>IF(_xlfn.XLOOKUP(A750,PARAMETROS!A:A,PARAMETROS!B:B)=0,"",_xlfn.XLOOKUP(A750,PARAMETROS!A:A,PARAMETROS!B:B))</f>
        <v>012009003534</v>
      </c>
      <c r="C750">
        <f>IF(_xlfn.XLOOKUP(A750,PARAMETROS!A:A,PARAMETROS!C:C)=0,"",_xlfn.XLOOKUP(A750,PARAMETROS!A:A,PARAMETROS!C:C))</f>
        <v>40</v>
      </c>
      <c r="D750">
        <f>IF(_xlfn.XLOOKUP(A750,PARAMETROS!A:A,PARAMETROS!D:D)=0,"",_xlfn.XLOOKUP(A750,PARAMETROS!A:A,PARAMETROS!D:D))</f>
        <v>4</v>
      </c>
      <c r="E750" t="str">
        <f>IF(_xlfn.XLOOKUP('PREENCHIMENTO|LETIVAS'!A750,PARAMETROS!A:A,PARAMETROS!I:I)=0,"",_xlfn.XLOOKUP('PREENCHIMENTO|LETIVAS'!A750,PARAMETROS!A:A,PARAMETROS!I:I))</f>
        <v>PROFESSOR DE ENSINO SUPERIOR EAD</v>
      </c>
      <c r="F750" s="3" t="s">
        <v>53</v>
      </c>
      <c r="G750" s="3">
        <v>1</v>
      </c>
      <c r="H750" s="3" t="s">
        <v>55</v>
      </c>
      <c r="I750" s="3" t="s">
        <v>33</v>
      </c>
      <c r="J750" s="3" t="s">
        <v>1546</v>
      </c>
      <c r="K750" s="3"/>
      <c r="L750" s="19"/>
    </row>
    <row r="751" spans="1:12">
      <c r="A751" s="3" t="s">
        <v>374</v>
      </c>
      <c r="B751" t="str">
        <f>IF(_xlfn.XLOOKUP(A751,PARAMETROS!A:A,PARAMETROS!B:B)=0,"",_xlfn.XLOOKUP(A751,PARAMETROS!A:A,PARAMETROS!B:B))</f>
        <v>012009006201</v>
      </c>
      <c r="C751">
        <f>IF(_xlfn.XLOOKUP(A751,PARAMETROS!A:A,PARAMETROS!C:C)=0,"",_xlfn.XLOOKUP(A751,PARAMETROS!A:A,PARAMETROS!C:C))</f>
        <v>12</v>
      </c>
      <c r="D751">
        <f>IF(_xlfn.XLOOKUP(A751,PARAMETROS!A:A,PARAMETROS!D:D)=0,"",_xlfn.XLOOKUP(A751,PARAMETROS!A:A,PARAMETROS!D:D))</f>
        <v>9</v>
      </c>
      <c r="E751" t="str">
        <f>IF(_xlfn.XLOOKUP('PREENCHIMENTO|LETIVAS'!A751,PARAMETROS!A:A,PARAMETROS!I:I)=0,"",_xlfn.XLOOKUP('PREENCHIMENTO|LETIVAS'!A751,PARAMETROS!A:A,PARAMETROS!I:I))</f>
        <v>PROFESSOR REGENTE</v>
      </c>
      <c r="F751" s="3" t="s">
        <v>53</v>
      </c>
      <c r="G751" s="3" t="s">
        <v>54</v>
      </c>
      <c r="H751" s="3" t="s">
        <v>32</v>
      </c>
      <c r="I751" s="3" t="s">
        <v>40</v>
      </c>
      <c r="J751" s="3" t="s">
        <v>1547</v>
      </c>
      <c r="K751" s="3"/>
      <c r="L751" s="19"/>
    </row>
    <row r="752" spans="1:12">
      <c r="A752" s="3" t="s">
        <v>706</v>
      </c>
      <c r="B752" t="str">
        <f>IF(_xlfn.XLOOKUP(A752,PARAMETROS!A:A,PARAMETROS!B:B)=0,"",_xlfn.XLOOKUP(A752,PARAMETROS!A:A,PARAMETROS!B:B))</f>
        <v>012009006360</v>
      </c>
      <c r="C752">
        <f>IF(_xlfn.XLOOKUP(A752,PARAMETROS!A:A,PARAMETROS!C:C)=0,"",_xlfn.XLOOKUP(A752,PARAMETROS!A:A,PARAMETROS!C:C))</f>
        <v>12</v>
      </c>
      <c r="D752">
        <f>IF(_xlfn.XLOOKUP(A752,PARAMETROS!A:A,PARAMETROS!D:D)=0,"",_xlfn.XLOOKUP(A752,PARAMETROS!A:A,PARAMETROS!D:D))</f>
        <v>9</v>
      </c>
      <c r="E752" t="str">
        <f>IF(_xlfn.XLOOKUP('PREENCHIMENTO|LETIVAS'!A752,PARAMETROS!A:A,PARAMETROS!I:I)=0,"",_xlfn.XLOOKUP('PREENCHIMENTO|LETIVAS'!A752,PARAMETROS!A:A,PARAMETROS!I:I))</f>
        <v>PROFESSOR REGENTE</v>
      </c>
      <c r="F752" s="3" t="s">
        <v>53</v>
      </c>
      <c r="G752" s="3" t="s">
        <v>54</v>
      </c>
      <c r="H752" s="3" t="s">
        <v>32</v>
      </c>
      <c r="I752" s="3" t="s">
        <v>40</v>
      </c>
      <c r="J752" s="3" t="s">
        <v>1542</v>
      </c>
      <c r="K752" s="3"/>
      <c r="L752" s="19"/>
    </row>
    <row r="753" spans="1:12">
      <c r="A753" s="3" t="s">
        <v>706</v>
      </c>
      <c r="B753" t="str">
        <f>IF(_xlfn.XLOOKUP(A753,PARAMETROS!A:A,PARAMETROS!B:B)=0,"",_xlfn.XLOOKUP(A753,PARAMETROS!A:A,PARAMETROS!B:B))</f>
        <v>012009006360</v>
      </c>
      <c r="C753">
        <f>IF(_xlfn.XLOOKUP(A753,PARAMETROS!A:A,PARAMETROS!C:C)=0,"",_xlfn.XLOOKUP(A753,PARAMETROS!A:A,PARAMETROS!C:C))</f>
        <v>12</v>
      </c>
      <c r="D753">
        <f>IF(_xlfn.XLOOKUP(A753,PARAMETROS!A:A,PARAMETROS!D:D)=0,"",_xlfn.XLOOKUP(A753,PARAMETROS!A:A,PARAMETROS!D:D))</f>
        <v>9</v>
      </c>
      <c r="E753" t="str">
        <f>IF(_xlfn.XLOOKUP('PREENCHIMENTO|LETIVAS'!A753,PARAMETROS!A:A,PARAMETROS!I:I)=0,"",_xlfn.XLOOKUP('PREENCHIMENTO|LETIVAS'!A753,PARAMETROS!A:A,PARAMETROS!I:I))</f>
        <v>PROFESSOR REGENTE</v>
      </c>
      <c r="F753" s="3" t="s">
        <v>53</v>
      </c>
      <c r="G753" s="3" t="s">
        <v>54</v>
      </c>
      <c r="H753" s="3" t="s">
        <v>32</v>
      </c>
      <c r="I753" s="3" t="s">
        <v>33</v>
      </c>
      <c r="J753" s="3" t="s">
        <v>1548</v>
      </c>
      <c r="K753" s="3"/>
      <c r="L753" s="19"/>
    </row>
    <row r="754" spans="1:12">
      <c r="A754" s="3" t="s">
        <v>456</v>
      </c>
      <c r="B754" t="str">
        <f>IF(_xlfn.XLOOKUP(A754,PARAMETROS!A:A,PARAMETROS!B:B)=0,"",_xlfn.XLOOKUP(A754,PARAMETROS!A:A,PARAMETROS!B:B))</f>
        <v>012009006221</v>
      </c>
      <c r="C754">
        <f>IF(_xlfn.XLOOKUP(A754,PARAMETROS!A:A,PARAMETROS!C:C)=0,"",_xlfn.XLOOKUP(A754,PARAMETROS!A:A,PARAMETROS!C:C))</f>
        <v>12</v>
      </c>
      <c r="D754">
        <f>IF(_xlfn.XLOOKUP(A754,PARAMETROS!A:A,PARAMETROS!D:D)=0,"",_xlfn.XLOOKUP(A754,PARAMETROS!A:A,PARAMETROS!D:D))</f>
        <v>9</v>
      </c>
      <c r="E754" t="str">
        <f>IF(_xlfn.XLOOKUP('PREENCHIMENTO|LETIVAS'!A754,PARAMETROS!A:A,PARAMETROS!I:I)=0,"",_xlfn.XLOOKUP('PREENCHIMENTO|LETIVAS'!A754,PARAMETROS!A:A,PARAMETROS!I:I))</f>
        <v>PROFESSOR REGENTE</v>
      </c>
      <c r="F754" s="3" t="s">
        <v>53</v>
      </c>
      <c r="G754" s="3">
        <v>1</v>
      </c>
      <c r="H754" s="3" t="s">
        <v>55</v>
      </c>
      <c r="I754" s="3" t="s">
        <v>40</v>
      </c>
      <c r="J754" s="3" t="s">
        <v>1549</v>
      </c>
      <c r="K754" s="3"/>
      <c r="L754" s="19"/>
    </row>
    <row r="755" spans="1:12">
      <c r="A755" s="3" t="s">
        <v>456</v>
      </c>
      <c r="B755" t="str">
        <f>IF(_xlfn.XLOOKUP(A755,PARAMETROS!A:A,PARAMETROS!B:B)=0,"",_xlfn.XLOOKUP(A755,PARAMETROS!A:A,PARAMETROS!B:B))</f>
        <v>012009006221</v>
      </c>
      <c r="C755">
        <f>IF(_xlfn.XLOOKUP(A755,PARAMETROS!A:A,PARAMETROS!C:C)=0,"",_xlfn.XLOOKUP(A755,PARAMETROS!A:A,PARAMETROS!C:C))</f>
        <v>12</v>
      </c>
      <c r="D755">
        <f>IF(_xlfn.XLOOKUP(A755,PARAMETROS!A:A,PARAMETROS!D:D)=0,"",_xlfn.XLOOKUP(A755,PARAMETROS!A:A,PARAMETROS!D:D))</f>
        <v>9</v>
      </c>
      <c r="E755" t="str">
        <f>IF(_xlfn.XLOOKUP('PREENCHIMENTO|LETIVAS'!A755,PARAMETROS!A:A,PARAMETROS!I:I)=0,"",_xlfn.XLOOKUP('PREENCHIMENTO|LETIVAS'!A755,PARAMETROS!A:A,PARAMETROS!I:I))</f>
        <v>PROFESSOR REGENTE</v>
      </c>
      <c r="F755" s="3" t="s">
        <v>53</v>
      </c>
      <c r="G755" s="3">
        <v>2</v>
      </c>
      <c r="H755" s="3" t="s">
        <v>32</v>
      </c>
      <c r="I755" s="3" t="s">
        <v>40</v>
      </c>
      <c r="J755" s="3" t="s">
        <v>1550</v>
      </c>
      <c r="K755" s="3"/>
      <c r="L755" s="19"/>
    </row>
    <row r="756" spans="1:12">
      <c r="A756" s="3" t="s">
        <v>724</v>
      </c>
      <c r="B756" t="str">
        <f>IF(_xlfn.XLOOKUP(A756,PARAMETROS!A:A,PARAMETROS!B:B)=0,"",_xlfn.XLOOKUP(A756,PARAMETROS!A:A,PARAMETROS!B:B))</f>
        <v>012009006369</v>
      </c>
      <c r="C756">
        <f>IF(_xlfn.XLOOKUP(A756,PARAMETROS!A:A,PARAMETROS!C:C)=0,"",_xlfn.XLOOKUP(A756,PARAMETROS!A:A,PARAMETROS!C:C))</f>
        <v>12</v>
      </c>
      <c r="D756">
        <f>IF(_xlfn.XLOOKUP(A756,PARAMETROS!A:A,PARAMETROS!D:D)=0,"",_xlfn.XLOOKUP(A756,PARAMETROS!A:A,PARAMETROS!D:D))</f>
        <v>9</v>
      </c>
      <c r="E756" t="str">
        <f>IF(_xlfn.XLOOKUP('PREENCHIMENTO|LETIVAS'!A756,PARAMETROS!A:A,PARAMETROS!I:I)=0,"",_xlfn.XLOOKUP('PREENCHIMENTO|LETIVAS'!A756,PARAMETROS!A:A,PARAMETROS!I:I))</f>
        <v>PROFESSOR REGENTE</v>
      </c>
      <c r="F756" s="3" t="s">
        <v>53</v>
      </c>
      <c r="G756" s="3">
        <v>2</v>
      </c>
      <c r="H756" s="3" t="s">
        <v>39</v>
      </c>
      <c r="I756" s="3" t="s">
        <v>33</v>
      </c>
      <c r="J756" s="3" t="s">
        <v>1551</v>
      </c>
      <c r="K756" s="3"/>
      <c r="L756" s="19"/>
    </row>
    <row r="757" spans="1:12">
      <c r="A757" s="3" t="s">
        <v>724</v>
      </c>
      <c r="B757" t="str">
        <f>IF(_xlfn.XLOOKUP(A757,PARAMETROS!A:A,PARAMETROS!B:B)=0,"",_xlfn.XLOOKUP(A757,PARAMETROS!A:A,PARAMETROS!B:B))</f>
        <v>012009006369</v>
      </c>
      <c r="C757">
        <f>IF(_xlfn.XLOOKUP(A757,PARAMETROS!A:A,PARAMETROS!C:C)=0,"",_xlfn.XLOOKUP(A757,PARAMETROS!A:A,PARAMETROS!C:C))</f>
        <v>12</v>
      </c>
      <c r="D757">
        <f>IF(_xlfn.XLOOKUP(A757,PARAMETROS!A:A,PARAMETROS!D:D)=0,"",_xlfn.XLOOKUP(A757,PARAMETROS!A:A,PARAMETROS!D:D))</f>
        <v>9</v>
      </c>
      <c r="E757" t="str">
        <f>IF(_xlfn.XLOOKUP('PREENCHIMENTO|LETIVAS'!A757,PARAMETROS!A:A,PARAMETROS!I:I)=0,"",_xlfn.XLOOKUP('PREENCHIMENTO|LETIVAS'!A757,PARAMETROS!A:A,PARAMETROS!I:I))</f>
        <v>PROFESSOR REGENTE</v>
      </c>
      <c r="F757" s="3" t="s">
        <v>53</v>
      </c>
      <c r="G757" s="3" t="s">
        <v>54</v>
      </c>
      <c r="H757" s="3" t="s">
        <v>39</v>
      </c>
      <c r="I757" s="3" t="s">
        <v>33</v>
      </c>
      <c r="J757" s="3" t="s">
        <v>1203</v>
      </c>
      <c r="K757" s="3" t="s">
        <v>1552</v>
      </c>
      <c r="L757" s="19"/>
    </row>
    <row r="758" spans="1:12">
      <c r="A758" s="3" t="s">
        <v>724</v>
      </c>
      <c r="B758" t="str">
        <f>IF(_xlfn.XLOOKUP(A758,PARAMETROS!A:A,PARAMETROS!B:B)=0,"",_xlfn.XLOOKUP(A758,PARAMETROS!A:A,PARAMETROS!B:B))</f>
        <v>012009006369</v>
      </c>
      <c r="C758">
        <f>IF(_xlfn.XLOOKUP(A758,PARAMETROS!A:A,PARAMETROS!C:C)=0,"",_xlfn.XLOOKUP(A758,PARAMETROS!A:A,PARAMETROS!C:C))</f>
        <v>12</v>
      </c>
      <c r="D758">
        <f>IF(_xlfn.XLOOKUP(A758,PARAMETROS!A:A,PARAMETROS!D:D)=0,"",_xlfn.XLOOKUP(A758,PARAMETROS!A:A,PARAMETROS!D:D))</f>
        <v>9</v>
      </c>
      <c r="E758" t="str">
        <f>IF(_xlfn.XLOOKUP('PREENCHIMENTO|LETIVAS'!A758,PARAMETROS!A:A,PARAMETROS!I:I)=0,"",_xlfn.XLOOKUP('PREENCHIMENTO|LETIVAS'!A758,PARAMETROS!A:A,PARAMETROS!I:I))</f>
        <v>PROFESSOR REGENTE</v>
      </c>
      <c r="F758" s="3" t="s">
        <v>53</v>
      </c>
      <c r="G758" s="3">
        <v>1</v>
      </c>
      <c r="H758" s="3" t="s">
        <v>39</v>
      </c>
      <c r="I758" s="3" t="s">
        <v>33</v>
      </c>
      <c r="J758" s="3" t="s">
        <v>1553</v>
      </c>
      <c r="K758" s="3"/>
      <c r="L758" s="19"/>
    </row>
    <row r="759" spans="1:12">
      <c r="A759" s="3" t="s">
        <v>694</v>
      </c>
      <c r="B759" t="str">
        <f>IF(_xlfn.XLOOKUP(A759,PARAMETROS!A:A,PARAMETROS!B:B)=0,"",_xlfn.XLOOKUP(A759,PARAMETROS!A:A,PARAMETROS!B:B))</f>
        <v>012009006361</v>
      </c>
      <c r="C759">
        <f>IF(_xlfn.XLOOKUP(A759,PARAMETROS!A:A,PARAMETROS!C:C)=0,"",_xlfn.XLOOKUP(A759,PARAMETROS!A:A,PARAMETROS!C:C))</f>
        <v>12</v>
      </c>
      <c r="D759">
        <f>IF(_xlfn.XLOOKUP(A759,PARAMETROS!A:A,PARAMETROS!D:D)=0,"",_xlfn.XLOOKUP(A759,PARAMETROS!A:A,PARAMETROS!D:D))</f>
        <v>9</v>
      </c>
      <c r="E759" t="str">
        <f>IF(_xlfn.XLOOKUP('PREENCHIMENTO|LETIVAS'!A759,PARAMETROS!A:A,PARAMETROS!I:I)=0,"",_xlfn.XLOOKUP('PREENCHIMENTO|LETIVAS'!A759,PARAMETROS!A:A,PARAMETROS!I:I))</f>
        <v>PROFESSOR REGENTE</v>
      </c>
      <c r="F759" s="3" t="s">
        <v>53</v>
      </c>
      <c r="G759" s="3">
        <v>2</v>
      </c>
      <c r="H759" s="3" t="s">
        <v>39</v>
      </c>
      <c r="I759" s="3" t="s">
        <v>40</v>
      </c>
      <c r="J759" s="3" t="s">
        <v>1554</v>
      </c>
      <c r="K759" s="3"/>
      <c r="L759" s="19"/>
    </row>
    <row r="760" spans="1:12">
      <c r="A760" s="3" t="s">
        <v>590</v>
      </c>
      <c r="B760" t="str">
        <f>IF(_xlfn.XLOOKUP(A760,PARAMETROS!A:A,PARAMETROS!B:B)=0,"",_xlfn.XLOOKUP(A760,PARAMETROS!A:A,PARAMETROS!B:B))</f>
        <v>012009006311</v>
      </c>
      <c r="C760">
        <f>IF(_xlfn.XLOOKUP(A760,PARAMETROS!A:A,PARAMETROS!C:C)=0,"",_xlfn.XLOOKUP(A760,PARAMETROS!A:A,PARAMETROS!C:C))</f>
        <v>12</v>
      </c>
      <c r="D760">
        <f>IF(_xlfn.XLOOKUP(A760,PARAMETROS!A:A,PARAMETROS!D:D)=0,"",_xlfn.XLOOKUP(A760,PARAMETROS!A:A,PARAMETROS!D:D))</f>
        <v>9</v>
      </c>
      <c r="E760" t="str">
        <f>IF(_xlfn.XLOOKUP('PREENCHIMENTO|LETIVAS'!A760,PARAMETROS!A:A,PARAMETROS!I:I)=0,"",_xlfn.XLOOKUP('PREENCHIMENTO|LETIVAS'!A760,PARAMETROS!A:A,PARAMETROS!I:I))</f>
        <v>PROFESSOR REGENTE</v>
      </c>
      <c r="F760" s="3" t="s">
        <v>53</v>
      </c>
      <c r="G760" s="3">
        <v>2</v>
      </c>
      <c r="H760" s="3" t="s">
        <v>39</v>
      </c>
      <c r="I760" s="3" t="s">
        <v>40</v>
      </c>
      <c r="J760" s="3" t="s">
        <v>1555</v>
      </c>
      <c r="K760" s="3"/>
      <c r="L760" s="19"/>
    </row>
    <row r="761" spans="1:12">
      <c r="A761" s="3" t="s">
        <v>526</v>
      </c>
      <c r="B761" t="str">
        <f>IF(_xlfn.XLOOKUP(A761,PARAMETROS!A:A,PARAMETROS!B:B)=0,"",_xlfn.XLOOKUP(A761,PARAMETROS!A:A,PARAMETROS!B:B))</f>
        <v>012009006226</v>
      </c>
      <c r="C761">
        <f>IF(_xlfn.XLOOKUP(A761,PARAMETROS!A:A,PARAMETROS!C:C)=0,"",_xlfn.XLOOKUP(A761,PARAMETROS!A:A,PARAMETROS!C:C))</f>
        <v>40</v>
      </c>
      <c r="D761">
        <f>IF(_xlfn.XLOOKUP(A761,PARAMETROS!A:A,PARAMETROS!D:D)=0,"",_xlfn.XLOOKUP(A761,PARAMETROS!A:A,PARAMETROS!D:D))</f>
        <v>20</v>
      </c>
      <c r="E761" t="str">
        <f>IF(_xlfn.XLOOKUP('PREENCHIMENTO|LETIVAS'!A761,PARAMETROS!A:A,PARAMETROS!I:I)=0,"",_xlfn.XLOOKUP('PREENCHIMENTO|LETIVAS'!A761,PARAMETROS!A:A,PARAMETROS!I:I))</f>
        <v>PROFESSOR REGENTE</v>
      </c>
      <c r="F761" s="3" t="s">
        <v>53</v>
      </c>
      <c r="G761" s="3" t="s">
        <v>54</v>
      </c>
      <c r="H761" s="3" t="s">
        <v>55</v>
      </c>
      <c r="I761" s="3" t="s">
        <v>33</v>
      </c>
      <c r="J761" s="3" t="s">
        <v>1556</v>
      </c>
      <c r="K761" s="3"/>
      <c r="L761" s="19"/>
    </row>
    <row r="762" spans="1:12">
      <c r="A762" s="3" t="s">
        <v>526</v>
      </c>
      <c r="B762" t="str">
        <f>IF(_xlfn.XLOOKUP(A762,PARAMETROS!A:A,PARAMETROS!B:B)=0,"",_xlfn.XLOOKUP(A762,PARAMETROS!A:A,PARAMETROS!B:B))</f>
        <v>012009006226</v>
      </c>
      <c r="C762">
        <f>IF(_xlfn.XLOOKUP(A762,PARAMETROS!A:A,PARAMETROS!C:C)=0,"",_xlfn.XLOOKUP(A762,PARAMETROS!A:A,PARAMETROS!C:C))</f>
        <v>40</v>
      </c>
      <c r="D762">
        <f>IF(_xlfn.XLOOKUP(A762,PARAMETROS!A:A,PARAMETROS!D:D)=0,"",_xlfn.XLOOKUP(A762,PARAMETROS!A:A,PARAMETROS!D:D))</f>
        <v>20</v>
      </c>
      <c r="E762" t="str">
        <f>IF(_xlfn.XLOOKUP('PREENCHIMENTO|LETIVAS'!A762,PARAMETROS!A:A,PARAMETROS!I:I)=0,"",_xlfn.XLOOKUP('PREENCHIMENTO|LETIVAS'!A762,PARAMETROS!A:A,PARAMETROS!I:I))</f>
        <v>PROFESSOR REGENTE</v>
      </c>
      <c r="F762" s="3" t="s">
        <v>53</v>
      </c>
      <c r="G762" s="3" t="s">
        <v>54</v>
      </c>
      <c r="H762" s="3" t="s">
        <v>39</v>
      </c>
      <c r="I762" s="3" t="s">
        <v>33</v>
      </c>
      <c r="J762" s="3" t="s">
        <v>1557</v>
      </c>
      <c r="K762" s="3"/>
      <c r="L762" s="19"/>
    </row>
    <row r="763" spans="1:12">
      <c r="A763" s="3" t="s">
        <v>459</v>
      </c>
      <c r="B763" t="str">
        <f>IF(_xlfn.XLOOKUP(A763,PARAMETROS!A:A,PARAMETROS!B:B)=0,"",_xlfn.XLOOKUP(A763,PARAMETROS!A:A,PARAMETROS!B:B))</f>
        <v>012009006222</v>
      </c>
      <c r="C763">
        <f>IF(_xlfn.XLOOKUP(A763,PARAMETROS!A:A,PARAMETROS!C:C)=0,"",_xlfn.XLOOKUP(A763,PARAMETROS!A:A,PARAMETROS!C:C))</f>
        <v>12</v>
      </c>
      <c r="D763">
        <f>IF(_xlfn.XLOOKUP(A763,PARAMETROS!A:A,PARAMETROS!D:D)=0,"",_xlfn.XLOOKUP(A763,PARAMETROS!A:A,PARAMETROS!D:D))</f>
        <v>9</v>
      </c>
      <c r="E763" t="str">
        <f>IF(_xlfn.XLOOKUP('PREENCHIMENTO|LETIVAS'!A763,PARAMETROS!A:A,PARAMETROS!I:I)=0,"",_xlfn.XLOOKUP('PREENCHIMENTO|LETIVAS'!A763,PARAMETROS!A:A,PARAMETROS!I:I))</f>
        <v>PROFESSOR REGENTE</v>
      </c>
      <c r="F763" s="3" t="s">
        <v>53</v>
      </c>
      <c r="G763" s="3">
        <v>2</v>
      </c>
      <c r="H763" s="3" t="s">
        <v>63</v>
      </c>
      <c r="I763" s="3" t="s">
        <v>33</v>
      </c>
      <c r="J763" s="3" t="s">
        <v>1558</v>
      </c>
      <c r="K763" s="3"/>
      <c r="L763" s="19"/>
    </row>
    <row r="764" spans="1:12">
      <c r="A764" s="3" t="s">
        <v>459</v>
      </c>
      <c r="B764" t="str">
        <f>IF(_xlfn.XLOOKUP(A764,PARAMETROS!A:A,PARAMETROS!B:B)=0,"",_xlfn.XLOOKUP(A764,PARAMETROS!A:A,PARAMETROS!B:B))</f>
        <v>012009006222</v>
      </c>
      <c r="C764">
        <f>IF(_xlfn.XLOOKUP(A764,PARAMETROS!A:A,PARAMETROS!C:C)=0,"",_xlfn.XLOOKUP(A764,PARAMETROS!A:A,PARAMETROS!C:C))</f>
        <v>12</v>
      </c>
      <c r="D764">
        <f>IF(_xlfn.XLOOKUP(A764,PARAMETROS!A:A,PARAMETROS!D:D)=0,"",_xlfn.XLOOKUP(A764,PARAMETROS!A:A,PARAMETROS!D:D))</f>
        <v>9</v>
      </c>
      <c r="E764" t="str">
        <f>IF(_xlfn.XLOOKUP('PREENCHIMENTO|LETIVAS'!A764,PARAMETROS!A:A,PARAMETROS!I:I)=0,"",_xlfn.XLOOKUP('PREENCHIMENTO|LETIVAS'!A764,PARAMETROS!A:A,PARAMETROS!I:I))</f>
        <v>PROFESSOR REGENTE</v>
      </c>
      <c r="F764" s="3" t="s">
        <v>53</v>
      </c>
      <c r="G764" s="3">
        <v>1</v>
      </c>
      <c r="H764" s="3" t="s">
        <v>63</v>
      </c>
      <c r="I764" s="3" t="s">
        <v>40</v>
      </c>
      <c r="J764" s="3" t="s">
        <v>1559</v>
      </c>
      <c r="K764" s="3"/>
      <c r="L764" s="19"/>
    </row>
    <row r="765" spans="1:12">
      <c r="A765" s="3" t="s">
        <v>556</v>
      </c>
      <c r="B765" t="str">
        <f>IF(_xlfn.XLOOKUP(A765,PARAMETROS!A:A,PARAMETROS!B:B)=0,"",_xlfn.XLOOKUP(A765,PARAMETROS!A:A,PARAMETROS!B:B))</f>
        <v>012009006258</v>
      </c>
      <c r="C765">
        <f>IF(_xlfn.XLOOKUP(A765,PARAMETROS!A:A,PARAMETROS!C:C)=0,"",_xlfn.XLOOKUP(A765,PARAMETROS!A:A,PARAMETROS!C:C))</f>
        <v>12</v>
      </c>
      <c r="D765">
        <f>IF(_xlfn.XLOOKUP(A765,PARAMETROS!A:A,PARAMETROS!D:D)=0,"",_xlfn.XLOOKUP(A765,PARAMETROS!A:A,PARAMETROS!D:D))</f>
        <v>9</v>
      </c>
      <c r="E765" t="str">
        <f>IF(_xlfn.XLOOKUP('PREENCHIMENTO|LETIVAS'!A765,PARAMETROS!A:A,PARAMETROS!I:I)=0,"",_xlfn.XLOOKUP('PREENCHIMENTO|LETIVAS'!A765,PARAMETROS!A:A,PARAMETROS!I:I))</f>
        <v>PROFESSOR REGENTE</v>
      </c>
      <c r="F765" s="3" t="s">
        <v>53</v>
      </c>
      <c r="G765" s="3">
        <v>1</v>
      </c>
      <c r="H765" s="3" t="s">
        <v>63</v>
      </c>
      <c r="I765" s="3" t="s">
        <v>33</v>
      </c>
      <c r="J765" s="3" t="s">
        <v>1560</v>
      </c>
      <c r="K765" s="3"/>
      <c r="L765" s="19"/>
    </row>
    <row r="766" spans="1:12">
      <c r="A766" s="3" t="s">
        <v>556</v>
      </c>
      <c r="B766" t="str">
        <f>IF(_xlfn.XLOOKUP(A766,PARAMETROS!A:A,PARAMETROS!B:B)=0,"",_xlfn.XLOOKUP(A766,PARAMETROS!A:A,PARAMETROS!B:B))</f>
        <v>012009006258</v>
      </c>
      <c r="C766">
        <f>IF(_xlfn.XLOOKUP(A766,PARAMETROS!A:A,PARAMETROS!C:C)=0,"",_xlfn.XLOOKUP(A766,PARAMETROS!A:A,PARAMETROS!C:C))</f>
        <v>12</v>
      </c>
      <c r="D766">
        <f>IF(_xlfn.XLOOKUP(A766,PARAMETROS!A:A,PARAMETROS!D:D)=0,"",_xlfn.XLOOKUP(A766,PARAMETROS!A:A,PARAMETROS!D:D))</f>
        <v>9</v>
      </c>
      <c r="E766" t="str">
        <f>IF(_xlfn.XLOOKUP('PREENCHIMENTO|LETIVAS'!A766,PARAMETROS!A:A,PARAMETROS!I:I)=0,"",_xlfn.XLOOKUP('PREENCHIMENTO|LETIVAS'!A766,PARAMETROS!A:A,PARAMETROS!I:I))</f>
        <v>PROFESSOR REGENTE</v>
      </c>
      <c r="F766" s="3" t="s">
        <v>53</v>
      </c>
      <c r="G766" s="3">
        <v>1</v>
      </c>
      <c r="H766" s="3" t="s">
        <v>63</v>
      </c>
      <c r="I766" s="3" t="s">
        <v>40</v>
      </c>
      <c r="J766" s="3" t="s">
        <v>1561</v>
      </c>
      <c r="K766" s="3"/>
      <c r="L766" s="19"/>
    </row>
    <row r="767" spans="1:12">
      <c r="A767" s="3" t="s">
        <v>465</v>
      </c>
      <c r="B767" t="str">
        <f>IF(_xlfn.XLOOKUP(A767,PARAMETROS!A:A,PARAMETROS!B:B)=0,"",_xlfn.XLOOKUP(A767,PARAMETROS!A:A,PARAMETROS!B:B))</f>
        <v>012009005662</v>
      </c>
      <c r="C767">
        <f>IF(_xlfn.XLOOKUP(A767,PARAMETROS!A:A,PARAMETROS!C:C)=0,"",_xlfn.XLOOKUP(A767,PARAMETROS!A:A,PARAMETROS!C:C))</f>
        <v>40</v>
      </c>
      <c r="D767">
        <f>IF(_xlfn.XLOOKUP(A767,PARAMETROS!A:A,PARAMETROS!D:D)=0,"",_xlfn.XLOOKUP(A767,PARAMETROS!A:A,PARAMETROS!D:D))</f>
        <v>4</v>
      </c>
      <c r="E767" t="str">
        <f>IF(_xlfn.XLOOKUP('PREENCHIMENTO|LETIVAS'!A767,PARAMETROS!A:A,PARAMETROS!I:I)=0,"",_xlfn.XLOOKUP('PREENCHIMENTO|LETIVAS'!A767,PARAMETROS!A:A,PARAMETROS!I:I))</f>
        <v>PROFESSOR DE ENSINO SUPERIOR EAD</v>
      </c>
      <c r="F767" s="3" t="s">
        <v>53</v>
      </c>
      <c r="G767" s="3">
        <v>2</v>
      </c>
      <c r="H767" s="3" t="s">
        <v>39</v>
      </c>
      <c r="I767" s="3" t="s">
        <v>33</v>
      </c>
      <c r="J767" s="3" t="s">
        <v>916</v>
      </c>
      <c r="K767" s="3"/>
      <c r="L767" s="19"/>
    </row>
    <row r="768" spans="1:12">
      <c r="A768" s="3" t="s">
        <v>465</v>
      </c>
      <c r="B768" t="str">
        <f>IF(_xlfn.XLOOKUP(A768,PARAMETROS!A:A,PARAMETROS!B:B)=0,"",_xlfn.XLOOKUP(A768,PARAMETROS!A:A,PARAMETROS!B:B))</f>
        <v>012009005662</v>
      </c>
      <c r="C768">
        <f>IF(_xlfn.XLOOKUP(A768,PARAMETROS!A:A,PARAMETROS!C:C)=0,"",_xlfn.XLOOKUP(A768,PARAMETROS!A:A,PARAMETROS!C:C))</f>
        <v>40</v>
      </c>
      <c r="D768">
        <f>IF(_xlfn.XLOOKUP(A768,PARAMETROS!A:A,PARAMETROS!D:D)=0,"",_xlfn.XLOOKUP(A768,PARAMETROS!A:A,PARAMETROS!D:D))</f>
        <v>4</v>
      </c>
      <c r="E768" t="str">
        <f>IF(_xlfn.XLOOKUP('PREENCHIMENTO|LETIVAS'!A768,PARAMETROS!A:A,PARAMETROS!I:I)=0,"",_xlfn.XLOOKUP('PREENCHIMENTO|LETIVAS'!A768,PARAMETROS!A:A,PARAMETROS!I:I))</f>
        <v>PROFESSOR DE ENSINO SUPERIOR EAD</v>
      </c>
      <c r="F768" s="3" t="s">
        <v>53</v>
      </c>
      <c r="G768" s="3" t="s">
        <v>54</v>
      </c>
      <c r="H768" s="3" t="s">
        <v>39</v>
      </c>
      <c r="I768" s="3" t="s">
        <v>33</v>
      </c>
      <c r="J768" s="3" t="s">
        <v>1205</v>
      </c>
      <c r="K768" s="3" t="s">
        <v>1552</v>
      </c>
      <c r="L768" s="19"/>
    </row>
    <row r="769" spans="1:12">
      <c r="A769" s="3" t="s">
        <v>465</v>
      </c>
      <c r="B769" t="str">
        <f>IF(_xlfn.XLOOKUP(A769,PARAMETROS!A:A,PARAMETROS!B:B)=0,"",_xlfn.XLOOKUP(A769,PARAMETROS!A:A,PARAMETROS!B:B))</f>
        <v>012009005662</v>
      </c>
      <c r="C769">
        <f>IF(_xlfn.XLOOKUP(A769,PARAMETROS!A:A,PARAMETROS!C:C)=0,"",_xlfn.XLOOKUP(A769,PARAMETROS!A:A,PARAMETROS!C:C))</f>
        <v>40</v>
      </c>
      <c r="D769">
        <f>IF(_xlfn.XLOOKUP(A769,PARAMETROS!A:A,PARAMETROS!D:D)=0,"",_xlfn.XLOOKUP(A769,PARAMETROS!A:A,PARAMETROS!D:D))</f>
        <v>4</v>
      </c>
      <c r="E769" t="str">
        <f>IF(_xlfn.XLOOKUP('PREENCHIMENTO|LETIVAS'!A769,PARAMETROS!A:A,PARAMETROS!I:I)=0,"",_xlfn.XLOOKUP('PREENCHIMENTO|LETIVAS'!A769,PARAMETROS!A:A,PARAMETROS!I:I))</f>
        <v>PROFESSOR DE ENSINO SUPERIOR EAD</v>
      </c>
      <c r="F769" s="3" t="s">
        <v>53</v>
      </c>
      <c r="G769" s="3">
        <v>2</v>
      </c>
      <c r="H769" s="3" t="s">
        <v>39</v>
      </c>
      <c r="I769" s="3" t="s">
        <v>40</v>
      </c>
      <c r="J769" s="3" t="s">
        <v>1142</v>
      </c>
      <c r="K769" s="3"/>
      <c r="L769" s="19"/>
    </row>
    <row r="770" spans="1:12">
      <c r="A770" s="3" t="s">
        <v>682</v>
      </c>
      <c r="B770" t="str">
        <f>IF(_xlfn.XLOOKUP(A770,PARAMETROS!A:A,PARAMETROS!B:B)=0,"",_xlfn.XLOOKUP(A770,PARAMETROS!A:A,PARAMETROS!B:B))</f>
        <v>012009004482</v>
      </c>
      <c r="C770" t="str">
        <f>IF(_xlfn.XLOOKUP(A770,PARAMETROS!A:A,PARAMETROS!C:C)=0,"",_xlfn.XLOOKUP(A770,PARAMETROS!A:A,PARAMETROS!C:C))</f>
        <v/>
      </c>
      <c r="D770" t="str">
        <f>IF(_xlfn.XLOOKUP(A770,PARAMETROS!A:A,PARAMETROS!D:D)=0,"",_xlfn.XLOOKUP(A770,PARAMETROS!A:A,PARAMETROS!D:D))</f>
        <v/>
      </c>
      <c r="E770" t="str">
        <f>IF(_xlfn.XLOOKUP('PREENCHIMENTO|LETIVAS'!A770,PARAMETROS!A:A,PARAMETROS!I:I)=0,"",_xlfn.XLOOKUP('PREENCHIMENTO|LETIVAS'!A770,PARAMETROS!A:A,PARAMETROS!I:I))</f>
        <v>PROFESSOR DE ENSINO SUPERIOR PRESENCIAL</v>
      </c>
      <c r="F770" s="3" t="s">
        <v>53</v>
      </c>
      <c r="G770" s="3">
        <v>2</v>
      </c>
      <c r="H770" s="3" t="s">
        <v>63</v>
      </c>
      <c r="I770" s="3" t="s">
        <v>40</v>
      </c>
      <c r="J770" s="3" t="s">
        <v>1562</v>
      </c>
      <c r="K770" s="3"/>
      <c r="L770" s="19"/>
    </row>
    <row r="771" spans="1:12">
      <c r="A771" s="3" t="s">
        <v>413</v>
      </c>
      <c r="B771" t="str">
        <f>IF(_xlfn.XLOOKUP(A771,PARAMETROS!A:A,PARAMETROS!B:B)=0,"",_xlfn.XLOOKUP(A771,PARAMETROS!A:A,PARAMETROS!B:B))</f>
        <v>012009006213</v>
      </c>
      <c r="C771">
        <f>IF(_xlfn.XLOOKUP(A771,PARAMETROS!A:A,PARAMETROS!C:C)=0,"",_xlfn.XLOOKUP(A771,PARAMETROS!A:A,PARAMETROS!C:C))</f>
        <v>12</v>
      </c>
      <c r="D771">
        <f>IF(_xlfn.XLOOKUP(A771,PARAMETROS!A:A,PARAMETROS!D:D)=0,"",_xlfn.XLOOKUP(A771,PARAMETROS!A:A,PARAMETROS!D:D))</f>
        <v>9</v>
      </c>
      <c r="E771" t="str">
        <f>IF(_xlfn.XLOOKUP('PREENCHIMENTO|LETIVAS'!A771,PARAMETROS!A:A,PARAMETROS!I:I)=0,"",_xlfn.XLOOKUP('PREENCHIMENTO|LETIVAS'!A771,PARAMETROS!A:A,PARAMETROS!I:I))</f>
        <v>PROFESSOR REGENTE</v>
      </c>
      <c r="F771" s="3" t="s">
        <v>53</v>
      </c>
      <c r="G771" s="3">
        <v>2</v>
      </c>
      <c r="H771" s="3" t="s">
        <v>63</v>
      </c>
      <c r="I771" s="3" t="s">
        <v>33</v>
      </c>
      <c r="J771" s="3" t="s">
        <v>1254</v>
      </c>
      <c r="K771" s="3"/>
      <c r="L771" s="19"/>
    </row>
    <row r="772" spans="1:12">
      <c r="A772" s="3" t="s">
        <v>334</v>
      </c>
      <c r="B772" t="str">
        <f>IF(_xlfn.XLOOKUP(A772,PARAMETROS!A:A,PARAMETROS!B:B)=0,"",_xlfn.XLOOKUP(A772,PARAMETROS!A:A,PARAMETROS!B:B))</f>
        <v>012009003968</v>
      </c>
      <c r="C772">
        <f>IF(_xlfn.XLOOKUP(A772,PARAMETROS!A:A,PARAMETROS!C:C)=0,"",_xlfn.XLOOKUP(A772,PARAMETROS!A:A,PARAMETROS!C:C))</f>
        <v>40</v>
      </c>
      <c r="D772">
        <f>IF(_xlfn.XLOOKUP(A772,PARAMETROS!A:A,PARAMETROS!D:D)=0,"",_xlfn.XLOOKUP(A772,PARAMETROS!A:A,PARAMETROS!D:D))</f>
        <v>4</v>
      </c>
      <c r="E772" t="str">
        <f>IF(_xlfn.XLOOKUP('PREENCHIMENTO|LETIVAS'!A772,PARAMETROS!A:A,PARAMETROS!I:I)=0,"",_xlfn.XLOOKUP('PREENCHIMENTO|LETIVAS'!A772,PARAMETROS!A:A,PARAMETROS!I:I))</f>
        <v>PROFESSOR DE ENSINO SUPERIOR EAD</v>
      </c>
      <c r="F772" s="3" t="s">
        <v>53</v>
      </c>
      <c r="G772" s="3">
        <v>2</v>
      </c>
      <c r="H772" s="3" t="s">
        <v>32</v>
      </c>
      <c r="I772" s="3" t="s">
        <v>33</v>
      </c>
      <c r="J772" s="3" t="s">
        <v>1563</v>
      </c>
      <c r="K772" s="3"/>
      <c r="L772" s="19"/>
    </row>
    <row r="773" spans="1:12">
      <c r="A773" s="3" t="s">
        <v>334</v>
      </c>
      <c r="B773" t="str">
        <f>IF(_xlfn.XLOOKUP(A773,PARAMETROS!A:A,PARAMETROS!B:B)=0,"",_xlfn.XLOOKUP(A773,PARAMETROS!A:A,PARAMETROS!B:B))</f>
        <v>012009003968</v>
      </c>
      <c r="C773">
        <f>IF(_xlfn.XLOOKUP(A773,PARAMETROS!A:A,PARAMETROS!C:C)=0,"",_xlfn.XLOOKUP(A773,PARAMETROS!A:A,PARAMETROS!C:C))</f>
        <v>40</v>
      </c>
      <c r="D773">
        <f>IF(_xlfn.XLOOKUP(A773,PARAMETROS!A:A,PARAMETROS!D:D)=0,"",_xlfn.XLOOKUP(A773,PARAMETROS!A:A,PARAMETROS!D:D))</f>
        <v>4</v>
      </c>
      <c r="E773" t="str">
        <f>IF(_xlfn.XLOOKUP('PREENCHIMENTO|LETIVAS'!A773,PARAMETROS!A:A,PARAMETROS!I:I)=0,"",_xlfn.XLOOKUP('PREENCHIMENTO|LETIVAS'!A773,PARAMETROS!A:A,PARAMETROS!I:I))</f>
        <v>PROFESSOR DE ENSINO SUPERIOR EAD</v>
      </c>
      <c r="F773" s="3" t="s">
        <v>53</v>
      </c>
      <c r="G773" s="3">
        <v>1</v>
      </c>
      <c r="H773" s="3" t="s">
        <v>32</v>
      </c>
      <c r="I773" s="3" t="s">
        <v>40</v>
      </c>
      <c r="J773" s="3" t="s">
        <v>1564</v>
      </c>
      <c r="K773" s="3"/>
      <c r="L773" s="19"/>
    </row>
    <row r="774" spans="1:12">
      <c r="A774" s="3" t="s">
        <v>246</v>
      </c>
      <c r="B774" t="str">
        <f>IF(_xlfn.XLOOKUP(A774,PARAMETROS!A:A,PARAMETROS!B:B)=0,"",_xlfn.XLOOKUP(A774,PARAMETROS!A:A,PARAMETROS!B:B))</f>
        <v>012009003455</v>
      </c>
      <c r="C774">
        <f>IF(_xlfn.XLOOKUP(A774,PARAMETROS!A:A,PARAMETROS!C:C)=0,"",_xlfn.XLOOKUP(A774,PARAMETROS!A:A,PARAMETROS!C:C))</f>
        <v>40</v>
      </c>
      <c r="D774">
        <f>IF(_xlfn.XLOOKUP(A774,PARAMETROS!A:A,PARAMETROS!D:D)=0,"",_xlfn.XLOOKUP(A774,PARAMETROS!A:A,PARAMETROS!D:D))</f>
        <v>4</v>
      </c>
      <c r="E774" t="str">
        <f>IF(_xlfn.XLOOKUP('PREENCHIMENTO|LETIVAS'!A774,PARAMETROS!A:A,PARAMETROS!I:I)=0,"",_xlfn.XLOOKUP('PREENCHIMENTO|LETIVAS'!A774,PARAMETROS!A:A,PARAMETROS!I:I))</f>
        <v>PROFESSOR DE ENSINO SUPERIOR EAD</v>
      </c>
      <c r="F774" s="3" t="s">
        <v>53</v>
      </c>
      <c r="G774" s="3">
        <v>2</v>
      </c>
      <c r="H774" s="3" t="s">
        <v>32</v>
      </c>
      <c r="I774" s="3" t="s">
        <v>33</v>
      </c>
      <c r="J774" s="3" t="s">
        <v>1565</v>
      </c>
      <c r="K774" s="3"/>
      <c r="L774" s="19"/>
    </row>
    <row r="775" spans="1:12">
      <c r="A775" s="3" t="s">
        <v>246</v>
      </c>
      <c r="B775" t="str">
        <f>IF(_xlfn.XLOOKUP(A775,PARAMETROS!A:A,PARAMETROS!B:B)=0,"",_xlfn.XLOOKUP(A775,PARAMETROS!A:A,PARAMETROS!B:B))</f>
        <v>012009003455</v>
      </c>
      <c r="C775">
        <f>IF(_xlfn.XLOOKUP(A775,PARAMETROS!A:A,PARAMETROS!C:C)=0,"",_xlfn.XLOOKUP(A775,PARAMETROS!A:A,PARAMETROS!C:C))</f>
        <v>40</v>
      </c>
      <c r="D775">
        <f>IF(_xlfn.XLOOKUP(A775,PARAMETROS!A:A,PARAMETROS!D:D)=0,"",_xlfn.XLOOKUP(A775,PARAMETROS!A:A,PARAMETROS!D:D))</f>
        <v>4</v>
      </c>
      <c r="E775" t="str">
        <f>IF(_xlfn.XLOOKUP('PREENCHIMENTO|LETIVAS'!A775,PARAMETROS!A:A,PARAMETROS!I:I)=0,"",_xlfn.XLOOKUP('PREENCHIMENTO|LETIVAS'!A775,PARAMETROS!A:A,PARAMETROS!I:I))</f>
        <v>PROFESSOR DE ENSINO SUPERIOR EAD</v>
      </c>
      <c r="F775" s="3" t="s">
        <v>53</v>
      </c>
      <c r="G775" s="3">
        <v>2</v>
      </c>
      <c r="H775" s="3" t="s">
        <v>55</v>
      </c>
      <c r="I775" s="3" t="s">
        <v>33</v>
      </c>
      <c r="J775" s="3" t="s">
        <v>1566</v>
      </c>
      <c r="K775" s="3"/>
      <c r="L775" s="19"/>
    </row>
    <row r="776" spans="1:12">
      <c r="A776" s="3" t="s">
        <v>246</v>
      </c>
      <c r="B776" t="str">
        <f>IF(_xlfn.XLOOKUP(A776,PARAMETROS!A:A,PARAMETROS!B:B)=0,"",_xlfn.XLOOKUP(A776,PARAMETROS!A:A,PARAMETROS!B:B))</f>
        <v>012009003455</v>
      </c>
      <c r="C776">
        <f>IF(_xlfn.XLOOKUP(A776,PARAMETROS!A:A,PARAMETROS!C:C)=0,"",_xlfn.XLOOKUP(A776,PARAMETROS!A:A,PARAMETROS!C:C))</f>
        <v>40</v>
      </c>
      <c r="D776">
        <f>IF(_xlfn.XLOOKUP(A776,PARAMETROS!A:A,PARAMETROS!D:D)=0,"",_xlfn.XLOOKUP(A776,PARAMETROS!A:A,PARAMETROS!D:D))</f>
        <v>4</v>
      </c>
      <c r="E776" t="str">
        <f>IF(_xlfn.XLOOKUP('PREENCHIMENTO|LETIVAS'!A776,PARAMETROS!A:A,PARAMETROS!I:I)=0,"",_xlfn.XLOOKUP('PREENCHIMENTO|LETIVAS'!A776,PARAMETROS!A:A,PARAMETROS!I:I))</f>
        <v>PROFESSOR DE ENSINO SUPERIOR EAD</v>
      </c>
      <c r="F776" s="3" t="s">
        <v>53</v>
      </c>
      <c r="G776" s="3">
        <v>1</v>
      </c>
      <c r="H776" s="3" t="s">
        <v>55</v>
      </c>
      <c r="I776" s="3" t="s">
        <v>40</v>
      </c>
      <c r="J776" s="3" t="s">
        <v>1567</v>
      </c>
      <c r="K776" s="3"/>
      <c r="L776" s="19"/>
    </row>
    <row r="777" spans="1:12">
      <c r="A777" s="3" t="s">
        <v>502</v>
      </c>
      <c r="B777" t="str">
        <f>IF(_xlfn.XLOOKUP(A777,PARAMETROS!A:A,PARAMETROS!B:B)=0,"",_xlfn.XLOOKUP(A777,PARAMETROS!A:A,PARAMETROS!B:B))</f>
        <v>012009003760</v>
      </c>
      <c r="C777">
        <f>IF(_xlfn.XLOOKUP(A777,PARAMETROS!A:A,PARAMETROS!C:C)=0,"",_xlfn.XLOOKUP(A777,PARAMETROS!A:A,PARAMETROS!C:C))</f>
        <v>20</v>
      </c>
      <c r="D777">
        <f>IF(_xlfn.XLOOKUP(A777,PARAMETROS!A:A,PARAMETROS!D:D)=0,"",_xlfn.XLOOKUP(A777,PARAMETROS!A:A,PARAMETROS!D:D))</f>
        <v>2</v>
      </c>
      <c r="E777" t="str">
        <f>IF(_xlfn.XLOOKUP('PREENCHIMENTO|LETIVAS'!A777,PARAMETROS!A:A,PARAMETROS!I:I)=0,"",_xlfn.XLOOKUP('PREENCHIMENTO|LETIVAS'!A777,PARAMETROS!A:A,PARAMETROS!I:I))</f>
        <v>PROFESSOR DE ENSINO SUPERIOR EAD</v>
      </c>
      <c r="F777" s="3" t="s">
        <v>53</v>
      </c>
      <c r="G777" s="3">
        <v>1</v>
      </c>
      <c r="H777" s="3" t="s">
        <v>32</v>
      </c>
      <c r="I777" s="3" t="s">
        <v>33</v>
      </c>
      <c r="J777" s="3" t="s">
        <v>1568</v>
      </c>
      <c r="K777" s="3"/>
      <c r="L777" s="19"/>
    </row>
    <row r="778" spans="1:12">
      <c r="A778" s="3" t="s">
        <v>502</v>
      </c>
      <c r="B778" t="str">
        <f>IF(_xlfn.XLOOKUP(A778,PARAMETROS!A:A,PARAMETROS!B:B)=0,"",_xlfn.XLOOKUP(A778,PARAMETROS!A:A,PARAMETROS!B:B))</f>
        <v>012009003760</v>
      </c>
      <c r="C778">
        <f>IF(_xlfn.XLOOKUP(A778,PARAMETROS!A:A,PARAMETROS!C:C)=0,"",_xlfn.XLOOKUP(A778,PARAMETROS!A:A,PARAMETROS!C:C))</f>
        <v>20</v>
      </c>
      <c r="D778">
        <f>IF(_xlfn.XLOOKUP(A778,PARAMETROS!A:A,PARAMETROS!D:D)=0,"",_xlfn.XLOOKUP(A778,PARAMETROS!A:A,PARAMETROS!D:D))</f>
        <v>2</v>
      </c>
      <c r="E778" t="str">
        <f>IF(_xlfn.XLOOKUP('PREENCHIMENTO|LETIVAS'!A778,PARAMETROS!A:A,PARAMETROS!I:I)=0,"",_xlfn.XLOOKUP('PREENCHIMENTO|LETIVAS'!A778,PARAMETROS!A:A,PARAMETROS!I:I))</f>
        <v>PROFESSOR DE ENSINO SUPERIOR EAD</v>
      </c>
      <c r="F778" s="3" t="s">
        <v>53</v>
      </c>
      <c r="G778" s="3">
        <v>2</v>
      </c>
      <c r="H778" s="3" t="s">
        <v>32</v>
      </c>
      <c r="I778" s="3" t="s">
        <v>40</v>
      </c>
      <c r="J778" s="3" t="s">
        <v>1541</v>
      </c>
      <c r="K778" s="3"/>
      <c r="L778" s="19"/>
    </row>
    <row r="779" spans="1:12">
      <c r="A779" s="3" t="s">
        <v>496</v>
      </c>
      <c r="B779" t="str">
        <f>IF(_xlfn.XLOOKUP(A779,PARAMETROS!A:A,PARAMETROS!B:B)=0,"",_xlfn.XLOOKUP(A779,PARAMETROS!A:A,PARAMETROS!B:B))</f>
        <v>012009003709</v>
      </c>
      <c r="C779">
        <f>IF(_xlfn.XLOOKUP(A779,PARAMETROS!A:A,PARAMETROS!C:C)=0,"",_xlfn.XLOOKUP(A779,PARAMETROS!A:A,PARAMETROS!C:C))</f>
        <v>20</v>
      </c>
      <c r="D779">
        <f>IF(_xlfn.XLOOKUP(A779,PARAMETROS!A:A,PARAMETROS!D:D)=0,"",_xlfn.XLOOKUP(A779,PARAMETROS!A:A,PARAMETROS!D:D))</f>
        <v>2</v>
      </c>
      <c r="E779" t="str">
        <f>IF(_xlfn.XLOOKUP('PREENCHIMENTO|LETIVAS'!A779,PARAMETROS!A:A,PARAMETROS!I:I)=0,"",_xlfn.XLOOKUP('PREENCHIMENTO|LETIVAS'!A779,PARAMETROS!A:A,PARAMETROS!I:I))</f>
        <v>PROFESSOR DE ENSINO SUPERIOR EAD</v>
      </c>
      <c r="F779" s="3" t="s">
        <v>53</v>
      </c>
      <c r="G779" s="3">
        <v>2</v>
      </c>
      <c r="H779" s="3" t="s">
        <v>32</v>
      </c>
      <c r="I779" s="3" t="s">
        <v>40</v>
      </c>
      <c r="J779" s="3" t="s">
        <v>1569</v>
      </c>
      <c r="K779" s="3"/>
      <c r="L779" s="19"/>
    </row>
    <row r="780" spans="1:12">
      <c r="A780" s="3" t="s">
        <v>249</v>
      </c>
      <c r="B780" t="str">
        <f>IF(_xlfn.XLOOKUP(A780,PARAMETROS!A:A,PARAMETROS!B:B)=0,"",_xlfn.XLOOKUP(A780,PARAMETROS!A:A,PARAMETROS!B:B))</f>
        <v>012009006206</v>
      </c>
      <c r="C780">
        <f>IF(_xlfn.XLOOKUP(A780,PARAMETROS!A:A,PARAMETROS!C:C)=0,"",_xlfn.XLOOKUP(A780,PARAMETROS!A:A,PARAMETROS!C:C))</f>
        <v>12</v>
      </c>
      <c r="D780">
        <f>IF(_xlfn.XLOOKUP(A780,PARAMETROS!A:A,PARAMETROS!D:D)=0,"",_xlfn.XLOOKUP(A780,PARAMETROS!A:A,PARAMETROS!D:D))</f>
        <v>9</v>
      </c>
      <c r="E780" t="str">
        <f>IF(_xlfn.XLOOKUP('PREENCHIMENTO|LETIVAS'!A780,PARAMETROS!A:A,PARAMETROS!I:I)=0,"",_xlfn.XLOOKUP('PREENCHIMENTO|LETIVAS'!A780,PARAMETROS!A:A,PARAMETROS!I:I))</f>
        <v>PROFESSOR REGENTE</v>
      </c>
      <c r="F780" s="3" t="s">
        <v>53</v>
      </c>
      <c r="G780" s="3">
        <v>1</v>
      </c>
      <c r="H780" s="3" t="s">
        <v>32</v>
      </c>
      <c r="I780" s="3" t="s">
        <v>40</v>
      </c>
      <c r="J780" s="3" t="s">
        <v>1570</v>
      </c>
      <c r="K780" s="3"/>
      <c r="L780" s="19"/>
    </row>
    <row r="781" spans="1:12">
      <c r="A781" s="3" t="s">
        <v>249</v>
      </c>
      <c r="B781" t="str">
        <f>IF(_xlfn.XLOOKUP(A781,PARAMETROS!A:A,PARAMETROS!B:B)=0,"",_xlfn.XLOOKUP(A781,PARAMETROS!A:A,PARAMETROS!B:B))</f>
        <v>012009006206</v>
      </c>
      <c r="C781">
        <f>IF(_xlfn.XLOOKUP(A781,PARAMETROS!A:A,PARAMETROS!C:C)=0,"",_xlfn.XLOOKUP(A781,PARAMETROS!A:A,PARAMETROS!C:C))</f>
        <v>12</v>
      </c>
      <c r="D781">
        <f>IF(_xlfn.XLOOKUP(A781,PARAMETROS!A:A,PARAMETROS!D:D)=0,"",_xlfn.XLOOKUP(A781,PARAMETROS!A:A,PARAMETROS!D:D))</f>
        <v>9</v>
      </c>
      <c r="E781" t="str">
        <f>IF(_xlfn.XLOOKUP('PREENCHIMENTO|LETIVAS'!A781,PARAMETROS!A:A,PARAMETROS!I:I)=0,"",_xlfn.XLOOKUP('PREENCHIMENTO|LETIVAS'!A781,PARAMETROS!A:A,PARAMETROS!I:I))</f>
        <v>PROFESSOR REGENTE</v>
      </c>
      <c r="F781" s="3" t="s">
        <v>53</v>
      </c>
      <c r="G781" s="3">
        <v>1</v>
      </c>
      <c r="H781" s="3" t="s">
        <v>55</v>
      </c>
      <c r="I781" s="3" t="s">
        <v>40</v>
      </c>
      <c r="J781" s="3" t="s">
        <v>1570</v>
      </c>
      <c r="K781" s="3"/>
      <c r="L781" s="19"/>
    </row>
    <row r="782" spans="1:12">
      <c r="A782" s="3" t="s">
        <v>635</v>
      </c>
      <c r="B782" t="str">
        <f>IF(_xlfn.XLOOKUP(A782,PARAMETROS!A:A,PARAMETROS!B:B)=0,"",_xlfn.XLOOKUP(A782,PARAMETROS!A:A,PARAMETROS!B:B))</f>
        <v>012009006283</v>
      </c>
      <c r="C782">
        <f>IF(_xlfn.XLOOKUP(A782,PARAMETROS!A:A,PARAMETROS!C:C)=0,"",_xlfn.XLOOKUP(A782,PARAMETROS!A:A,PARAMETROS!C:C))</f>
        <v>12</v>
      </c>
      <c r="D782">
        <f>IF(_xlfn.XLOOKUP(A782,PARAMETROS!A:A,PARAMETROS!D:D)=0,"",_xlfn.XLOOKUP(A782,PARAMETROS!A:A,PARAMETROS!D:D))</f>
        <v>9</v>
      </c>
      <c r="E782" t="str">
        <f>IF(_xlfn.XLOOKUP('PREENCHIMENTO|LETIVAS'!A782,PARAMETROS!A:A,PARAMETROS!I:I)=0,"",_xlfn.XLOOKUP('PREENCHIMENTO|LETIVAS'!A782,PARAMETROS!A:A,PARAMETROS!I:I))</f>
        <v>PROFESSOR REGENTE</v>
      </c>
      <c r="F782" s="3" t="s">
        <v>53</v>
      </c>
      <c r="G782" s="3">
        <v>2</v>
      </c>
      <c r="H782" s="3" t="s">
        <v>39</v>
      </c>
      <c r="I782" s="3" t="s">
        <v>33</v>
      </c>
      <c r="J782" s="3" t="s">
        <v>1571</v>
      </c>
      <c r="K782" s="3"/>
      <c r="L782" s="19"/>
    </row>
    <row r="783" spans="1:12">
      <c r="A783" s="3" t="s">
        <v>635</v>
      </c>
      <c r="B783" t="str">
        <f>IF(_xlfn.XLOOKUP(A783,PARAMETROS!A:A,PARAMETROS!B:B)=0,"",_xlfn.XLOOKUP(A783,PARAMETROS!A:A,PARAMETROS!B:B))</f>
        <v>012009006283</v>
      </c>
      <c r="C783">
        <f>IF(_xlfn.XLOOKUP(A783,PARAMETROS!A:A,PARAMETROS!C:C)=0,"",_xlfn.XLOOKUP(A783,PARAMETROS!A:A,PARAMETROS!C:C))</f>
        <v>12</v>
      </c>
      <c r="D783">
        <f>IF(_xlfn.XLOOKUP(A783,PARAMETROS!A:A,PARAMETROS!D:D)=0,"",_xlfn.XLOOKUP(A783,PARAMETROS!A:A,PARAMETROS!D:D))</f>
        <v>9</v>
      </c>
      <c r="E783" t="str">
        <f>IF(_xlfn.XLOOKUP('PREENCHIMENTO|LETIVAS'!A783,PARAMETROS!A:A,PARAMETROS!I:I)=0,"",_xlfn.XLOOKUP('PREENCHIMENTO|LETIVAS'!A783,PARAMETROS!A:A,PARAMETROS!I:I))</f>
        <v>PROFESSOR REGENTE</v>
      </c>
      <c r="F783" s="3" t="s">
        <v>53</v>
      </c>
      <c r="G783" s="3">
        <v>1</v>
      </c>
      <c r="H783" s="3" t="s">
        <v>39</v>
      </c>
      <c r="I783" s="3" t="s">
        <v>33</v>
      </c>
      <c r="J783" s="3" t="s">
        <v>1206</v>
      </c>
      <c r="K783" s="3"/>
      <c r="L783" s="19"/>
    </row>
    <row r="784" spans="1:12">
      <c r="A784" s="3" t="s">
        <v>709</v>
      </c>
      <c r="B784" t="str">
        <f>IF(_xlfn.XLOOKUP(A784,PARAMETROS!A:A,PARAMETROS!B:B)=0,"",_xlfn.XLOOKUP(A784,PARAMETROS!A:A,PARAMETROS!B:B))</f>
        <v>012009006366</v>
      </c>
      <c r="C784">
        <f>IF(_xlfn.XLOOKUP(A784,PARAMETROS!A:A,PARAMETROS!C:C)=0,"",_xlfn.XLOOKUP(A784,PARAMETROS!A:A,PARAMETROS!C:C))</f>
        <v>12</v>
      </c>
      <c r="D784">
        <f>IF(_xlfn.XLOOKUP(A784,PARAMETROS!A:A,PARAMETROS!D:D)=0,"",_xlfn.XLOOKUP(A784,PARAMETROS!A:A,PARAMETROS!D:D))</f>
        <v>9</v>
      </c>
      <c r="E784" t="str">
        <f>IF(_xlfn.XLOOKUP('PREENCHIMENTO|LETIVAS'!A784,PARAMETROS!A:A,PARAMETROS!I:I)=0,"",_xlfn.XLOOKUP('PREENCHIMENTO|LETIVAS'!A784,PARAMETROS!A:A,PARAMETROS!I:I))</f>
        <v>PROFESSOR REGENTE</v>
      </c>
      <c r="F784" s="3" t="s">
        <v>53</v>
      </c>
      <c r="G784" s="3">
        <v>2</v>
      </c>
      <c r="H784" s="3" t="s">
        <v>39</v>
      </c>
      <c r="I784" s="3" t="s">
        <v>40</v>
      </c>
      <c r="J784" s="3" t="s">
        <v>1572</v>
      </c>
      <c r="K784" s="3"/>
      <c r="L784" s="19"/>
    </row>
    <row r="785" spans="1:12">
      <c r="A785" s="3" t="s">
        <v>582</v>
      </c>
      <c r="B785" t="str">
        <f>IF(_xlfn.XLOOKUP(A785,PARAMETROS!A:A,PARAMETROS!B:B)=0,"",_xlfn.XLOOKUP(A785,PARAMETROS!A:A,PARAMETROS!B:B))</f>
        <v>012009006245</v>
      </c>
      <c r="C785">
        <f>IF(_xlfn.XLOOKUP(A785,PARAMETROS!A:A,PARAMETROS!C:C)=0,"",_xlfn.XLOOKUP(A785,PARAMETROS!A:A,PARAMETROS!C:C))</f>
        <v>12</v>
      </c>
      <c r="D785">
        <f>IF(_xlfn.XLOOKUP(A785,PARAMETROS!A:A,PARAMETROS!D:D)=0,"",_xlfn.XLOOKUP(A785,PARAMETROS!A:A,PARAMETROS!D:D))</f>
        <v>9</v>
      </c>
      <c r="E785" t="str">
        <f>IF(_xlfn.XLOOKUP('PREENCHIMENTO|LETIVAS'!A785,PARAMETROS!A:A,PARAMETROS!I:I)=0,"",_xlfn.XLOOKUP('PREENCHIMENTO|LETIVAS'!A785,PARAMETROS!A:A,PARAMETROS!I:I))</f>
        <v>PROFESSOR REGENTE</v>
      </c>
      <c r="F785" s="3" t="s">
        <v>53</v>
      </c>
      <c r="G785" s="3" t="s">
        <v>54</v>
      </c>
      <c r="H785" s="3" t="s">
        <v>55</v>
      </c>
      <c r="I785" s="3" t="s">
        <v>40</v>
      </c>
      <c r="J785" s="3" t="s">
        <v>1573</v>
      </c>
      <c r="K785" s="3"/>
      <c r="L785" s="19"/>
    </row>
    <row r="786" spans="1:12">
      <c r="A786" s="3" t="s">
        <v>783</v>
      </c>
      <c r="B786" t="str">
        <f>IF(_xlfn.XLOOKUP(A786,PARAMETROS!A:A,PARAMETROS!B:B)=0,"",_xlfn.XLOOKUP(A786,PARAMETROS!A:A,PARAMETROS!B:B))</f>
        <v>012009006856</v>
      </c>
      <c r="C786">
        <f>IF(_xlfn.XLOOKUP(A786,PARAMETROS!A:A,PARAMETROS!C:C)=0,"",_xlfn.XLOOKUP(A786,PARAMETROS!A:A,PARAMETROS!C:C))</f>
        <v>12</v>
      </c>
      <c r="D786">
        <f>IF(_xlfn.XLOOKUP(A786,PARAMETROS!A:A,PARAMETROS!D:D)=0,"",_xlfn.XLOOKUP(A786,PARAMETROS!A:A,PARAMETROS!D:D))</f>
        <v>9</v>
      </c>
      <c r="E786" t="str">
        <f>IF(_xlfn.XLOOKUP('PREENCHIMENTO|LETIVAS'!A786,PARAMETROS!A:A,PARAMETROS!I:I)=0,"",_xlfn.XLOOKUP('PREENCHIMENTO|LETIVAS'!A786,PARAMETROS!A:A,PARAMETROS!I:I))</f>
        <v>PROFESSOR REGENTE</v>
      </c>
      <c r="F786" s="3" t="s">
        <v>53</v>
      </c>
      <c r="G786" s="3">
        <v>2</v>
      </c>
      <c r="H786" s="3" t="s">
        <v>39</v>
      </c>
      <c r="I786" s="3" t="s">
        <v>33</v>
      </c>
      <c r="J786" s="3" t="s">
        <v>1574</v>
      </c>
      <c r="K786" s="3"/>
      <c r="L786" s="19"/>
    </row>
    <row r="787" spans="1:12">
      <c r="A787" s="3" t="s">
        <v>783</v>
      </c>
      <c r="B787" t="str">
        <f>IF(_xlfn.XLOOKUP(A787,PARAMETROS!A:A,PARAMETROS!B:B)=0,"",_xlfn.XLOOKUP(A787,PARAMETROS!A:A,PARAMETROS!B:B))</f>
        <v>012009006856</v>
      </c>
      <c r="C787">
        <f>IF(_xlfn.XLOOKUP(A787,PARAMETROS!A:A,PARAMETROS!C:C)=0,"",_xlfn.XLOOKUP(A787,PARAMETROS!A:A,PARAMETROS!C:C))</f>
        <v>12</v>
      </c>
      <c r="D787">
        <f>IF(_xlfn.XLOOKUP(A787,PARAMETROS!A:A,PARAMETROS!D:D)=0,"",_xlfn.XLOOKUP(A787,PARAMETROS!A:A,PARAMETROS!D:D))</f>
        <v>9</v>
      </c>
      <c r="E787" t="str">
        <f>IF(_xlfn.XLOOKUP('PREENCHIMENTO|LETIVAS'!A787,PARAMETROS!A:A,PARAMETROS!I:I)=0,"",_xlfn.XLOOKUP('PREENCHIMENTO|LETIVAS'!A787,PARAMETROS!A:A,PARAMETROS!I:I))</f>
        <v>PROFESSOR REGENTE</v>
      </c>
      <c r="F787" s="3" t="s">
        <v>53</v>
      </c>
      <c r="G787" s="3">
        <v>1</v>
      </c>
      <c r="H787" s="3" t="s">
        <v>39</v>
      </c>
      <c r="I787" s="3" t="s">
        <v>40</v>
      </c>
      <c r="J787" s="3" t="s">
        <v>1575</v>
      </c>
      <c r="K787" s="3"/>
      <c r="L787" s="19"/>
    </row>
    <row r="788" spans="1:12">
      <c r="A788" s="3" t="s">
        <v>273</v>
      </c>
      <c r="B788" t="str">
        <f>IF(_xlfn.XLOOKUP(A788,PARAMETROS!A:A,PARAMETROS!B:B)=0,"",_xlfn.XLOOKUP(A788,PARAMETROS!A:A,PARAMETROS!B:B))</f>
        <v>012009006187</v>
      </c>
      <c r="C788">
        <f>IF(_xlfn.XLOOKUP(A788,PARAMETROS!A:A,PARAMETROS!C:C)=0,"",_xlfn.XLOOKUP(A788,PARAMETROS!A:A,PARAMETROS!C:C))</f>
        <v>12</v>
      </c>
      <c r="D788">
        <f>IF(_xlfn.XLOOKUP(A788,PARAMETROS!A:A,PARAMETROS!D:D)=0,"",_xlfn.XLOOKUP(A788,PARAMETROS!A:A,PARAMETROS!D:D))</f>
        <v>9</v>
      </c>
      <c r="E788" t="str">
        <f>IF(_xlfn.XLOOKUP('PREENCHIMENTO|LETIVAS'!A788,PARAMETROS!A:A,PARAMETROS!I:I)=0,"",_xlfn.XLOOKUP('PREENCHIMENTO|LETIVAS'!A788,PARAMETROS!A:A,PARAMETROS!I:I))</f>
        <v>PROFESSOR REGENTE</v>
      </c>
      <c r="F788" s="3" t="s">
        <v>53</v>
      </c>
      <c r="G788" s="3" t="s">
        <v>54</v>
      </c>
      <c r="H788" s="3" t="s">
        <v>55</v>
      </c>
      <c r="I788" s="3" t="s">
        <v>40</v>
      </c>
      <c r="J788" s="3" t="s">
        <v>1576</v>
      </c>
      <c r="K788" s="3"/>
      <c r="L788" s="19"/>
    </row>
    <row r="789" spans="1:12">
      <c r="A789" s="3" t="s">
        <v>207</v>
      </c>
      <c r="B789" t="str">
        <f>IF(_xlfn.XLOOKUP(A789,PARAMETROS!A:A,PARAMETROS!B:B)=0,"",_xlfn.XLOOKUP(A789,PARAMETROS!A:A,PARAMETROS!B:B))</f>
        <v>012009004488</v>
      </c>
      <c r="C789">
        <f>IF(_xlfn.XLOOKUP(A789,PARAMETROS!A:A,PARAMETROS!C:C)=0,"",_xlfn.XLOOKUP(A789,PARAMETROS!A:A,PARAMETROS!C:C))</f>
        <v>40</v>
      </c>
      <c r="D789">
        <f>IF(_xlfn.XLOOKUP(A789,PARAMETROS!A:A,PARAMETROS!D:D)=0,"",_xlfn.XLOOKUP(A789,PARAMETROS!A:A,PARAMETROS!D:D))</f>
        <v>4</v>
      </c>
      <c r="E789" t="str">
        <f>IF(_xlfn.XLOOKUP('PREENCHIMENTO|LETIVAS'!A789,PARAMETROS!A:A,PARAMETROS!I:I)=0,"",_xlfn.XLOOKUP('PREENCHIMENTO|LETIVAS'!A789,PARAMETROS!A:A,PARAMETROS!I:I))</f>
        <v>PROFESSOR DE ENSINO SUPERIOR EAD</v>
      </c>
      <c r="F789" s="3" t="s">
        <v>53</v>
      </c>
      <c r="G789" s="3">
        <v>1</v>
      </c>
      <c r="H789" s="3" t="s">
        <v>55</v>
      </c>
      <c r="I789" s="3" t="s">
        <v>40</v>
      </c>
      <c r="J789" s="3" t="s">
        <v>1577</v>
      </c>
      <c r="K789" s="3"/>
      <c r="L789" s="19"/>
    </row>
    <row r="790" spans="1:12">
      <c r="A790" s="3" t="s">
        <v>207</v>
      </c>
      <c r="B790" t="str">
        <f>IF(_xlfn.XLOOKUP(A790,PARAMETROS!A:A,PARAMETROS!B:B)=0,"",_xlfn.XLOOKUP(A790,PARAMETROS!A:A,PARAMETROS!B:B))</f>
        <v>012009004488</v>
      </c>
      <c r="C790">
        <f>IF(_xlfn.XLOOKUP(A790,PARAMETROS!A:A,PARAMETROS!C:C)=0,"",_xlfn.XLOOKUP(A790,PARAMETROS!A:A,PARAMETROS!C:C))</f>
        <v>40</v>
      </c>
      <c r="D790">
        <f>IF(_xlfn.XLOOKUP(A790,PARAMETROS!A:A,PARAMETROS!D:D)=0,"",_xlfn.XLOOKUP(A790,PARAMETROS!A:A,PARAMETROS!D:D))</f>
        <v>4</v>
      </c>
      <c r="E790" t="str">
        <f>IF(_xlfn.XLOOKUP('PREENCHIMENTO|LETIVAS'!A790,PARAMETROS!A:A,PARAMETROS!I:I)=0,"",_xlfn.XLOOKUP('PREENCHIMENTO|LETIVAS'!A790,PARAMETROS!A:A,PARAMETROS!I:I))</f>
        <v>PROFESSOR DE ENSINO SUPERIOR EAD</v>
      </c>
      <c r="F790" s="3" t="s">
        <v>53</v>
      </c>
      <c r="G790" s="3">
        <v>2</v>
      </c>
      <c r="H790" s="3" t="s">
        <v>55</v>
      </c>
      <c r="I790" s="3" t="s">
        <v>40</v>
      </c>
      <c r="J790" s="3" t="s">
        <v>1578</v>
      </c>
      <c r="K790" s="3"/>
      <c r="L790" s="19"/>
    </row>
    <row r="791" spans="1:12">
      <c r="A791" s="3" t="s">
        <v>207</v>
      </c>
      <c r="B791" t="str">
        <f>IF(_xlfn.XLOOKUP(A791,PARAMETROS!A:A,PARAMETROS!B:B)=0,"",_xlfn.XLOOKUP(A791,PARAMETROS!A:A,PARAMETROS!B:B))</f>
        <v>012009004488</v>
      </c>
      <c r="C791">
        <f>IF(_xlfn.XLOOKUP(A791,PARAMETROS!A:A,PARAMETROS!C:C)=0,"",_xlfn.XLOOKUP(A791,PARAMETROS!A:A,PARAMETROS!C:C))</f>
        <v>40</v>
      </c>
      <c r="D791">
        <f>IF(_xlfn.XLOOKUP(A791,PARAMETROS!A:A,PARAMETROS!D:D)=0,"",_xlfn.XLOOKUP(A791,PARAMETROS!A:A,PARAMETROS!D:D))</f>
        <v>4</v>
      </c>
      <c r="E791" t="str">
        <f>IF(_xlfn.XLOOKUP('PREENCHIMENTO|LETIVAS'!A791,PARAMETROS!A:A,PARAMETROS!I:I)=0,"",_xlfn.XLOOKUP('PREENCHIMENTO|LETIVAS'!A791,PARAMETROS!A:A,PARAMETROS!I:I))</f>
        <v>PROFESSOR DE ENSINO SUPERIOR EAD</v>
      </c>
      <c r="F791" s="3" t="s">
        <v>53</v>
      </c>
      <c r="G791" s="3">
        <v>1</v>
      </c>
      <c r="H791" s="3" t="s">
        <v>55</v>
      </c>
      <c r="I791" s="3" t="s">
        <v>33</v>
      </c>
      <c r="J791" s="3" t="s">
        <v>1579</v>
      </c>
      <c r="K791" s="3"/>
      <c r="L791" s="19"/>
    </row>
    <row r="792" spans="1:12">
      <c r="A792" s="3" t="s">
        <v>423</v>
      </c>
      <c r="B792" t="str">
        <f>IF(_xlfn.XLOOKUP(A792,PARAMETROS!A:A,PARAMETROS!B:B)=0,"",_xlfn.XLOOKUP(A792,PARAMETROS!A:A,PARAMETROS!B:B))</f>
        <v>012009006132</v>
      </c>
      <c r="C792">
        <f>IF(_xlfn.XLOOKUP(A792,PARAMETROS!A:A,PARAMETROS!C:C)=0,"",_xlfn.XLOOKUP(A792,PARAMETROS!A:A,PARAMETROS!C:C))</f>
        <v>40</v>
      </c>
      <c r="D792">
        <f>IF(_xlfn.XLOOKUP(A792,PARAMETROS!A:A,PARAMETROS!D:D)=0,"",_xlfn.XLOOKUP(A792,PARAMETROS!A:A,PARAMETROS!D:D))</f>
        <v>4</v>
      </c>
      <c r="E792" t="str">
        <f>IF(_xlfn.XLOOKUP('PREENCHIMENTO|LETIVAS'!A792,PARAMETROS!A:A,PARAMETROS!I:I)=0,"",_xlfn.XLOOKUP('PREENCHIMENTO|LETIVAS'!A792,PARAMETROS!A:A,PARAMETROS!I:I))</f>
        <v>PROFESSOR DE ENSINO SUPERIOR EAD</v>
      </c>
      <c r="F792" s="3" t="s">
        <v>53</v>
      </c>
      <c r="G792" s="3">
        <v>2</v>
      </c>
      <c r="H792" s="3" t="s">
        <v>39</v>
      </c>
      <c r="I792" s="3" t="s">
        <v>40</v>
      </c>
      <c r="J792" s="3" t="s">
        <v>1580</v>
      </c>
      <c r="K792" s="3"/>
      <c r="L792" s="19"/>
    </row>
    <row r="793" spans="1:12">
      <c r="A793" s="3" t="s">
        <v>423</v>
      </c>
      <c r="B793" t="str">
        <f>IF(_xlfn.XLOOKUP(A793,PARAMETROS!A:A,PARAMETROS!B:B)=0,"",_xlfn.XLOOKUP(A793,PARAMETROS!A:A,PARAMETROS!B:B))</f>
        <v>012009006132</v>
      </c>
      <c r="C793">
        <f>IF(_xlfn.XLOOKUP(A793,PARAMETROS!A:A,PARAMETROS!C:C)=0,"",_xlfn.XLOOKUP(A793,PARAMETROS!A:A,PARAMETROS!C:C))</f>
        <v>40</v>
      </c>
      <c r="D793">
        <f>IF(_xlfn.XLOOKUP(A793,PARAMETROS!A:A,PARAMETROS!D:D)=0,"",_xlfn.XLOOKUP(A793,PARAMETROS!A:A,PARAMETROS!D:D))</f>
        <v>4</v>
      </c>
      <c r="E793" t="str">
        <f>IF(_xlfn.XLOOKUP('PREENCHIMENTO|LETIVAS'!A793,PARAMETROS!A:A,PARAMETROS!I:I)=0,"",_xlfn.XLOOKUP('PREENCHIMENTO|LETIVAS'!A793,PARAMETROS!A:A,PARAMETROS!I:I))</f>
        <v>PROFESSOR DE ENSINO SUPERIOR EAD</v>
      </c>
      <c r="F793" s="3" t="s">
        <v>53</v>
      </c>
      <c r="G793" s="3">
        <v>2</v>
      </c>
      <c r="H793" s="3" t="s">
        <v>39</v>
      </c>
      <c r="I793" s="3" t="s">
        <v>33</v>
      </c>
      <c r="J793" s="3" t="s">
        <v>1581</v>
      </c>
      <c r="K793" s="3"/>
      <c r="L793" s="19"/>
    </row>
    <row r="794" spans="1:12">
      <c r="A794" s="3" t="s">
        <v>404</v>
      </c>
      <c r="B794" t="str">
        <f>IF(_xlfn.XLOOKUP(A794,PARAMETROS!A:A,PARAMETROS!B:B)=0,"",_xlfn.XLOOKUP(A794,PARAMETROS!A:A,PARAMETROS!B:B))</f>
        <v>012009006212</v>
      </c>
      <c r="C794">
        <f>IF(_xlfn.XLOOKUP(A794,PARAMETROS!A:A,PARAMETROS!C:C)=0,"",_xlfn.XLOOKUP(A794,PARAMETROS!A:A,PARAMETROS!C:C))</f>
        <v>12</v>
      </c>
      <c r="D794">
        <f>IF(_xlfn.XLOOKUP(A794,PARAMETROS!A:A,PARAMETROS!D:D)=0,"",_xlfn.XLOOKUP(A794,PARAMETROS!A:A,PARAMETROS!D:D))</f>
        <v>9</v>
      </c>
      <c r="E794" t="str">
        <f>IF(_xlfn.XLOOKUP('PREENCHIMENTO|LETIVAS'!A794,PARAMETROS!A:A,PARAMETROS!I:I)=0,"",_xlfn.XLOOKUP('PREENCHIMENTO|LETIVAS'!A794,PARAMETROS!A:A,PARAMETROS!I:I))</f>
        <v>PROFESSOR REGENTE</v>
      </c>
      <c r="F794" s="3" t="s">
        <v>53</v>
      </c>
      <c r="G794" s="3">
        <v>1</v>
      </c>
      <c r="H794" s="3" t="s">
        <v>63</v>
      </c>
      <c r="I794" s="3" t="s">
        <v>33</v>
      </c>
      <c r="J794" s="3" t="s">
        <v>1582</v>
      </c>
      <c r="K794" s="3"/>
      <c r="L794" s="19"/>
    </row>
    <row r="795" spans="1:12">
      <c r="A795" s="3" t="s">
        <v>404</v>
      </c>
      <c r="B795" t="str">
        <f>IF(_xlfn.XLOOKUP(A795,PARAMETROS!A:A,PARAMETROS!B:B)=0,"",_xlfn.XLOOKUP(A795,PARAMETROS!A:A,PARAMETROS!B:B))</f>
        <v>012009006212</v>
      </c>
      <c r="C795">
        <f>IF(_xlfn.XLOOKUP(A795,PARAMETROS!A:A,PARAMETROS!C:C)=0,"",_xlfn.XLOOKUP(A795,PARAMETROS!A:A,PARAMETROS!C:C))</f>
        <v>12</v>
      </c>
      <c r="D795">
        <f>IF(_xlfn.XLOOKUP(A795,PARAMETROS!A:A,PARAMETROS!D:D)=0,"",_xlfn.XLOOKUP(A795,PARAMETROS!A:A,PARAMETROS!D:D))</f>
        <v>9</v>
      </c>
      <c r="E795" t="str">
        <f>IF(_xlfn.XLOOKUP('PREENCHIMENTO|LETIVAS'!A795,PARAMETROS!A:A,PARAMETROS!I:I)=0,"",_xlfn.XLOOKUP('PREENCHIMENTO|LETIVAS'!A795,PARAMETROS!A:A,PARAMETROS!I:I))</f>
        <v>PROFESSOR REGENTE</v>
      </c>
      <c r="F795" s="3" t="s">
        <v>53</v>
      </c>
      <c r="G795" s="3">
        <v>1</v>
      </c>
      <c r="H795" s="3" t="s">
        <v>63</v>
      </c>
      <c r="I795" s="3" t="s">
        <v>40</v>
      </c>
      <c r="J795" s="3" t="s">
        <v>1583</v>
      </c>
      <c r="K795" s="3"/>
      <c r="L795" s="19"/>
    </row>
    <row r="796" spans="1:12">
      <c r="A796" s="3" t="s">
        <v>529</v>
      </c>
      <c r="B796" t="str">
        <f>IF(_xlfn.XLOOKUP(A796,PARAMETROS!A:A,PARAMETROS!B:B)=0,"",_xlfn.XLOOKUP(A796,PARAMETROS!A:A,PARAMETROS!B:B))</f>
        <v>012009006227</v>
      </c>
      <c r="C796">
        <f>IF(_xlfn.XLOOKUP(A796,PARAMETROS!A:A,PARAMETROS!C:C)=0,"",_xlfn.XLOOKUP(A796,PARAMETROS!A:A,PARAMETROS!C:C))</f>
        <v>12</v>
      </c>
      <c r="D796">
        <f>IF(_xlfn.XLOOKUP(A796,PARAMETROS!A:A,PARAMETROS!D:D)=0,"",_xlfn.XLOOKUP(A796,PARAMETROS!A:A,PARAMETROS!D:D))</f>
        <v>9</v>
      </c>
      <c r="E796" t="str">
        <f>IF(_xlfn.XLOOKUP('PREENCHIMENTO|LETIVAS'!A796,PARAMETROS!A:A,PARAMETROS!I:I)=0,"",_xlfn.XLOOKUP('PREENCHIMENTO|LETIVAS'!A796,PARAMETROS!A:A,PARAMETROS!I:I))</f>
        <v>PROFESSOR REGENTE</v>
      </c>
      <c r="F796" s="3" t="s">
        <v>53</v>
      </c>
      <c r="G796" s="3">
        <v>2</v>
      </c>
      <c r="H796" s="3" t="s">
        <v>63</v>
      </c>
      <c r="I796" s="3" t="s">
        <v>40</v>
      </c>
      <c r="J796" s="3" t="s">
        <v>1584</v>
      </c>
      <c r="K796" s="3"/>
      <c r="L796" s="19"/>
    </row>
    <row r="797" spans="1:12">
      <c r="A797" s="3" t="s">
        <v>447</v>
      </c>
      <c r="B797" t="str">
        <f>IF(_xlfn.XLOOKUP(A797,PARAMETROS!A:A,PARAMETROS!B:B)=0,"",_xlfn.XLOOKUP(A797,PARAMETROS!A:A,PARAMETROS!B:B))</f>
        <v>012009005844</v>
      </c>
      <c r="C797">
        <f>IF(_xlfn.XLOOKUP(A797,PARAMETROS!A:A,PARAMETROS!C:C)=0,"",_xlfn.XLOOKUP(A797,PARAMETROS!A:A,PARAMETROS!C:C))</f>
        <v>20</v>
      </c>
      <c r="D797">
        <f>IF(_xlfn.XLOOKUP(A797,PARAMETROS!A:A,PARAMETROS!D:D)=0,"",_xlfn.XLOOKUP(A797,PARAMETROS!A:A,PARAMETROS!D:D))</f>
        <v>2</v>
      </c>
      <c r="E797" t="str">
        <f>IF(_xlfn.XLOOKUP('PREENCHIMENTO|LETIVAS'!A797,PARAMETROS!A:A,PARAMETROS!I:I)=0,"",_xlfn.XLOOKUP('PREENCHIMENTO|LETIVAS'!A797,PARAMETROS!A:A,PARAMETROS!I:I))</f>
        <v>PROFESSOR DE ENSINO SUPERIOR EAD</v>
      </c>
      <c r="F797" s="3" t="s">
        <v>53</v>
      </c>
      <c r="G797" s="3">
        <v>2</v>
      </c>
      <c r="H797" s="3" t="s">
        <v>39</v>
      </c>
      <c r="I797" s="3" t="s">
        <v>33</v>
      </c>
      <c r="J797" s="3" t="s">
        <v>1585</v>
      </c>
      <c r="K797" s="3"/>
      <c r="L797" s="19"/>
    </row>
    <row r="798" spans="1:12">
      <c r="A798" s="3" t="s">
        <v>593</v>
      </c>
      <c r="B798" t="str">
        <f>IF(_xlfn.XLOOKUP(A798,PARAMETROS!A:A,PARAMETROS!B:B)=0,"",_xlfn.XLOOKUP(A798,PARAMETROS!A:A,PARAMETROS!B:B))</f>
        <v>012009006309</v>
      </c>
      <c r="C798">
        <f>IF(_xlfn.XLOOKUP(A798,PARAMETROS!A:A,PARAMETROS!C:C)=0,"",_xlfn.XLOOKUP(A798,PARAMETROS!A:A,PARAMETROS!C:C))</f>
        <v>12</v>
      </c>
      <c r="D798">
        <f>IF(_xlfn.XLOOKUP(A798,PARAMETROS!A:A,PARAMETROS!D:D)=0,"",_xlfn.XLOOKUP(A798,PARAMETROS!A:A,PARAMETROS!D:D))</f>
        <v>9</v>
      </c>
      <c r="E798" t="str">
        <f>IF(_xlfn.XLOOKUP('PREENCHIMENTO|LETIVAS'!A798,PARAMETROS!A:A,PARAMETROS!I:I)=0,"",_xlfn.XLOOKUP('PREENCHIMENTO|LETIVAS'!A798,PARAMETROS!A:A,PARAMETROS!I:I))</f>
        <v>PROFESSOR REGENTE</v>
      </c>
      <c r="F798" s="3" t="s">
        <v>53</v>
      </c>
      <c r="G798" s="3">
        <v>2</v>
      </c>
      <c r="H798" s="3" t="s">
        <v>63</v>
      </c>
      <c r="I798" s="3" t="s">
        <v>33</v>
      </c>
      <c r="J798" s="3" t="s">
        <v>1586</v>
      </c>
      <c r="K798" s="3"/>
      <c r="L798" s="19"/>
    </row>
    <row r="799" spans="1:12">
      <c r="A799" s="3" t="s">
        <v>593</v>
      </c>
      <c r="B799" t="str">
        <f>IF(_xlfn.XLOOKUP(A799,PARAMETROS!A:A,PARAMETROS!B:B)=0,"",_xlfn.XLOOKUP(A799,PARAMETROS!A:A,PARAMETROS!B:B))</f>
        <v>012009006309</v>
      </c>
      <c r="C799">
        <f>IF(_xlfn.XLOOKUP(A799,PARAMETROS!A:A,PARAMETROS!C:C)=0,"",_xlfn.XLOOKUP(A799,PARAMETROS!A:A,PARAMETROS!C:C))</f>
        <v>12</v>
      </c>
      <c r="D799">
        <f>IF(_xlfn.XLOOKUP(A799,PARAMETROS!A:A,PARAMETROS!D:D)=0,"",_xlfn.XLOOKUP(A799,PARAMETROS!A:A,PARAMETROS!D:D))</f>
        <v>9</v>
      </c>
      <c r="E799" t="str">
        <f>IF(_xlfn.XLOOKUP('PREENCHIMENTO|LETIVAS'!A799,PARAMETROS!A:A,PARAMETROS!I:I)=0,"",_xlfn.XLOOKUP('PREENCHIMENTO|LETIVAS'!A799,PARAMETROS!A:A,PARAMETROS!I:I))</f>
        <v>PROFESSOR REGENTE</v>
      </c>
      <c r="F799" s="3" t="s">
        <v>53</v>
      </c>
      <c r="G799" s="3"/>
      <c r="H799" s="3" t="s">
        <v>63</v>
      </c>
      <c r="I799" s="3" t="s">
        <v>40</v>
      </c>
      <c r="J799" s="3" t="s">
        <v>1587</v>
      </c>
      <c r="K799" s="3"/>
      <c r="L799" s="19"/>
    </row>
    <row r="800" spans="1:12">
      <c r="A800" s="3" t="s">
        <v>34</v>
      </c>
      <c r="B800" t="str">
        <f>IF(_xlfn.XLOOKUP(A800,PARAMETROS!A:A,PARAMETROS!B:B)=0,"",_xlfn.XLOOKUP(A800,PARAMETROS!A:A,PARAMETROS!B:B))</f>
        <v>012009004349</v>
      </c>
      <c r="C800">
        <f>IF(_xlfn.XLOOKUP(A800,PARAMETROS!A:A,PARAMETROS!C:C)=0,"",_xlfn.XLOOKUP(A800,PARAMETROS!A:A,PARAMETROS!C:C))</f>
        <v>20</v>
      </c>
      <c r="D800">
        <f>IF(_xlfn.XLOOKUP(A800,PARAMETROS!A:A,PARAMETROS!D:D)=0,"",_xlfn.XLOOKUP(A800,PARAMETROS!A:A,PARAMETROS!D:D))</f>
        <v>2</v>
      </c>
      <c r="E800" t="str">
        <f>IF(_xlfn.XLOOKUP('PREENCHIMENTO|LETIVAS'!A800,PARAMETROS!A:A,PARAMETROS!I:I)=0,"",_xlfn.XLOOKUP('PREENCHIMENTO|LETIVAS'!A800,PARAMETROS!A:A,PARAMETROS!I:I))</f>
        <v>PROFESSOR DE ENSINO SUPERIOR EAD</v>
      </c>
      <c r="F800" s="3" t="s">
        <v>53</v>
      </c>
      <c r="G800" s="3">
        <v>1</v>
      </c>
      <c r="H800" s="3" t="s">
        <v>63</v>
      </c>
      <c r="I800" s="3" t="s">
        <v>40</v>
      </c>
      <c r="J800" s="3" t="s">
        <v>1588</v>
      </c>
      <c r="K800" s="3"/>
      <c r="L800" s="19"/>
    </row>
    <row r="801" spans="1:12">
      <c r="A801" s="3" t="s">
        <v>679</v>
      </c>
      <c r="B801" t="str">
        <f>IF(_xlfn.XLOOKUP(A801,PARAMETROS!A:A,PARAMETROS!B:B)=0,"",_xlfn.XLOOKUP(A801,PARAMETROS!A:A,PARAMETROS!B:B))</f>
        <v>012009005440</v>
      </c>
      <c r="C801" t="str">
        <f>IF(_xlfn.XLOOKUP(A801,PARAMETROS!A:A,PARAMETROS!C:C)=0,"",_xlfn.XLOOKUP(A801,PARAMETROS!A:A,PARAMETROS!C:C))</f>
        <v/>
      </c>
      <c r="D801" t="str">
        <f>IF(_xlfn.XLOOKUP(A801,PARAMETROS!A:A,PARAMETROS!D:D)=0,"",_xlfn.XLOOKUP(A801,PARAMETROS!A:A,PARAMETROS!D:D))</f>
        <v/>
      </c>
      <c r="E801" t="str">
        <f>IF(_xlfn.XLOOKUP('PREENCHIMENTO|LETIVAS'!A801,PARAMETROS!A:A,PARAMETROS!I:I)=0,"",_xlfn.XLOOKUP('PREENCHIMENTO|LETIVAS'!A801,PARAMETROS!A:A,PARAMETROS!I:I))</f>
        <v>PROFESSOR DE ENSINO SUPERIOR PRESENCIAL</v>
      </c>
      <c r="F801" s="3" t="s">
        <v>53</v>
      </c>
      <c r="G801" s="3" t="s">
        <v>54</v>
      </c>
      <c r="H801" s="3" t="s">
        <v>32</v>
      </c>
      <c r="I801" s="3" t="s">
        <v>33</v>
      </c>
      <c r="J801" s="3" t="s">
        <v>1589</v>
      </c>
      <c r="K801" s="3"/>
      <c r="L801" s="19"/>
    </row>
    <row r="802" spans="1:12">
      <c r="A802" s="3" t="s">
        <v>294</v>
      </c>
      <c r="B802" t="str">
        <f>IF(_xlfn.XLOOKUP(A802,PARAMETROS!A:A,PARAMETROS!B:B)=0,"",_xlfn.XLOOKUP(A802,PARAMETROS!A:A,PARAMETROS!B:B))</f>
        <v>012009006191</v>
      </c>
      <c r="C802">
        <f>IF(_xlfn.XLOOKUP(A802,PARAMETROS!A:A,PARAMETROS!C:C)=0,"",_xlfn.XLOOKUP(A802,PARAMETROS!A:A,PARAMETROS!C:C))</f>
        <v>40</v>
      </c>
      <c r="D802">
        <f>IF(_xlfn.XLOOKUP(A802,PARAMETROS!A:A,PARAMETROS!D:D)=0,"",_xlfn.XLOOKUP(A802,PARAMETROS!A:A,PARAMETROS!D:D))</f>
        <v>20</v>
      </c>
      <c r="E802" t="str">
        <f>IF(_xlfn.XLOOKUP('PREENCHIMENTO|LETIVAS'!A802,PARAMETROS!A:A,PARAMETROS!I:I)=0,"",_xlfn.XLOOKUP('PREENCHIMENTO|LETIVAS'!A802,PARAMETROS!A:A,PARAMETROS!I:I))</f>
        <v>PROFESSOR REGENTE</v>
      </c>
      <c r="F802" s="3" t="s">
        <v>53</v>
      </c>
      <c r="G802" s="3" t="s">
        <v>54</v>
      </c>
      <c r="H802" s="3" t="s">
        <v>32</v>
      </c>
      <c r="I802" s="3" t="s">
        <v>40</v>
      </c>
      <c r="J802" s="3" t="s">
        <v>1590</v>
      </c>
      <c r="K802" s="3"/>
      <c r="L802" s="19"/>
    </row>
    <row r="803" spans="1:12">
      <c r="A803" s="3" t="s">
        <v>294</v>
      </c>
      <c r="B803" t="str">
        <f>IF(_xlfn.XLOOKUP(A803,PARAMETROS!A:A,PARAMETROS!B:B)=0,"",_xlfn.XLOOKUP(A803,PARAMETROS!A:A,PARAMETROS!B:B))</f>
        <v>012009006191</v>
      </c>
      <c r="C803">
        <f>IF(_xlfn.XLOOKUP(A803,PARAMETROS!A:A,PARAMETROS!C:C)=0,"",_xlfn.XLOOKUP(A803,PARAMETROS!A:A,PARAMETROS!C:C))</f>
        <v>40</v>
      </c>
      <c r="D803">
        <f>IF(_xlfn.XLOOKUP(A803,PARAMETROS!A:A,PARAMETROS!D:D)=0,"",_xlfn.XLOOKUP(A803,PARAMETROS!A:A,PARAMETROS!D:D))</f>
        <v>20</v>
      </c>
      <c r="E803" t="str">
        <f>IF(_xlfn.XLOOKUP('PREENCHIMENTO|LETIVAS'!A803,PARAMETROS!A:A,PARAMETROS!I:I)=0,"",_xlfn.XLOOKUP('PREENCHIMENTO|LETIVAS'!A803,PARAMETROS!A:A,PARAMETROS!I:I))</f>
        <v>PROFESSOR REGENTE</v>
      </c>
      <c r="F803" s="3" t="s">
        <v>53</v>
      </c>
      <c r="G803" s="3" t="s">
        <v>54</v>
      </c>
      <c r="H803" s="3" t="s">
        <v>39</v>
      </c>
      <c r="I803" s="3" t="s">
        <v>33</v>
      </c>
      <c r="J803" s="3" t="s">
        <v>1591</v>
      </c>
      <c r="K803" s="3"/>
      <c r="L803" s="19"/>
    </row>
    <row r="804" spans="1:12">
      <c r="A804" s="3" t="s">
        <v>294</v>
      </c>
      <c r="B804" t="str">
        <f>IF(_xlfn.XLOOKUP(A804,PARAMETROS!A:A,PARAMETROS!B:B)=0,"",_xlfn.XLOOKUP(A804,PARAMETROS!A:A,PARAMETROS!B:B))</f>
        <v>012009006191</v>
      </c>
      <c r="C804">
        <f>IF(_xlfn.XLOOKUP(A804,PARAMETROS!A:A,PARAMETROS!C:C)=0,"",_xlfn.XLOOKUP(A804,PARAMETROS!A:A,PARAMETROS!C:C))</f>
        <v>40</v>
      </c>
      <c r="D804">
        <f>IF(_xlfn.XLOOKUP(A804,PARAMETROS!A:A,PARAMETROS!D:D)=0,"",_xlfn.XLOOKUP(A804,PARAMETROS!A:A,PARAMETROS!D:D))</f>
        <v>20</v>
      </c>
      <c r="E804" t="str">
        <f>IF(_xlfn.XLOOKUP('PREENCHIMENTO|LETIVAS'!A804,PARAMETROS!A:A,PARAMETROS!I:I)=0,"",_xlfn.XLOOKUP('PREENCHIMENTO|LETIVAS'!A804,PARAMETROS!A:A,PARAMETROS!I:I))</f>
        <v>PROFESSOR REGENTE</v>
      </c>
      <c r="F804" s="3" t="s">
        <v>53</v>
      </c>
      <c r="G804" s="3" t="s">
        <v>54</v>
      </c>
      <c r="H804" s="3" t="s">
        <v>32</v>
      </c>
      <c r="I804" s="3" t="s">
        <v>33</v>
      </c>
      <c r="J804" s="3" t="s">
        <v>1592</v>
      </c>
      <c r="K804" s="3"/>
      <c r="L804" s="19"/>
    </row>
    <row r="805" spans="1:12">
      <c r="A805" s="3" t="s">
        <v>294</v>
      </c>
      <c r="B805" t="str">
        <f>IF(_xlfn.XLOOKUP(A805,PARAMETROS!A:A,PARAMETROS!B:B)=0,"",_xlfn.XLOOKUP(A805,PARAMETROS!A:A,PARAMETROS!B:B))</f>
        <v>012009006191</v>
      </c>
      <c r="C805">
        <f>IF(_xlfn.XLOOKUP(A805,PARAMETROS!A:A,PARAMETROS!C:C)=0,"",_xlfn.XLOOKUP(A805,PARAMETROS!A:A,PARAMETROS!C:C))</f>
        <v>40</v>
      </c>
      <c r="D805">
        <f>IF(_xlfn.XLOOKUP(A805,PARAMETROS!A:A,PARAMETROS!D:D)=0,"",_xlfn.XLOOKUP(A805,PARAMETROS!A:A,PARAMETROS!D:D))</f>
        <v>20</v>
      </c>
      <c r="E805" t="str">
        <f>IF(_xlfn.XLOOKUP('PREENCHIMENTO|LETIVAS'!A805,PARAMETROS!A:A,PARAMETROS!I:I)=0,"",_xlfn.XLOOKUP('PREENCHIMENTO|LETIVAS'!A805,PARAMETROS!A:A,PARAMETROS!I:I))</f>
        <v>PROFESSOR REGENTE</v>
      </c>
      <c r="F805" s="3" t="s">
        <v>53</v>
      </c>
      <c r="G805" s="3">
        <v>2</v>
      </c>
      <c r="H805" s="3" t="s">
        <v>55</v>
      </c>
      <c r="I805" s="3" t="s">
        <v>33</v>
      </c>
      <c r="J805" s="3" t="s">
        <v>1067</v>
      </c>
      <c r="K805" s="3"/>
      <c r="L805" s="19"/>
    </row>
    <row r="806" spans="1:12">
      <c r="A806" s="3" t="s">
        <v>759</v>
      </c>
      <c r="B806" t="str">
        <f>IF(_xlfn.XLOOKUP(A806,PARAMETROS!A:A,PARAMETROS!B:B)=0,"",_xlfn.XLOOKUP(A806,PARAMETROS!A:A,PARAMETROS!B:B))</f>
        <v>012009006502</v>
      </c>
      <c r="C806">
        <f>IF(_xlfn.XLOOKUP(A806,PARAMETROS!A:A,PARAMETROS!C:C)=0,"",_xlfn.XLOOKUP(A806,PARAMETROS!A:A,PARAMETROS!C:C))</f>
        <v>12</v>
      </c>
      <c r="D806">
        <f>IF(_xlfn.XLOOKUP(A806,PARAMETROS!A:A,PARAMETROS!D:D)=0,"",_xlfn.XLOOKUP(A806,PARAMETROS!A:A,PARAMETROS!D:D))</f>
        <v>9</v>
      </c>
      <c r="E806" t="str">
        <f>IF(_xlfn.XLOOKUP('PREENCHIMENTO|LETIVAS'!A806,PARAMETROS!A:A,PARAMETROS!I:I)=0,"",_xlfn.XLOOKUP('PREENCHIMENTO|LETIVAS'!A806,PARAMETROS!A:A,PARAMETROS!I:I))</f>
        <v>PROFESSOR REGENTE</v>
      </c>
      <c r="F806" s="3" t="s">
        <v>53</v>
      </c>
      <c r="G806" s="3" t="s">
        <v>54</v>
      </c>
      <c r="H806" s="3" t="s">
        <v>32</v>
      </c>
      <c r="I806" s="3" t="s">
        <v>40</v>
      </c>
      <c r="J806" s="3" t="s">
        <v>1593</v>
      </c>
      <c r="K806" s="3"/>
      <c r="L806" s="19"/>
    </row>
    <row r="807" spans="1:12">
      <c r="A807" s="3" t="s">
        <v>759</v>
      </c>
      <c r="B807" t="str">
        <f>IF(_xlfn.XLOOKUP(A807,PARAMETROS!A:A,PARAMETROS!B:B)=0,"",_xlfn.XLOOKUP(A807,PARAMETROS!A:A,PARAMETROS!B:B))</f>
        <v>012009006502</v>
      </c>
      <c r="C807">
        <f>IF(_xlfn.XLOOKUP(A807,PARAMETROS!A:A,PARAMETROS!C:C)=0,"",_xlfn.XLOOKUP(A807,PARAMETROS!A:A,PARAMETROS!C:C))</f>
        <v>12</v>
      </c>
      <c r="D807">
        <f>IF(_xlfn.XLOOKUP(A807,PARAMETROS!A:A,PARAMETROS!D:D)=0,"",_xlfn.XLOOKUP(A807,PARAMETROS!A:A,PARAMETROS!D:D))</f>
        <v>9</v>
      </c>
      <c r="E807" t="str">
        <f>IF(_xlfn.XLOOKUP('PREENCHIMENTO|LETIVAS'!A807,PARAMETROS!A:A,PARAMETROS!I:I)=0,"",_xlfn.XLOOKUP('PREENCHIMENTO|LETIVAS'!A807,PARAMETROS!A:A,PARAMETROS!I:I))</f>
        <v>PROFESSOR REGENTE</v>
      </c>
      <c r="F807" s="3" t="s">
        <v>53</v>
      </c>
      <c r="G807" s="3" t="s">
        <v>54</v>
      </c>
      <c r="H807" s="3" t="s">
        <v>32</v>
      </c>
      <c r="I807" s="3" t="s">
        <v>33</v>
      </c>
      <c r="J807" s="3" t="s">
        <v>1594</v>
      </c>
      <c r="K807" s="3"/>
      <c r="L807" s="19"/>
    </row>
    <row r="808" spans="1:12">
      <c r="A808" s="3" t="s">
        <v>623</v>
      </c>
      <c r="B808" t="str">
        <f>IF(_xlfn.XLOOKUP(A808,PARAMETROS!A:A,PARAMETROS!B:B)=0,"",_xlfn.XLOOKUP(A808,PARAMETROS!A:A,PARAMETROS!B:B))</f>
        <v>012009006280</v>
      </c>
      <c r="C808">
        <f>IF(_xlfn.XLOOKUP(A808,PARAMETROS!A:A,PARAMETROS!C:C)=0,"",_xlfn.XLOOKUP(A808,PARAMETROS!A:A,PARAMETROS!C:C))</f>
        <v>12</v>
      </c>
      <c r="D808">
        <f>IF(_xlfn.XLOOKUP(A808,PARAMETROS!A:A,PARAMETROS!D:D)=0,"",_xlfn.XLOOKUP(A808,PARAMETROS!A:A,PARAMETROS!D:D))</f>
        <v>9</v>
      </c>
      <c r="E808" t="str">
        <f>IF(_xlfn.XLOOKUP('PREENCHIMENTO|LETIVAS'!A808,PARAMETROS!A:A,PARAMETROS!I:I)=0,"",_xlfn.XLOOKUP('PREENCHIMENTO|LETIVAS'!A808,PARAMETROS!A:A,PARAMETROS!I:I))</f>
        <v>PROFESSOR REGENTE</v>
      </c>
      <c r="F808" s="3" t="s">
        <v>53</v>
      </c>
      <c r="G808" s="3" t="s">
        <v>54</v>
      </c>
      <c r="H808" s="3" t="s">
        <v>32</v>
      </c>
      <c r="I808" s="3" t="s">
        <v>33</v>
      </c>
      <c r="J808" s="3" t="s">
        <v>1595</v>
      </c>
      <c r="K808" s="3"/>
      <c r="L808" s="19"/>
    </row>
    <row r="809" spans="1:12">
      <c r="A809" s="3" t="s">
        <v>623</v>
      </c>
      <c r="B809" t="str">
        <f>IF(_xlfn.XLOOKUP(A809,PARAMETROS!A:A,PARAMETROS!B:B)=0,"",_xlfn.XLOOKUP(A809,PARAMETROS!A:A,PARAMETROS!B:B))</f>
        <v>012009006280</v>
      </c>
      <c r="C809">
        <f>IF(_xlfn.XLOOKUP(A809,PARAMETROS!A:A,PARAMETROS!C:C)=0,"",_xlfn.XLOOKUP(A809,PARAMETROS!A:A,PARAMETROS!C:C))</f>
        <v>12</v>
      </c>
      <c r="D809">
        <f>IF(_xlfn.XLOOKUP(A809,PARAMETROS!A:A,PARAMETROS!D:D)=0,"",_xlfn.XLOOKUP(A809,PARAMETROS!A:A,PARAMETROS!D:D))</f>
        <v>9</v>
      </c>
      <c r="E809" t="str">
        <f>IF(_xlfn.XLOOKUP('PREENCHIMENTO|LETIVAS'!A809,PARAMETROS!A:A,PARAMETROS!I:I)=0,"",_xlfn.XLOOKUP('PREENCHIMENTO|LETIVAS'!A809,PARAMETROS!A:A,PARAMETROS!I:I))</f>
        <v>PROFESSOR REGENTE</v>
      </c>
      <c r="F809" s="3" t="s">
        <v>53</v>
      </c>
      <c r="G809" s="3" t="s">
        <v>54</v>
      </c>
      <c r="H809" s="3" t="s">
        <v>32</v>
      </c>
      <c r="I809" s="3" t="s">
        <v>40</v>
      </c>
      <c r="J809" s="3" t="s">
        <v>1596</v>
      </c>
      <c r="K809" s="3"/>
      <c r="L809" s="19"/>
    </row>
    <row r="810" spans="1:12">
      <c r="A810" s="3" t="s">
        <v>742</v>
      </c>
      <c r="B810" t="str">
        <f>IF(_xlfn.XLOOKUP(A810,PARAMETROS!A:A,PARAMETROS!B:B)=0,"",_xlfn.XLOOKUP(A810,PARAMETROS!A:A,PARAMETROS!B:B))</f>
        <v>012009004271</v>
      </c>
      <c r="C810" t="str">
        <f>IF(_xlfn.XLOOKUP(A810,PARAMETROS!A:A,PARAMETROS!C:C)=0,"",_xlfn.XLOOKUP(A810,PARAMETROS!A:A,PARAMETROS!C:C))</f>
        <v/>
      </c>
      <c r="D810" t="str">
        <f>IF(_xlfn.XLOOKUP(A810,PARAMETROS!A:A,PARAMETROS!D:D)=0,"",_xlfn.XLOOKUP(A810,PARAMETROS!A:A,PARAMETROS!D:D))</f>
        <v/>
      </c>
      <c r="E810" t="str">
        <f>IF(_xlfn.XLOOKUP('PREENCHIMENTO|LETIVAS'!A810,PARAMETROS!A:A,PARAMETROS!I:I)=0,"",_xlfn.XLOOKUP('PREENCHIMENTO|LETIVAS'!A810,PARAMETROS!A:A,PARAMETROS!I:I))</f>
        <v>PROFESSOR DE ENSINO SUPERIOR PRESENCIAL</v>
      </c>
      <c r="F810" s="3" t="s">
        <v>53</v>
      </c>
      <c r="G810" s="3">
        <v>1</v>
      </c>
      <c r="H810" s="3" t="s">
        <v>55</v>
      </c>
      <c r="I810" s="3" t="s">
        <v>40</v>
      </c>
      <c r="J810" s="3" t="s">
        <v>1597</v>
      </c>
      <c r="K810" s="3"/>
      <c r="L810" s="19"/>
    </row>
    <row r="811" spans="1:12">
      <c r="A811" s="3" t="s">
        <v>199</v>
      </c>
      <c r="B811" t="str">
        <f>IF(_xlfn.XLOOKUP(A811,PARAMETROS!A:A,PARAMETROS!B:B)=0,"",_xlfn.XLOOKUP(A811,PARAMETROS!A:A,PARAMETROS!B:B))</f>
        <v>012009003517</v>
      </c>
      <c r="C811">
        <f>IF(_xlfn.XLOOKUP(A811,PARAMETROS!A:A,PARAMETROS!C:C)=0,"",_xlfn.XLOOKUP(A811,PARAMETROS!A:A,PARAMETROS!C:C))</f>
        <v>40</v>
      </c>
      <c r="D811">
        <f>IF(_xlfn.XLOOKUP(A811,PARAMETROS!A:A,PARAMETROS!D:D)=0,"",_xlfn.XLOOKUP(A811,PARAMETROS!A:A,PARAMETROS!D:D))</f>
        <v>4</v>
      </c>
      <c r="E811" t="str">
        <f>IF(_xlfn.XLOOKUP('PREENCHIMENTO|LETIVAS'!A811,PARAMETROS!A:A,PARAMETROS!I:I)=0,"",_xlfn.XLOOKUP('PREENCHIMENTO|LETIVAS'!A811,PARAMETROS!A:A,PARAMETROS!I:I))</f>
        <v>PROFESSOR DE ENSINO SUPERIOR EAD</v>
      </c>
      <c r="F811" s="3" t="s">
        <v>53</v>
      </c>
      <c r="G811" s="3">
        <v>2</v>
      </c>
      <c r="H811" s="3" t="s">
        <v>55</v>
      </c>
      <c r="I811" s="3" t="s">
        <v>33</v>
      </c>
      <c r="J811" s="3" t="s">
        <v>1598</v>
      </c>
      <c r="K811" s="3"/>
      <c r="L811" s="19"/>
    </row>
    <row r="812" spans="1:12">
      <c r="A812" s="3" t="s">
        <v>199</v>
      </c>
      <c r="B812" t="str">
        <f>IF(_xlfn.XLOOKUP(A812,PARAMETROS!A:A,PARAMETROS!B:B)=0,"",_xlfn.XLOOKUP(A812,PARAMETROS!A:A,PARAMETROS!B:B))</f>
        <v>012009003517</v>
      </c>
      <c r="C812">
        <f>IF(_xlfn.XLOOKUP(A812,PARAMETROS!A:A,PARAMETROS!C:C)=0,"",_xlfn.XLOOKUP(A812,PARAMETROS!A:A,PARAMETROS!C:C))</f>
        <v>40</v>
      </c>
      <c r="D812">
        <f>IF(_xlfn.XLOOKUP(A812,PARAMETROS!A:A,PARAMETROS!D:D)=0,"",_xlfn.XLOOKUP(A812,PARAMETROS!A:A,PARAMETROS!D:D))</f>
        <v>4</v>
      </c>
      <c r="E812" t="str">
        <f>IF(_xlfn.XLOOKUP('PREENCHIMENTO|LETIVAS'!A812,PARAMETROS!A:A,PARAMETROS!I:I)=0,"",_xlfn.XLOOKUP('PREENCHIMENTO|LETIVAS'!A812,PARAMETROS!A:A,PARAMETROS!I:I))</f>
        <v>PROFESSOR DE ENSINO SUPERIOR EAD</v>
      </c>
      <c r="F812" s="3" t="s">
        <v>53</v>
      </c>
      <c r="G812" s="3">
        <v>2</v>
      </c>
      <c r="H812" s="3" t="s">
        <v>55</v>
      </c>
      <c r="I812" s="3" t="s">
        <v>40</v>
      </c>
      <c r="J812" s="3" t="s">
        <v>1599</v>
      </c>
      <c r="K812" s="3"/>
      <c r="L812" s="19"/>
    </row>
    <row r="813" spans="1:12">
      <c r="A813" s="3" t="s">
        <v>343</v>
      </c>
      <c r="B813" t="str">
        <f>IF(_xlfn.XLOOKUP(A813,PARAMETROS!A:A,PARAMETROS!B:B)=0,"",_xlfn.XLOOKUP(A813,PARAMETROS!A:A,PARAMETROS!B:B))</f>
        <v>012009003454</v>
      </c>
      <c r="C813">
        <f>IF(_xlfn.XLOOKUP(A813,PARAMETROS!A:A,PARAMETROS!C:C)=0,"",_xlfn.XLOOKUP(A813,PARAMETROS!A:A,PARAMETROS!C:C))</f>
        <v>40</v>
      </c>
      <c r="D813">
        <f>IF(_xlfn.XLOOKUP(A813,PARAMETROS!A:A,PARAMETROS!D:D)=0,"",_xlfn.XLOOKUP(A813,PARAMETROS!A:A,PARAMETROS!D:D))</f>
        <v>4</v>
      </c>
      <c r="E813" t="str">
        <f>IF(_xlfn.XLOOKUP('PREENCHIMENTO|LETIVAS'!A813,PARAMETROS!A:A,PARAMETROS!I:I)=0,"",_xlfn.XLOOKUP('PREENCHIMENTO|LETIVAS'!A813,PARAMETROS!A:A,PARAMETROS!I:I))</f>
        <v>PROFESSOR DE ENSINO SUPERIOR EAD</v>
      </c>
      <c r="F813" s="3" t="s">
        <v>53</v>
      </c>
      <c r="G813" s="3">
        <v>1</v>
      </c>
      <c r="H813" s="3" t="s">
        <v>55</v>
      </c>
      <c r="I813" s="3" t="s">
        <v>33</v>
      </c>
      <c r="J813" s="3" t="s">
        <v>1600</v>
      </c>
      <c r="K813" s="3"/>
      <c r="L813" s="19"/>
    </row>
    <row r="814" spans="1:12">
      <c r="A814" s="3" t="s">
        <v>343</v>
      </c>
      <c r="B814" t="str">
        <f>IF(_xlfn.XLOOKUP(A814,PARAMETROS!A:A,PARAMETROS!B:B)=0,"",_xlfn.XLOOKUP(A814,PARAMETROS!A:A,PARAMETROS!B:B))</f>
        <v>012009003454</v>
      </c>
      <c r="C814">
        <f>IF(_xlfn.XLOOKUP(A814,PARAMETROS!A:A,PARAMETROS!C:C)=0,"",_xlfn.XLOOKUP(A814,PARAMETROS!A:A,PARAMETROS!C:C))</f>
        <v>40</v>
      </c>
      <c r="D814">
        <f>IF(_xlfn.XLOOKUP(A814,PARAMETROS!A:A,PARAMETROS!D:D)=0,"",_xlfn.XLOOKUP(A814,PARAMETROS!A:A,PARAMETROS!D:D))</f>
        <v>4</v>
      </c>
      <c r="E814" t="str">
        <f>IF(_xlfn.XLOOKUP('PREENCHIMENTO|LETIVAS'!A814,PARAMETROS!A:A,PARAMETROS!I:I)=0,"",_xlfn.XLOOKUP('PREENCHIMENTO|LETIVAS'!A814,PARAMETROS!A:A,PARAMETROS!I:I))</f>
        <v>PROFESSOR DE ENSINO SUPERIOR EAD</v>
      </c>
      <c r="F814" s="3" t="s">
        <v>53</v>
      </c>
      <c r="G814" s="3">
        <v>2</v>
      </c>
      <c r="H814" s="3" t="s">
        <v>55</v>
      </c>
      <c r="I814" s="3" t="s">
        <v>33</v>
      </c>
      <c r="J814" s="3" t="s">
        <v>1601</v>
      </c>
      <c r="K814" s="3"/>
      <c r="L814" s="19"/>
    </row>
    <row r="815" spans="1:12">
      <c r="A815" s="3" t="s">
        <v>569</v>
      </c>
      <c r="B815" t="str">
        <f>IF(_xlfn.XLOOKUP(A815,PARAMETROS!A:A,PARAMETROS!B:B)=0,"",_xlfn.XLOOKUP(A815,PARAMETROS!A:A,PARAMETROS!B:B))</f>
        <v>012009006257</v>
      </c>
      <c r="C815">
        <f>IF(_xlfn.XLOOKUP(A815,PARAMETROS!A:A,PARAMETROS!C:C)=0,"",_xlfn.XLOOKUP(A815,PARAMETROS!A:A,PARAMETROS!C:C))</f>
        <v>12</v>
      </c>
      <c r="D815">
        <f>IF(_xlfn.XLOOKUP(A815,PARAMETROS!A:A,PARAMETROS!D:D)=0,"",_xlfn.XLOOKUP(A815,PARAMETROS!A:A,PARAMETROS!D:D))</f>
        <v>9</v>
      </c>
      <c r="E815" t="str">
        <f>IF(_xlfn.XLOOKUP('PREENCHIMENTO|LETIVAS'!A815,PARAMETROS!A:A,PARAMETROS!I:I)=0,"",_xlfn.XLOOKUP('PREENCHIMENTO|LETIVAS'!A815,PARAMETROS!A:A,PARAMETROS!I:I))</f>
        <v>PROFESSOR REGENTE</v>
      </c>
      <c r="F815" s="3" t="s">
        <v>53</v>
      </c>
      <c r="G815" s="3">
        <v>1</v>
      </c>
      <c r="H815" s="3" t="s">
        <v>32</v>
      </c>
      <c r="I815" s="3" t="s">
        <v>40</v>
      </c>
      <c r="J815" s="3" t="s">
        <v>957</v>
      </c>
      <c r="K815" s="3"/>
      <c r="L815" s="19"/>
    </row>
    <row r="816" spans="1:12">
      <c r="A816" s="3" t="s">
        <v>569</v>
      </c>
      <c r="B816" t="str">
        <f>IF(_xlfn.XLOOKUP(A816,PARAMETROS!A:A,PARAMETROS!B:B)=0,"",_xlfn.XLOOKUP(A816,PARAMETROS!A:A,PARAMETROS!B:B))</f>
        <v>012009006257</v>
      </c>
      <c r="C816">
        <f>IF(_xlfn.XLOOKUP(A816,PARAMETROS!A:A,PARAMETROS!C:C)=0,"",_xlfn.XLOOKUP(A816,PARAMETROS!A:A,PARAMETROS!C:C))</f>
        <v>12</v>
      </c>
      <c r="D816">
        <f>IF(_xlfn.XLOOKUP(A816,PARAMETROS!A:A,PARAMETROS!D:D)=0,"",_xlfn.XLOOKUP(A816,PARAMETROS!A:A,PARAMETROS!D:D))</f>
        <v>9</v>
      </c>
      <c r="E816" t="str">
        <f>IF(_xlfn.XLOOKUP('PREENCHIMENTO|LETIVAS'!A816,PARAMETROS!A:A,PARAMETROS!I:I)=0,"",_xlfn.XLOOKUP('PREENCHIMENTO|LETIVAS'!A816,PARAMETROS!A:A,PARAMETROS!I:I))</f>
        <v>PROFESSOR REGENTE</v>
      </c>
      <c r="F816" s="3" t="s">
        <v>53</v>
      </c>
      <c r="G816" s="3">
        <v>1</v>
      </c>
      <c r="H816" s="3" t="s">
        <v>32</v>
      </c>
      <c r="I816" s="3" t="s">
        <v>33</v>
      </c>
      <c r="J816" s="3" t="s">
        <v>1602</v>
      </c>
      <c r="K816" s="3"/>
      <c r="L816" s="19"/>
    </row>
    <row r="817" spans="1:12">
      <c r="A817" s="3" t="s">
        <v>632</v>
      </c>
      <c r="B817" t="str">
        <f>IF(_xlfn.XLOOKUP(A817,PARAMETROS!A:A,PARAMETROS!B:B)=0,"",_xlfn.XLOOKUP(A817,PARAMETROS!A:A,PARAMETROS!B:B))</f>
        <v>012009006265</v>
      </c>
      <c r="C817">
        <f>IF(_xlfn.XLOOKUP(A817,PARAMETROS!A:A,PARAMETROS!C:C)=0,"",_xlfn.XLOOKUP(A817,PARAMETROS!A:A,PARAMETROS!C:C))</f>
        <v>12</v>
      </c>
      <c r="D817">
        <f>IF(_xlfn.XLOOKUP(A817,PARAMETROS!A:A,PARAMETROS!D:D)=0,"",_xlfn.XLOOKUP(A817,PARAMETROS!A:A,PARAMETROS!D:D))</f>
        <v>9</v>
      </c>
      <c r="E817" t="str">
        <f>IF(_xlfn.XLOOKUP('PREENCHIMENTO|LETIVAS'!A817,PARAMETROS!A:A,PARAMETROS!I:I)=0,"",_xlfn.XLOOKUP('PREENCHIMENTO|LETIVAS'!A817,PARAMETROS!A:A,PARAMETROS!I:I))</f>
        <v>PROFESSOR REGENTE</v>
      </c>
      <c r="F817" s="3" t="s">
        <v>53</v>
      </c>
      <c r="G817" s="3" t="s">
        <v>54</v>
      </c>
      <c r="H817" s="3" t="s">
        <v>32</v>
      </c>
      <c r="I817" s="3" t="s">
        <v>33</v>
      </c>
      <c r="J817" s="3" t="s">
        <v>1509</v>
      </c>
      <c r="K817" s="3"/>
      <c r="L817" s="19"/>
    </row>
    <row r="818" spans="1:12">
      <c r="A818" s="3" t="s">
        <v>395</v>
      </c>
      <c r="B818" t="str">
        <f>IF(_xlfn.XLOOKUP(A818,PARAMETROS!A:A,PARAMETROS!B:B)=0,"",_xlfn.XLOOKUP(A818,PARAMETROS!A:A,PARAMETROS!B:B))</f>
        <v>012009004461</v>
      </c>
      <c r="C818">
        <f>IF(_xlfn.XLOOKUP(A818,PARAMETROS!A:A,PARAMETROS!C:C)=0,"",_xlfn.XLOOKUP(A818,PARAMETROS!A:A,PARAMETROS!C:C))</f>
        <v>20</v>
      </c>
      <c r="D818">
        <f>IF(_xlfn.XLOOKUP(A818,PARAMETROS!A:A,PARAMETROS!D:D)=0,"",_xlfn.XLOOKUP(A818,PARAMETROS!A:A,PARAMETROS!D:D))</f>
        <v>2</v>
      </c>
      <c r="E818" t="str">
        <f>IF(_xlfn.XLOOKUP('PREENCHIMENTO|LETIVAS'!A818,PARAMETROS!A:A,PARAMETROS!I:I)=0,"",_xlfn.XLOOKUP('PREENCHIMENTO|LETIVAS'!A818,PARAMETROS!A:A,PARAMETROS!I:I))</f>
        <v>PROFESSOR DE ENSINO SUPERIOR EAD</v>
      </c>
      <c r="F818" s="3" t="s">
        <v>53</v>
      </c>
      <c r="G818" s="3">
        <v>2</v>
      </c>
      <c r="H818" s="3" t="s">
        <v>63</v>
      </c>
      <c r="I818" s="3" t="s">
        <v>33</v>
      </c>
      <c r="J818" s="3" t="s">
        <v>1603</v>
      </c>
      <c r="K818" s="3"/>
      <c r="L818" s="19"/>
    </row>
    <row r="819" spans="1:12">
      <c r="A819" s="3" t="s">
        <v>395</v>
      </c>
      <c r="B819" t="str">
        <f>IF(_xlfn.XLOOKUP(A819,PARAMETROS!A:A,PARAMETROS!B:B)=0,"",_xlfn.XLOOKUP(A819,PARAMETROS!A:A,PARAMETROS!B:B))</f>
        <v>012009004461</v>
      </c>
      <c r="C819">
        <f>IF(_xlfn.XLOOKUP(A819,PARAMETROS!A:A,PARAMETROS!C:C)=0,"",_xlfn.XLOOKUP(A819,PARAMETROS!A:A,PARAMETROS!C:C))</f>
        <v>20</v>
      </c>
      <c r="D819">
        <f>IF(_xlfn.XLOOKUP(A819,PARAMETROS!A:A,PARAMETROS!D:D)=0,"",_xlfn.XLOOKUP(A819,PARAMETROS!A:A,PARAMETROS!D:D))</f>
        <v>2</v>
      </c>
      <c r="E819" t="str">
        <f>IF(_xlfn.XLOOKUP('PREENCHIMENTO|LETIVAS'!A819,PARAMETROS!A:A,PARAMETROS!I:I)=0,"",_xlfn.XLOOKUP('PREENCHIMENTO|LETIVAS'!A819,PARAMETROS!A:A,PARAMETROS!I:I))</f>
        <v>PROFESSOR DE ENSINO SUPERIOR EAD</v>
      </c>
      <c r="F819" s="3" t="s">
        <v>53</v>
      </c>
      <c r="G819" s="3">
        <v>2</v>
      </c>
      <c r="H819" s="3" t="s">
        <v>39</v>
      </c>
      <c r="I819" s="3" t="s">
        <v>33</v>
      </c>
      <c r="J819" s="3" t="s">
        <v>1603</v>
      </c>
      <c r="K819" s="3"/>
      <c r="L819" s="19"/>
    </row>
    <row r="820" spans="1:12">
      <c r="A820" s="3" t="s">
        <v>126</v>
      </c>
      <c r="B820" t="str">
        <f>IF(_xlfn.XLOOKUP(A820,PARAMETROS!A:A,PARAMETROS!B:B)=0,"",_xlfn.XLOOKUP(A820,PARAMETROS!A:A,PARAMETROS!B:B))</f>
        <v>012009006177</v>
      </c>
      <c r="C820">
        <f>IF(_xlfn.XLOOKUP(A820,PARAMETROS!A:A,PARAMETROS!C:C)=0,"",_xlfn.XLOOKUP(A820,PARAMETROS!A:A,PARAMETROS!C:C))</f>
        <v>12</v>
      </c>
      <c r="D820">
        <f>IF(_xlfn.XLOOKUP(A820,PARAMETROS!A:A,PARAMETROS!D:D)=0,"",_xlfn.XLOOKUP(A820,PARAMETROS!A:A,PARAMETROS!D:D))</f>
        <v>9</v>
      </c>
      <c r="E820" t="str">
        <f>IF(_xlfn.XLOOKUP('PREENCHIMENTO|LETIVAS'!A820,PARAMETROS!A:A,PARAMETROS!I:I)=0,"",_xlfn.XLOOKUP('PREENCHIMENTO|LETIVAS'!A820,PARAMETROS!A:A,PARAMETROS!I:I))</f>
        <v>PROFESSOR REGENTE</v>
      </c>
      <c r="F820" s="3" t="s">
        <v>53</v>
      </c>
      <c r="G820" s="3">
        <v>1</v>
      </c>
      <c r="H820" s="3" t="s">
        <v>63</v>
      </c>
      <c r="I820" s="3" t="s">
        <v>33</v>
      </c>
      <c r="J820" s="3" t="s">
        <v>1604</v>
      </c>
      <c r="K820" s="3"/>
      <c r="L820" s="19"/>
    </row>
    <row r="821" spans="1:12">
      <c r="A821" s="3" t="s">
        <v>126</v>
      </c>
      <c r="B821" t="str">
        <f>IF(_xlfn.XLOOKUP(A821,PARAMETROS!A:A,PARAMETROS!B:B)=0,"",_xlfn.XLOOKUP(A821,PARAMETROS!A:A,PARAMETROS!B:B))</f>
        <v>012009006177</v>
      </c>
      <c r="C821">
        <f>IF(_xlfn.XLOOKUP(A821,PARAMETROS!A:A,PARAMETROS!C:C)=0,"",_xlfn.XLOOKUP(A821,PARAMETROS!A:A,PARAMETROS!C:C))</f>
        <v>12</v>
      </c>
      <c r="D821">
        <f>IF(_xlfn.XLOOKUP(A821,PARAMETROS!A:A,PARAMETROS!D:D)=0,"",_xlfn.XLOOKUP(A821,PARAMETROS!A:A,PARAMETROS!D:D))</f>
        <v>9</v>
      </c>
      <c r="E821" t="str">
        <f>IF(_xlfn.XLOOKUP('PREENCHIMENTO|LETIVAS'!A821,PARAMETROS!A:A,PARAMETROS!I:I)=0,"",_xlfn.XLOOKUP('PREENCHIMENTO|LETIVAS'!A821,PARAMETROS!A:A,PARAMETROS!I:I))</f>
        <v>PROFESSOR REGENTE</v>
      </c>
      <c r="F821" s="3" t="s">
        <v>53</v>
      </c>
      <c r="G821" s="3">
        <v>1</v>
      </c>
      <c r="H821" s="3" t="s">
        <v>63</v>
      </c>
      <c r="I821" s="3" t="s">
        <v>40</v>
      </c>
      <c r="J821" s="3" t="s">
        <v>1605</v>
      </c>
      <c r="K821" s="3"/>
      <c r="L821" s="19"/>
    </row>
    <row r="822" spans="1:12">
      <c r="A822" s="3" t="s">
        <v>727</v>
      </c>
      <c r="B822" t="str">
        <f>IF(_xlfn.XLOOKUP(A822,PARAMETROS!A:A,PARAMETROS!B:B)=0,"",_xlfn.XLOOKUP(A822,PARAMETROS!A:A,PARAMETROS!B:B))</f>
        <v>012009006370</v>
      </c>
      <c r="C822">
        <f>IF(_xlfn.XLOOKUP(A822,PARAMETROS!A:A,PARAMETROS!C:C)=0,"",_xlfn.XLOOKUP(A822,PARAMETROS!A:A,PARAMETROS!C:C))</f>
        <v>12</v>
      </c>
      <c r="D822">
        <f>IF(_xlfn.XLOOKUP(A822,PARAMETROS!A:A,PARAMETROS!D:D)=0,"",_xlfn.XLOOKUP(A822,PARAMETROS!A:A,PARAMETROS!D:D))</f>
        <v>9</v>
      </c>
      <c r="E822" t="str">
        <f>IF(_xlfn.XLOOKUP('PREENCHIMENTO|LETIVAS'!A822,PARAMETROS!A:A,PARAMETROS!I:I)=0,"",_xlfn.XLOOKUP('PREENCHIMENTO|LETIVAS'!A822,PARAMETROS!A:A,PARAMETROS!I:I))</f>
        <v>PROFESSOR REGENTE</v>
      </c>
      <c r="F822" s="3" t="s">
        <v>53</v>
      </c>
      <c r="G822" s="3">
        <v>1</v>
      </c>
      <c r="H822" s="3" t="s">
        <v>63</v>
      </c>
      <c r="I822" s="3" t="s">
        <v>40</v>
      </c>
      <c r="J822" s="3" t="s">
        <v>1606</v>
      </c>
      <c r="K822" s="3"/>
      <c r="L822" s="19"/>
    </row>
    <row r="823" spans="1:12">
      <c r="A823" s="3" t="s">
        <v>328</v>
      </c>
      <c r="B823" t="str">
        <f>IF(_xlfn.XLOOKUP(A823,PARAMETROS!A:A,PARAMETROS!B:B)=0,"",_xlfn.XLOOKUP(A823,PARAMETROS!A:A,PARAMETROS!B:B))</f>
        <v>012009003845</v>
      </c>
      <c r="C823">
        <f>IF(_xlfn.XLOOKUP(A823,PARAMETROS!A:A,PARAMETROS!C:C)=0,"",_xlfn.XLOOKUP(A823,PARAMETROS!A:A,PARAMETROS!C:C))</f>
        <v>20</v>
      </c>
      <c r="D823">
        <f>IF(_xlfn.XLOOKUP(A823,PARAMETROS!A:A,PARAMETROS!D:D)=0,"",_xlfn.XLOOKUP(A823,PARAMETROS!A:A,PARAMETROS!D:D))</f>
        <v>2</v>
      </c>
      <c r="E823" t="str">
        <f>IF(_xlfn.XLOOKUP('PREENCHIMENTO|LETIVAS'!A823,PARAMETROS!A:A,PARAMETROS!I:I)=0,"",_xlfn.XLOOKUP('PREENCHIMENTO|LETIVAS'!A823,PARAMETROS!A:A,PARAMETROS!I:I))</f>
        <v>PROFESSOR DE ENSINO SUPERIOR EAD</v>
      </c>
      <c r="F823" s="3" t="s">
        <v>53</v>
      </c>
      <c r="G823" s="3">
        <v>1</v>
      </c>
      <c r="H823" s="3" t="s">
        <v>63</v>
      </c>
      <c r="I823" s="3" t="s">
        <v>33</v>
      </c>
      <c r="J823" s="3" t="s">
        <v>1607</v>
      </c>
      <c r="K823" s="3"/>
      <c r="L823" s="19"/>
    </row>
    <row r="824" spans="1:12">
      <c r="A824" s="3" t="s">
        <v>413</v>
      </c>
      <c r="B824" t="str">
        <f>IF(_xlfn.XLOOKUP(A824,PARAMETROS!A:A,PARAMETROS!B:B)=0,"",_xlfn.XLOOKUP(A824,PARAMETROS!A:A,PARAMETROS!B:B))</f>
        <v>012009006213</v>
      </c>
      <c r="C824">
        <f>IF(_xlfn.XLOOKUP(A824,PARAMETROS!A:A,PARAMETROS!C:C)=0,"",_xlfn.XLOOKUP(A824,PARAMETROS!A:A,PARAMETROS!C:C))</f>
        <v>12</v>
      </c>
      <c r="D824">
        <f>IF(_xlfn.XLOOKUP(A824,PARAMETROS!A:A,PARAMETROS!D:D)=0,"",_xlfn.XLOOKUP(A824,PARAMETROS!A:A,PARAMETROS!D:D))</f>
        <v>9</v>
      </c>
      <c r="E824" t="str">
        <f>IF(_xlfn.XLOOKUP('PREENCHIMENTO|LETIVAS'!A824,PARAMETROS!A:A,PARAMETROS!I:I)=0,"",_xlfn.XLOOKUP('PREENCHIMENTO|LETIVAS'!A824,PARAMETROS!A:A,PARAMETROS!I:I))</f>
        <v>PROFESSOR REGENTE</v>
      </c>
      <c r="F824" s="3" t="s">
        <v>53</v>
      </c>
      <c r="G824" s="3">
        <v>1</v>
      </c>
      <c r="H824" s="3" t="s">
        <v>63</v>
      </c>
      <c r="I824" s="3" t="s">
        <v>33</v>
      </c>
      <c r="J824" s="3" t="s">
        <v>1608</v>
      </c>
      <c r="K824" s="3"/>
      <c r="L824" s="19"/>
    </row>
    <row r="825" spans="1:12">
      <c r="A825" s="3" t="s">
        <v>413</v>
      </c>
      <c r="B825" t="str">
        <f>IF(_xlfn.XLOOKUP(A825,PARAMETROS!A:A,PARAMETROS!B:B)=0,"",_xlfn.XLOOKUP(A825,PARAMETROS!A:A,PARAMETROS!B:B))</f>
        <v>012009006213</v>
      </c>
      <c r="C825">
        <f>IF(_xlfn.XLOOKUP(A825,PARAMETROS!A:A,PARAMETROS!C:C)=0,"",_xlfn.XLOOKUP(A825,PARAMETROS!A:A,PARAMETROS!C:C))</f>
        <v>12</v>
      </c>
      <c r="D825">
        <f>IF(_xlfn.XLOOKUP(A825,PARAMETROS!A:A,PARAMETROS!D:D)=0,"",_xlfn.XLOOKUP(A825,PARAMETROS!A:A,PARAMETROS!D:D))</f>
        <v>9</v>
      </c>
      <c r="E825" t="str">
        <f>IF(_xlfn.XLOOKUP('PREENCHIMENTO|LETIVAS'!A825,PARAMETROS!A:A,PARAMETROS!I:I)=0,"",_xlfn.XLOOKUP('PREENCHIMENTO|LETIVAS'!A825,PARAMETROS!A:A,PARAMETROS!I:I))</f>
        <v>PROFESSOR REGENTE</v>
      </c>
      <c r="F825" s="3" t="s">
        <v>53</v>
      </c>
      <c r="G825" s="3">
        <v>1</v>
      </c>
      <c r="H825" s="3" t="s">
        <v>63</v>
      </c>
      <c r="I825" s="3" t="s">
        <v>40</v>
      </c>
      <c r="J825" s="3" t="s">
        <v>1609</v>
      </c>
      <c r="K825" s="3"/>
      <c r="L825" s="19"/>
    </row>
    <row r="826" spans="1:12">
      <c r="A826" s="3" t="s">
        <v>682</v>
      </c>
      <c r="B826" t="str">
        <f>IF(_xlfn.XLOOKUP(A826,PARAMETROS!A:A,PARAMETROS!B:B)=0,"",_xlfn.XLOOKUP(A826,PARAMETROS!A:A,PARAMETROS!B:B))</f>
        <v>012009004482</v>
      </c>
      <c r="C826" t="str">
        <f>IF(_xlfn.XLOOKUP(A826,PARAMETROS!A:A,PARAMETROS!C:C)=0,"",_xlfn.XLOOKUP(A826,PARAMETROS!A:A,PARAMETROS!C:C))</f>
        <v/>
      </c>
      <c r="D826" t="str">
        <f>IF(_xlfn.XLOOKUP(A826,PARAMETROS!A:A,PARAMETROS!D:D)=0,"",_xlfn.XLOOKUP(A826,PARAMETROS!A:A,PARAMETROS!D:D))</f>
        <v/>
      </c>
      <c r="E826" t="str">
        <f>IF(_xlfn.XLOOKUP('PREENCHIMENTO|LETIVAS'!A826,PARAMETROS!A:A,PARAMETROS!I:I)=0,"",_xlfn.XLOOKUP('PREENCHIMENTO|LETIVAS'!A826,PARAMETROS!A:A,PARAMETROS!I:I))</f>
        <v>PROFESSOR DE ENSINO SUPERIOR PRESENCIAL</v>
      </c>
      <c r="F826" s="3" t="s">
        <v>53</v>
      </c>
      <c r="G826" s="3">
        <v>1</v>
      </c>
      <c r="H826" s="3" t="s">
        <v>63</v>
      </c>
      <c r="I826" s="3" t="s">
        <v>40</v>
      </c>
      <c r="J826" s="3" t="s">
        <v>1610</v>
      </c>
      <c r="K826" s="3"/>
      <c r="L826" s="19"/>
    </row>
    <row r="827" spans="1:12">
      <c r="A827" s="3" t="s">
        <v>809</v>
      </c>
      <c r="B827" t="str">
        <f>IF(_xlfn.XLOOKUP(A827,PARAMETROS!A:A,PARAMETROS!B:B)=0,"",_xlfn.XLOOKUP(A827,PARAMETROS!A:A,PARAMETROS!B:B))</f>
        <v>012009003458</v>
      </c>
      <c r="C827" t="str">
        <f>IF(_xlfn.XLOOKUP(A827,PARAMETROS!A:A,PARAMETROS!C:C)=0,"",_xlfn.XLOOKUP(A827,PARAMETROS!A:A,PARAMETROS!C:C))</f>
        <v/>
      </c>
      <c r="D827" t="str">
        <f>IF(_xlfn.XLOOKUP(A827,PARAMETROS!A:A,PARAMETROS!D:D)=0,"",_xlfn.XLOOKUP(A827,PARAMETROS!A:A,PARAMETROS!D:D))</f>
        <v/>
      </c>
      <c r="E827" t="str">
        <f>IF(_xlfn.XLOOKUP('PREENCHIMENTO|LETIVAS'!A827,PARAMETROS!A:A,PARAMETROS!I:I)=0,"",_xlfn.XLOOKUP('PREENCHIMENTO|LETIVAS'!A827,PARAMETROS!A:A,PARAMETROS!I:I))</f>
        <v>PROFESSOR DE ENSINO SUPERIOR PRESENCIAL</v>
      </c>
      <c r="F827" s="3" t="s">
        <v>53</v>
      </c>
      <c r="G827" s="3">
        <v>2</v>
      </c>
      <c r="H827" s="3" t="s">
        <v>55</v>
      </c>
      <c r="I827" s="3" t="s">
        <v>33</v>
      </c>
      <c r="J827" s="3" t="s">
        <v>1611</v>
      </c>
      <c r="K827" s="3"/>
      <c r="L827" s="19"/>
    </row>
    <row r="828" spans="1:12">
      <c r="A828" s="3" t="s">
        <v>809</v>
      </c>
      <c r="B828" t="str">
        <f>IF(_xlfn.XLOOKUP(A828,PARAMETROS!A:A,PARAMETROS!B:B)=0,"",_xlfn.XLOOKUP(A828,PARAMETROS!A:A,PARAMETROS!B:B))</f>
        <v>012009003458</v>
      </c>
      <c r="C828" t="str">
        <f>IF(_xlfn.XLOOKUP(A828,PARAMETROS!A:A,PARAMETROS!C:C)=0,"",_xlfn.XLOOKUP(A828,PARAMETROS!A:A,PARAMETROS!C:C))</f>
        <v/>
      </c>
      <c r="D828" t="str">
        <f>IF(_xlfn.XLOOKUP(A828,PARAMETROS!A:A,PARAMETROS!D:D)=0,"",_xlfn.XLOOKUP(A828,PARAMETROS!A:A,PARAMETROS!D:D))</f>
        <v/>
      </c>
      <c r="E828" t="str">
        <f>IF(_xlfn.XLOOKUP('PREENCHIMENTO|LETIVAS'!A828,PARAMETROS!A:A,PARAMETROS!I:I)=0,"",_xlfn.XLOOKUP('PREENCHIMENTO|LETIVAS'!A828,PARAMETROS!A:A,PARAMETROS!I:I))</f>
        <v>PROFESSOR DE ENSINO SUPERIOR PRESENCIAL</v>
      </c>
      <c r="F828" s="3" t="s">
        <v>53</v>
      </c>
      <c r="G828" s="3">
        <v>1</v>
      </c>
      <c r="H828" s="3" t="s">
        <v>55</v>
      </c>
      <c r="I828" s="3" t="s">
        <v>40</v>
      </c>
      <c r="J828" s="3" t="s">
        <v>1612</v>
      </c>
      <c r="K828" s="3"/>
      <c r="L828" s="19"/>
    </row>
    <row r="829" spans="1:12">
      <c r="A829" s="3" t="s">
        <v>793</v>
      </c>
      <c r="B829" t="str">
        <f>IF(_xlfn.XLOOKUP(A829,PARAMETROS!A:A,PARAMETROS!B:B)=0,"",_xlfn.XLOOKUP(A829,PARAMETROS!A:A,PARAMETROS!B:B))</f>
        <v>012009007241</v>
      </c>
      <c r="C829">
        <f>IF(_xlfn.XLOOKUP(A829,PARAMETROS!A:A,PARAMETROS!C:C)=0,"",_xlfn.XLOOKUP(A829,PARAMETROS!A:A,PARAMETROS!C:C))</f>
        <v>12</v>
      </c>
      <c r="D829">
        <f>IF(_xlfn.XLOOKUP(A829,PARAMETROS!A:A,PARAMETROS!D:D)=0,"",_xlfn.XLOOKUP(A829,PARAMETROS!A:A,PARAMETROS!D:D))</f>
        <v>9</v>
      </c>
      <c r="E829" t="str">
        <f>IF(_xlfn.XLOOKUP('PREENCHIMENTO|LETIVAS'!A829,PARAMETROS!A:A,PARAMETROS!I:I)=0,"",_xlfn.XLOOKUP('PREENCHIMENTO|LETIVAS'!A829,PARAMETROS!A:A,PARAMETROS!I:I))</f>
        <v>PROFESSOR REGENTE</v>
      </c>
      <c r="F829" s="3" t="s">
        <v>53</v>
      </c>
      <c r="G829" s="3" t="s">
        <v>54</v>
      </c>
      <c r="H829" s="3" t="s">
        <v>55</v>
      </c>
      <c r="I829" s="3" t="s">
        <v>40</v>
      </c>
      <c r="J829" s="3" t="s">
        <v>1613</v>
      </c>
      <c r="K829" s="3"/>
      <c r="L829" s="19"/>
    </row>
    <row r="830" spans="1:12">
      <c r="A830" s="3" t="s">
        <v>793</v>
      </c>
      <c r="B830" t="str">
        <f>IF(_xlfn.XLOOKUP(A830,PARAMETROS!A:A,PARAMETROS!B:B)=0,"",_xlfn.XLOOKUP(A830,PARAMETROS!A:A,PARAMETROS!B:B))</f>
        <v>012009007241</v>
      </c>
      <c r="C830">
        <f>IF(_xlfn.XLOOKUP(A830,PARAMETROS!A:A,PARAMETROS!C:C)=0,"",_xlfn.XLOOKUP(A830,PARAMETROS!A:A,PARAMETROS!C:C))</f>
        <v>12</v>
      </c>
      <c r="D830">
        <f>IF(_xlfn.XLOOKUP(A830,PARAMETROS!A:A,PARAMETROS!D:D)=0,"",_xlfn.XLOOKUP(A830,PARAMETROS!A:A,PARAMETROS!D:D))</f>
        <v>9</v>
      </c>
      <c r="E830" t="str">
        <f>IF(_xlfn.XLOOKUP('PREENCHIMENTO|LETIVAS'!A830,PARAMETROS!A:A,PARAMETROS!I:I)=0,"",_xlfn.XLOOKUP('PREENCHIMENTO|LETIVAS'!A830,PARAMETROS!A:A,PARAMETROS!I:I))</f>
        <v>PROFESSOR REGENTE</v>
      </c>
      <c r="F830" s="3" t="s">
        <v>53</v>
      </c>
      <c r="G830" s="3" t="s">
        <v>54</v>
      </c>
      <c r="H830" s="3" t="s">
        <v>55</v>
      </c>
      <c r="I830" s="3" t="s">
        <v>33</v>
      </c>
      <c r="J830" s="3" t="s">
        <v>1614</v>
      </c>
      <c r="K830" s="3"/>
      <c r="L830" s="19"/>
    </row>
    <row r="831" spans="1:12">
      <c r="A831" s="3" t="s">
        <v>793</v>
      </c>
      <c r="B831" t="str">
        <f>IF(_xlfn.XLOOKUP(A831,PARAMETROS!A:A,PARAMETROS!B:B)=0,"",_xlfn.XLOOKUP(A831,PARAMETROS!A:A,PARAMETROS!B:B))</f>
        <v>012009007241</v>
      </c>
      <c r="C831">
        <f>IF(_xlfn.XLOOKUP(A831,PARAMETROS!A:A,PARAMETROS!C:C)=0,"",_xlfn.XLOOKUP(A831,PARAMETROS!A:A,PARAMETROS!C:C))</f>
        <v>12</v>
      </c>
      <c r="D831">
        <f>IF(_xlfn.XLOOKUP(A831,PARAMETROS!A:A,PARAMETROS!D:D)=0,"",_xlfn.XLOOKUP(A831,PARAMETROS!A:A,PARAMETROS!D:D))</f>
        <v>9</v>
      </c>
      <c r="E831" t="str">
        <f>IF(_xlfn.XLOOKUP('PREENCHIMENTO|LETIVAS'!A831,PARAMETROS!A:A,PARAMETROS!I:I)=0,"",_xlfn.XLOOKUP('PREENCHIMENTO|LETIVAS'!A831,PARAMETROS!A:A,PARAMETROS!I:I))</f>
        <v>PROFESSOR REGENTE</v>
      </c>
      <c r="F831" s="3" t="s">
        <v>53</v>
      </c>
      <c r="G831" s="3">
        <v>1</v>
      </c>
      <c r="H831" s="3" t="s">
        <v>39</v>
      </c>
      <c r="I831" s="3" t="s">
        <v>40</v>
      </c>
      <c r="J831" s="3" t="s">
        <v>1615</v>
      </c>
      <c r="K831" s="3"/>
      <c r="L831" s="19"/>
    </row>
    <row r="832" spans="1:12">
      <c r="A832" s="3" t="s">
        <v>763</v>
      </c>
      <c r="B832" t="str">
        <f>IF(_xlfn.XLOOKUP(A832,PARAMETROS!A:A,PARAMETROS!B:B)=0,"",_xlfn.XLOOKUP(A832,PARAMETROS!A:A,PARAMETROS!B:B))</f>
        <v>012009003673</v>
      </c>
      <c r="C832" t="str">
        <f>IF(_xlfn.XLOOKUP(A832,PARAMETROS!A:A,PARAMETROS!C:C)=0,"",_xlfn.XLOOKUP(A832,PARAMETROS!A:A,PARAMETROS!C:C))</f>
        <v/>
      </c>
      <c r="D832" t="str">
        <f>IF(_xlfn.XLOOKUP(A832,PARAMETROS!A:A,PARAMETROS!D:D)=0,"",_xlfn.XLOOKUP(A832,PARAMETROS!A:A,PARAMETROS!D:D))</f>
        <v/>
      </c>
      <c r="E832" t="str">
        <f>IF(_xlfn.XLOOKUP('PREENCHIMENTO|LETIVAS'!A832,PARAMETROS!A:A,PARAMETROS!I:I)=0,"",_xlfn.XLOOKUP('PREENCHIMENTO|LETIVAS'!A832,PARAMETROS!A:A,PARAMETROS!I:I))</f>
        <v>PROFESSOR DE ENSINO SUPERIOR PRESENCIAL</v>
      </c>
      <c r="F832" s="3" t="s">
        <v>53</v>
      </c>
      <c r="G832" s="3">
        <v>2</v>
      </c>
      <c r="H832" s="3" t="s">
        <v>32</v>
      </c>
      <c r="I832" s="3" t="s">
        <v>33</v>
      </c>
      <c r="J832" s="3" t="s">
        <v>1616</v>
      </c>
      <c r="K832" s="3"/>
      <c r="L832" s="19"/>
    </row>
    <row r="833" spans="1:12">
      <c r="A833" s="3" t="s">
        <v>797</v>
      </c>
      <c r="B833" t="str">
        <f>IF(_xlfn.XLOOKUP(A833,PARAMETROS!A:A,PARAMETROS!B:B)=0,"",_xlfn.XLOOKUP(A833,PARAMETROS!A:A,PARAMETROS!B:B))</f>
        <v>012009007541</v>
      </c>
      <c r="C833">
        <f>IF(_xlfn.XLOOKUP(A833,PARAMETROS!A:A,PARAMETROS!C:C)=0,"",_xlfn.XLOOKUP(A833,PARAMETROS!A:A,PARAMETROS!C:C))</f>
        <v>12</v>
      </c>
      <c r="D833">
        <f>IF(_xlfn.XLOOKUP(A833,PARAMETROS!A:A,PARAMETROS!D:D)=0,"",_xlfn.XLOOKUP(A833,PARAMETROS!A:A,PARAMETROS!D:D))</f>
        <v>9</v>
      </c>
      <c r="E833" t="str">
        <f>IF(_xlfn.XLOOKUP('PREENCHIMENTO|LETIVAS'!A833,PARAMETROS!A:A,PARAMETROS!I:I)=0,"",_xlfn.XLOOKUP('PREENCHIMENTO|LETIVAS'!A833,PARAMETROS!A:A,PARAMETROS!I:I))</f>
        <v>PROFESSOR REGENTE</v>
      </c>
      <c r="F833" s="3" t="s">
        <v>53</v>
      </c>
      <c r="G833" s="3" t="s">
        <v>54</v>
      </c>
      <c r="H833" s="3" t="s">
        <v>32</v>
      </c>
      <c r="I833" s="3" t="s">
        <v>33</v>
      </c>
      <c r="J833" s="3" t="s">
        <v>1617</v>
      </c>
      <c r="K833" s="3"/>
      <c r="L833" s="19"/>
    </row>
    <row r="834" spans="1:12">
      <c r="A834" s="3" t="s">
        <v>797</v>
      </c>
      <c r="B834" t="str">
        <f>IF(_xlfn.XLOOKUP(A834,PARAMETROS!A:A,PARAMETROS!B:B)=0,"",_xlfn.XLOOKUP(A834,PARAMETROS!A:A,PARAMETROS!B:B))</f>
        <v>012009007541</v>
      </c>
      <c r="C834">
        <f>IF(_xlfn.XLOOKUP(A834,PARAMETROS!A:A,PARAMETROS!C:C)=0,"",_xlfn.XLOOKUP(A834,PARAMETROS!A:A,PARAMETROS!C:C))</f>
        <v>12</v>
      </c>
      <c r="D834">
        <f>IF(_xlfn.XLOOKUP(A834,PARAMETROS!A:A,PARAMETROS!D:D)=0,"",_xlfn.XLOOKUP(A834,PARAMETROS!A:A,PARAMETROS!D:D))</f>
        <v>9</v>
      </c>
      <c r="E834" t="str">
        <f>IF(_xlfn.XLOOKUP('PREENCHIMENTO|LETIVAS'!A834,PARAMETROS!A:A,PARAMETROS!I:I)=0,"",_xlfn.XLOOKUP('PREENCHIMENTO|LETIVAS'!A834,PARAMETROS!A:A,PARAMETROS!I:I))</f>
        <v>PROFESSOR REGENTE</v>
      </c>
      <c r="F834" s="3" t="s">
        <v>53</v>
      </c>
      <c r="G834" s="3" t="s">
        <v>54</v>
      </c>
      <c r="H834" s="3" t="s">
        <v>32</v>
      </c>
      <c r="I834" s="3" t="s">
        <v>40</v>
      </c>
      <c r="J834" s="3" t="s">
        <v>1618</v>
      </c>
      <c r="K834" s="3"/>
      <c r="L834" s="19"/>
    </row>
    <row r="835" spans="1:12">
      <c r="A835" s="3" t="s">
        <v>800</v>
      </c>
      <c r="B835" t="str">
        <f>IF(_xlfn.XLOOKUP(A835,PARAMETROS!A:A,PARAMETROS!B:B)=0,"",_xlfn.XLOOKUP(A835,PARAMETROS!A:A,PARAMETROS!B:B))</f>
        <v>012009007263</v>
      </c>
      <c r="C835">
        <f>IF(_xlfn.XLOOKUP(A835,PARAMETROS!A:A,PARAMETROS!C:C)=0,"",_xlfn.XLOOKUP(A835,PARAMETROS!A:A,PARAMETROS!C:C))</f>
        <v>12</v>
      </c>
      <c r="D835">
        <f>IF(_xlfn.XLOOKUP(A835,PARAMETROS!A:A,PARAMETROS!D:D)=0,"",_xlfn.XLOOKUP(A835,PARAMETROS!A:A,PARAMETROS!D:D))</f>
        <v>9</v>
      </c>
      <c r="E835" t="str">
        <f>IF(_xlfn.XLOOKUP('PREENCHIMENTO|LETIVAS'!A835,PARAMETROS!A:A,PARAMETROS!I:I)=0,"",_xlfn.XLOOKUP('PREENCHIMENTO|LETIVAS'!A835,PARAMETROS!A:A,PARAMETROS!I:I))</f>
        <v>PROFESSOR REGENTE</v>
      </c>
      <c r="F835" s="3" t="s">
        <v>53</v>
      </c>
      <c r="G835" s="3" t="s">
        <v>54</v>
      </c>
      <c r="H835" s="3" t="s">
        <v>32</v>
      </c>
      <c r="I835" s="3" t="s">
        <v>40</v>
      </c>
      <c r="J835" s="3" t="s">
        <v>870</v>
      </c>
      <c r="K835" s="3"/>
      <c r="L835" s="19"/>
    </row>
    <row r="836" spans="1:12">
      <c r="A836" s="3" t="s">
        <v>800</v>
      </c>
      <c r="B836" t="str">
        <f>IF(_xlfn.XLOOKUP(A836,PARAMETROS!A:A,PARAMETROS!B:B)=0,"",_xlfn.XLOOKUP(A836,PARAMETROS!A:A,PARAMETROS!B:B))</f>
        <v>012009007263</v>
      </c>
      <c r="C836">
        <f>IF(_xlfn.XLOOKUP(A836,PARAMETROS!A:A,PARAMETROS!C:C)=0,"",_xlfn.XLOOKUP(A836,PARAMETROS!A:A,PARAMETROS!C:C))</f>
        <v>12</v>
      </c>
      <c r="D836">
        <f>IF(_xlfn.XLOOKUP(A836,PARAMETROS!A:A,PARAMETROS!D:D)=0,"",_xlfn.XLOOKUP(A836,PARAMETROS!A:A,PARAMETROS!D:D))</f>
        <v>9</v>
      </c>
      <c r="E836" t="str">
        <f>IF(_xlfn.XLOOKUP('PREENCHIMENTO|LETIVAS'!A836,PARAMETROS!A:A,PARAMETROS!I:I)=0,"",_xlfn.XLOOKUP('PREENCHIMENTO|LETIVAS'!A836,PARAMETROS!A:A,PARAMETROS!I:I))</f>
        <v>PROFESSOR REGENTE</v>
      </c>
      <c r="F836" s="3" t="s">
        <v>53</v>
      </c>
      <c r="G836" s="3">
        <v>2</v>
      </c>
      <c r="H836" s="3" t="s">
        <v>63</v>
      </c>
      <c r="I836" s="3" t="s">
        <v>33</v>
      </c>
      <c r="J836" s="3" t="s">
        <v>1619</v>
      </c>
      <c r="K836" s="3"/>
      <c r="L836" s="19"/>
    </row>
    <row r="837" spans="1:12">
      <c r="A837" s="3" t="s">
        <v>800</v>
      </c>
      <c r="B837" t="str">
        <f>IF(_xlfn.XLOOKUP(A837,PARAMETROS!A:A,PARAMETROS!B:B)=0,"",_xlfn.XLOOKUP(A837,PARAMETROS!A:A,PARAMETROS!B:B))</f>
        <v>012009007263</v>
      </c>
      <c r="C837">
        <f>IF(_xlfn.XLOOKUP(A837,PARAMETROS!A:A,PARAMETROS!C:C)=0,"",_xlfn.XLOOKUP(A837,PARAMETROS!A:A,PARAMETROS!C:C))</f>
        <v>12</v>
      </c>
      <c r="D837">
        <f>IF(_xlfn.XLOOKUP(A837,PARAMETROS!A:A,PARAMETROS!D:D)=0,"",_xlfn.XLOOKUP(A837,PARAMETROS!A:A,PARAMETROS!D:D))</f>
        <v>9</v>
      </c>
      <c r="E837" t="str">
        <f>IF(_xlfn.XLOOKUP('PREENCHIMENTO|LETIVAS'!A837,PARAMETROS!A:A,PARAMETROS!I:I)=0,"",_xlfn.XLOOKUP('PREENCHIMENTO|LETIVAS'!A837,PARAMETROS!A:A,PARAMETROS!I:I))</f>
        <v>PROFESSOR REGENTE</v>
      </c>
      <c r="F837" s="3" t="s">
        <v>53</v>
      </c>
      <c r="G837" s="3">
        <v>1</v>
      </c>
      <c r="H837" s="3" t="s">
        <v>63</v>
      </c>
      <c r="I837" s="3" t="s">
        <v>40</v>
      </c>
      <c r="J837" s="3" t="s">
        <v>870</v>
      </c>
      <c r="K837" s="3"/>
      <c r="L837" s="19"/>
    </row>
    <row r="838" spans="1:12">
      <c r="A838" s="3" t="s">
        <v>804</v>
      </c>
      <c r="B838" t="str">
        <f>IF(_xlfn.XLOOKUP(A838,PARAMETROS!A:A,PARAMETROS!B:B)=0,"",_xlfn.XLOOKUP(A838,PARAMETROS!A:A,PARAMETROS!B:B))</f>
        <v>012009007484</v>
      </c>
      <c r="C838">
        <f>IF(_xlfn.XLOOKUP(A838,PARAMETROS!A:A,PARAMETROS!C:C)=0,"",_xlfn.XLOOKUP(A838,PARAMETROS!A:A,PARAMETROS!C:C))</f>
        <v>12</v>
      </c>
      <c r="D838">
        <f>IF(_xlfn.XLOOKUP(A838,PARAMETROS!A:A,PARAMETROS!D:D)=0,"",_xlfn.XLOOKUP(A838,PARAMETROS!A:A,PARAMETROS!D:D))</f>
        <v>9</v>
      </c>
      <c r="E838" t="str">
        <f>IF(_xlfn.XLOOKUP('PREENCHIMENTO|LETIVAS'!A838,PARAMETROS!A:A,PARAMETROS!I:I)=0,"",_xlfn.XLOOKUP('PREENCHIMENTO|LETIVAS'!A838,PARAMETROS!A:A,PARAMETROS!I:I))</f>
        <v>PROFESSOR REGENTE</v>
      </c>
      <c r="F838" s="3" t="s">
        <v>53</v>
      </c>
      <c r="G838" s="3" t="s">
        <v>54</v>
      </c>
      <c r="H838" s="3" t="s">
        <v>32</v>
      </c>
      <c r="I838" s="3" t="s">
        <v>33</v>
      </c>
      <c r="J838" s="3" t="s">
        <v>1620</v>
      </c>
      <c r="K838" s="3"/>
      <c r="L838" s="19"/>
    </row>
    <row r="839" spans="1:12">
      <c r="A839" s="3" t="s">
        <v>804</v>
      </c>
      <c r="B839" t="str">
        <f>IF(_xlfn.XLOOKUP(A839,PARAMETROS!A:A,PARAMETROS!B:B)=0,"",_xlfn.XLOOKUP(A839,PARAMETROS!A:A,PARAMETROS!B:B))</f>
        <v>012009007484</v>
      </c>
      <c r="C839">
        <f>IF(_xlfn.XLOOKUP(A839,PARAMETROS!A:A,PARAMETROS!C:C)=0,"",_xlfn.XLOOKUP(A839,PARAMETROS!A:A,PARAMETROS!C:C))</f>
        <v>12</v>
      </c>
      <c r="D839">
        <f>IF(_xlfn.XLOOKUP(A839,PARAMETROS!A:A,PARAMETROS!D:D)=0,"",_xlfn.XLOOKUP(A839,PARAMETROS!A:A,PARAMETROS!D:D))</f>
        <v>9</v>
      </c>
      <c r="E839" t="str">
        <f>IF(_xlfn.XLOOKUP('PREENCHIMENTO|LETIVAS'!A839,PARAMETROS!A:A,PARAMETROS!I:I)=0,"",_xlfn.XLOOKUP('PREENCHIMENTO|LETIVAS'!A839,PARAMETROS!A:A,PARAMETROS!I:I))</f>
        <v>PROFESSOR REGENTE</v>
      </c>
      <c r="F839" s="3" t="s">
        <v>53</v>
      </c>
      <c r="G839" s="3" t="s">
        <v>54</v>
      </c>
      <c r="H839" s="3" t="s">
        <v>32</v>
      </c>
      <c r="I839" s="3" t="s">
        <v>40</v>
      </c>
      <c r="J839" s="3" t="s">
        <v>1621</v>
      </c>
      <c r="K839" s="3"/>
      <c r="L839" s="19"/>
    </row>
    <row r="840" spans="1:12">
      <c r="A840" s="3" t="s">
        <v>617</v>
      </c>
      <c r="B840" t="str">
        <f>IF(_xlfn.XLOOKUP(A840,PARAMETROS!A:A,PARAMETROS!B:B)=0,"",_xlfn.XLOOKUP(A840,PARAMETROS!A:A,PARAMETROS!B:B))</f>
        <v>012009006315</v>
      </c>
      <c r="C840">
        <f>IF(_xlfn.XLOOKUP(A840,PARAMETROS!A:A,PARAMETROS!C:C)=0,"",_xlfn.XLOOKUP(A840,PARAMETROS!A:A,PARAMETROS!C:C))</f>
        <v>12</v>
      </c>
      <c r="D840">
        <f>IF(_xlfn.XLOOKUP(A840,PARAMETROS!A:A,PARAMETROS!D:D)=0,"",_xlfn.XLOOKUP(A840,PARAMETROS!A:A,PARAMETROS!D:D))</f>
        <v>9</v>
      </c>
      <c r="E840" t="str">
        <f>IF(_xlfn.XLOOKUP('PREENCHIMENTO|LETIVAS'!A840,PARAMETROS!A:A,PARAMETROS!I:I)=0,"",_xlfn.XLOOKUP('PREENCHIMENTO|LETIVAS'!A840,PARAMETROS!A:A,PARAMETROS!I:I))</f>
        <v>PROFESSOR REGENTE</v>
      </c>
      <c r="F840" s="3" t="s">
        <v>53</v>
      </c>
      <c r="G840" s="3">
        <v>2</v>
      </c>
      <c r="H840" s="3" t="s">
        <v>63</v>
      </c>
      <c r="I840" s="3" t="s">
        <v>40</v>
      </c>
      <c r="J840" s="3" t="s">
        <v>1622</v>
      </c>
      <c r="K840" s="3"/>
      <c r="L840" s="19"/>
    </row>
    <row r="841" spans="1:12">
      <c r="A841" s="3" t="s">
        <v>650</v>
      </c>
      <c r="B841" t="str">
        <f>IF(_xlfn.XLOOKUP(A841,PARAMETROS!A:A,PARAMETROS!B:B)=0,"",_xlfn.XLOOKUP(A841,PARAMETROS!A:A,PARAMETROS!B:B))</f>
        <v>012009004339</v>
      </c>
      <c r="C841">
        <f>IF(_xlfn.XLOOKUP(A841,PARAMETROS!A:A,PARAMETROS!C:C)=0,"",_xlfn.XLOOKUP(A841,PARAMETROS!A:A,PARAMETROS!C:C))</f>
        <v>40</v>
      </c>
      <c r="D841">
        <f>IF(_xlfn.XLOOKUP(A841,PARAMETROS!A:A,PARAMETROS!D:D)=0,"",_xlfn.XLOOKUP(A841,PARAMETROS!A:A,PARAMETROS!D:D))</f>
        <v>20</v>
      </c>
      <c r="E841" t="str">
        <f>IF(_xlfn.XLOOKUP('PREENCHIMENTO|LETIVAS'!A841,PARAMETROS!A:A,PARAMETROS!I:I)=0,"",_xlfn.XLOOKUP('PREENCHIMENTO|LETIVAS'!A841,PARAMETROS!A:A,PARAMETROS!I:I))</f>
        <v>PROFESSOR REGENTE</v>
      </c>
      <c r="F841" s="3" t="s">
        <v>53</v>
      </c>
      <c r="G841" s="3" t="s">
        <v>54</v>
      </c>
      <c r="H841" s="3" t="s">
        <v>55</v>
      </c>
      <c r="I841" s="3" t="s">
        <v>40</v>
      </c>
      <c r="J841" s="3" t="s">
        <v>1623</v>
      </c>
      <c r="K841" s="3"/>
      <c r="L841" s="19"/>
    </row>
    <row r="842" spans="1:12">
      <c r="A842" s="3" t="s">
        <v>650</v>
      </c>
      <c r="B842" t="str">
        <f>IF(_xlfn.XLOOKUP(A842,PARAMETROS!A:A,PARAMETROS!B:B)=0,"",_xlfn.XLOOKUP(A842,PARAMETROS!A:A,PARAMETROS!B:B))</f>
        <v>012009004339</v>
      </c>
      <c r="C842">
        <f>IF(_xlfn.XLOOKUP(A842,PARAMETROS!A:A,PARAMETROS!C:C)=0,"",_xlfn.XLOOKUP(A842,PARAMETROS!A:A,PARAMETROS!C:C))</f>
        <v>40</v>
      </c>
      <c r="D842">
        <f>IF(_xlfn.XLOOKUP(A842,PARAMETROS!A:A,PARAMETROS!D:D)=0,"",_xlfn.XLOOKUP(A842,PARAMETROS!A:A,PARAMETROS!D:D))</f>
        <v>20</v>
      </c>
      <c r="E842" t="str">
        <f>IF(_xlfn.XLOOKUP('PREENCHIMENTO|LETIVAS'!A842,PARAMETROS!A:A,PARAMETROS!I:I)=0,"",_xlfn.XLOOKUP('PREENCHIMENTO|LETIVAS'!A842,PARAMETROS!A:A,PARAMETROS!I:I))</f>
        <v>PROFESSOR REGENTE</v>
      </c>
      <c r="F842" s="3" t="s">
        <v>53</v>
      </c>
      <c r="G842" s="3" t="s">
        <v>54</v>
      </c>
      <c r="H842" s="3" t="s">
        <v>55</v>
      </c>
      <c r="I842" s="3" t="s">
        <v>33</v>
      </c>
      <c r="J842" s="3" t="s">
        <v>1624</v>
      </c>
      <c r="K842" s="3"/>
      <c r="L842" s="19"/>
    </row>
    <row r="843" spans="1:12">
      <c r="A843" s="3" t="s">
        <v>650</v>
      </c>
      <c r="B843" t="str">
        <f>IF(_xlfn.XLOOKUP(A843,PARAMETROS!A:A,PARAMETROS!B:B)=0,"",_xlfn.XLOOKUP(A843,PARAMETROS!A:A,PARAMETROS!B:B))</f>
        <v>012009004339</v>
      </c>
      <c r="C843">
        <f>IF(_xlfn.XLOOKUP(A843,PARAMETROS!A:A,PARAMETROS!C:C)=0,"",_xlfn.XLOOKUP(A843,PARAMETROS!A:A,PARAMETROS!C:C))</f>
        <v>40</v>
      </c>
      <c r="D843">
        <f>IF(_xlfn.XLOOKUP(A843,PARAMETROS!A:A,PARAMETROS!D:D)=0,"",_xlfn.XLOOKUP(A843,PARAMETROS!A:A,PARAMETROS!D:D))</f>
        <v>20</v>
      </c>
      <c r="E843" t="str">
        <f>IF(_xlfn.XLOOKUP('PREENCHIMENTO|LETIVAS'!A843,PARAMETROS!A:A,PARAMETROS!I:I)=0,"",_xlfn.XLOOKUP('PREENCHIMENTO|LETIVAS'!A843,PARAMETROS!A:A,PARAMETROS!I:I))</f>
        <v>PROFESSOR REGENTE</v>
      </c>
      <c r="F843" s="3" t="s">
        <v>53</v>
      </c>
      <c r="G843" s="3" t="s">
        <v>54</v>
      </c>
      <c r="H843" s="3" t="s">
        <v>32</v>
      </c>
      <c r="I843" s="3" t="s">
        <v>33</v>
      </c>
      <c r="J843" s="3" t="s">
        <v>1625</v>
      </c>
      <c r="K843" s="3"/>
      <c r="L843" s="19"/>
    </row>
    <row r="844" spans="1:12">
      <c r="A844" s="3" t="s">
        <v>671</v>
      </c>
      <c r="B844" t="str">
        <f>IF(_xlfn.XLOOKUP(A844,PARAMETROS!A:A,PARAMETROS!B:B)=0,"",_xlfn.XLOOKUP(A844,PARAMETROS!A:A,PARAMETROS!B:B))</f>
        <v>012009003546</v>
      </c>
      <c r="C844" t="str">
        <f>IF(_xlfn.XLOOKUP(A844,PARAMETROS!A:A,PARAMETROS!C:C)=0,"",_xlfn.XLOOKUP(A844,PARAMETROS!A:A,PARAMETROS!C:C))</f>
        <v/>
      </c>
      <c r="D844" t="str">
        <f>IF(_xlfn.XLOOKUP(A844,PARAMETROS!A:A,PARAMETROS!D:D)=0,"",_xlfn.XLOOKUP(A844,PARAMETROS!A:A,PARAMETROS!D:D))</f>
        <v/>
      </c>
      <c r="E844" t="str">
        <f>IF(_xlfn.XLOOKUP('PREENCHIMENTO|LETIVAS'!A844,PARAMETROS!A:A,PARAMETROS!I:I)=0,"",_xlfn.XLOOKUP('PREENCHIMENTO|LETIVAS'!A844,PARAMETROS!A:A,PARAMETROS!I:I))</f>
        <v>PROFESSOR DE ENSINO SUPERIOR PRESENCIAL</v>
      </c>
      <c r="F844" s="3" t="s">
        <v>53</v>
      </c>
      <c r="G844" s="3">
        <v>2</v>
      </c>
      <c r="H844" s="3" t="s">
        <v>55</v>
      </c>
      <c r="I844" s="3" t="s">
        <v>33</v>
      </c>
      <c r="J844" s="3" t="s">
        <v>1626</v>
      </c>
      <c r="K844" s="3"/>
      <c r="L844" s="19"/>
    </row>
    <row r="845" spans="1:12">
      <c r="A845" s="3" t="s">
        <v>514</v>
      </c>
      <c r="B845" t="str">
        <f>IF(_xlfn.XLOOKUP(A845,PARAMETROS!A:A,PARAMETROS!B:B)=0,"",_xlfn.XLOOKUP(A845,PARAMETROS!A:A,PARAMETROS!B:B))</f>
        <v>012009005012</v>
      </c>
      <c r="C845">
        <f>IF(_xlfn.XLOOKUP(A845,PARAMETROS!A:A,PARAMETROS!C:C)=0,"",_xlfn.XLOOKUP(A845,PARAMETROS!A:A,PARAMETROS!C:C))</f>
        <v>20</v>
      </c>
      <c r="D845">
        <f>IF(_xlfn.XLOOKUP(A845,PARAMETROS!A:A,PARAMETROS!D:D)=0,"",_xlfn.XLOOKUP(A845,PARAMETROS!A:A,PARAMETROS!D:D))</f>
        <v>2</v>
      </c>
      <c r="E845" t="str">
        <f>IF(_xlfn.XLOOKUP('PREENCHIMENTO|LETIVAS'!A845,PARAMETROS!A:A,PARAMETROS!I:I)=0,"",_xlfn.XLOOKUP('PREENCHIMENTO|LETIVAS'!A845,PARAMETROS!A:A,PARAMETROS!I:I))</f>
        <v>PROFESSOR DE ENSINO SUPERIOR EAD</v>
      </c>
      <c r="F845" s="3" t="s">
        <v>53</v>
      </c>
      <c r="G845" s="3" t="s">
        <v>54</v>
      </c>
      <c r="H845" s="3" t="s">
        <v>32</v>
      </c>
      <c r="I845" s="3" t="s">
        <v>33</v>
      </c>
      <c r="J845" s="3" t="s">
        <v>1627</v>
      </c>
      <c r="K845" s="3"/>
      <c r="L845" s="19"/>
    </row>
    <row r="846" spans="1:12">
      <c r="A846" s="3" t="s">
        <v>514</v>
      </c>
      <c r="B846" t="str">
        <f>IF(_xlfn.XLOOKUP(A846,PARAMETROS!A:A,PARAMETROS!B:B)=0,"",_xlfn.XLOOKUP(A846,PARAMETROS!A:A,PARAMETROS!B:B))</f>
        <v>012009005012</v>
      </c>
      <c r="C846">
        <f>IF(_xlfn.XLOOKUP(A846,PARAMETROS!A:A,PARAMETROS!C:C)=0,"",_xlfn.XLOOKUP(A846,PARAMETROS!A:A,PARAMETROS!C:C))</f>
        <v>20</v>
      </c>
      <c r="D846">
        <f>IF(_xlfn.XLOOKUP(A846,PARAMETROS!A:A,PARAMETROS!D:D)=0,"",_xlfn.XLOOKUP(A846,PARAMETROS!A:A,PARAMETROS!D:D))</f>
        <v>2</v>
      </c>
      <c r="E846" t="str">
        <f>IF(_xlfn.XLOOKUP('PREENCHIMENTO|LETIVAS'!A846,PARAMETROS!A:A,PARAMETROS!I:I)=0,"",_xlfn.XLOOKUP('PREENCHIMENTO|LETIVAS'!A846,PARAMETROS!A:A,PARAMETROS!I:I))</f>
        <v>PROFESSOR DE ENSINO SUPERIOR EAD</v>
      </c>
      <c r="F846" s="3" t="s">
        <v>53</v>
      </c>
      <c r="G846" s="3" t="s">
        <v>54</v>
      </c>
      <c r="H846" s="3" t="s">
        <v>32</v>
      </c>
      <c r="I846" s="3" t="s">
        <v>40</v>
      </c>
      <c r="J846" s="3" t="s">
        <v>1413</v>
      </c>
      <c r="K846" s="3"/>
      <c r="L846" s="19"/>
    </row>
    <row r="847" spans="1:12">
      <c r="A847" s="3" t="s">
        <v>778</v>
      </c>
      <c r="B847" t="str">
        <f>IF(_xlfn.XLOOKUP(A847,PARAMETROS!A:A,PARAMETROS!B:B)=0,"",_xlfn.XLOOKUP(A847,PARAMETROS!A:A,PARAMETROS!B:B))</f>
        <v>012009006162</v>
      </c>
      <c r="C847">
        <f>IF(_xlfn.XLOOKUP(A847,PARAMETROS!A:A,PARAMETROS!C:C)=0,"",_xlfn.XLOOKUP(A847,PARAMETROS!A:A,PARAMETROS!C:C))</f>
        <v>40</v>
      </c>
      <c r="D847" t="str">
        <f>IF(_xlfn.XLOOKUP(A847,PARAMETROS!A:A,PARAMETROS!D:D)=0,"",_xlfn.XLOOKUP(A847,PARAMETROS!A:A,PARAMETROS!D:D))</f>
        <v/>
      </c>
      <c r="E847" t="str">
        <f>IF(_xlfn.XLOOKUP('PREENCHIMENTO|LETIVAS'!A847,PARAMETROS!A:A,PARAMETROS!I:I)=0,"",_xlfn.XLOOKUP('PREENCHIMENTO|LETIVAS'!A847,PARAMETROS!A:A,PARAMETROS!I:I))</f>
        <v>TUTOR FACILITADOR ONLINE</v>
      </c>
      <c r="F847" s="3" t="s">
        <v>53</v>
      </c>
      <c r="G847" s="3" t="s">
        <v>54</v>
      </c>
      <c r="H847" s="3" t="s">
        <v>32</v>
      </c>
      <c r="I847" s="3" t="s">
        <v>33</v>
      </c>
      <c r="J847" s="3" t="s">
        <v>1628</v>
      </c>
      <c r="K847" s="3"/>
      <c r="L847" s="19"/>
    </row>
    <row r="848" spans="1:12">
      <c r="A848" s="3" t="s">
        <v>778</v>
      </c>
      <c r="B848" t="str">
        <f>IF(_xlfn.XLOOKUP(A848,PARAMETROS!A:A,PARAMETROS!B:B)=0,"",_xlfn.XLOOKUP(A848,PARAMETROS!A:A,PARAMETROS!B:B))</f>
        <v>012009006162</v>
      </c>
      <c r="C848">
        <f>IF(_xlfn.XLOOKUP(A848,PARAMETROS!A:A,PARAMETROS!C:C)=0,"",_xlfn.XLOOKUP(A848,PARAMETROS!A:A,PARAMETROS!C:C))</f>
        <v>40</v>
      </c>
      <c r="D848" t="str">
        <f>IF(_xlfn.XLOOKUP(A848,PARAMETROS!A:A,PARAMETROS!D:D)=0,"",_xlfn.XLOOKUP(A848,PARAMETROS!A:A,PARAMETROS!D:D))</f>
        <v/>
      </c>
      <c r="E848" t="str">
        <f>IF(_xlfn.XLOOKUP('PREENCHIMENTO|LETIVAS'!A848,PARAMETROS!A:A,PARAMETROS!I:I)=0,"",_xlfn.XLOOKUP('PREENCHIMENTO|LETIVAS'!A848,PARAMETROS!A:A,PARAMETROS!I:I))</f>
        <v>TUTOR FACILITADOR ONLINE</v>
      </c>
      <c r="F848" s="3" t="s">
        <v>53</v>
      </c>
      <c r="G848" s="3">
        <v>2</v>
      </c>
      <c r="H848" s="3" t="s">
        <v>55</v>
      </c>
      <c r="I848" s="3" t="s">
        <v>33</v>
      </c>
      <c r="J848" s="3" t="s">
        <v>1414</v>
      </c>
      <c r="K848" s="3"/>
      <c r="L848" s="19"/>
    </row>
    <row r="849" spans="1:12">
      <c r="A849" s="3" t="s">
        <v>778</v>
      </c>
      <c r="B849" t="str">
        <f>IF(_xlfn.XLOOKUP(A849,PARAMETROS!A:A,PARAMETROS!B:B)=0,"",_xlfn.XLOOKUP(A849,PARAMETROS!A:A,PARAMETROS!B:B))</f>
        <v>012009006162</v>
      </c>
      <c r="C849">
        <f>IF(_xlfn.XLOOKUP(A849,PARAMETROS!A:A,PARAMETROS!C:C)=0,"",_xlfn.XLOOKUP(A849,PARAMETROS!A:A,PARAMETROS!C:C))</f>
        <v>40</v>
      </c>
      <c r="D849" t="str">
        <f>IF(_xlfn.XLOOKUP(A849,PARAMETROS!A:A,PARAMETROS!D:D)=0,"",_xlfn.XLOOKUP(A849,PARAMETROS!A:A,PARAMETROS!D:D))</f>
        <v/>
      </c>
      <c r="E849" t="str">
        <f>IF(_xlfn.XLOOKUP('PREENCHIMENTO|LETIVAS'!A849,PARAMETROS!A:A,PARAMETROS!I:I)=0,"",_xlfn.XLOOKUP('PREENCHIMENTO|LETIVAS'!A849,PARAMETROS!A:A,PARAMETROS!I:I))</f>
        <v>TUTOR FACILITADOR ONLINE</v>
      </c>
      <c r="F849" s="3" t="s">
        <v>53</v>
      </c>
      <c r="G849" s="3">
        <v>1</v>
      </c>
      <c r="H849" s="3" t="s">
        <v>55</v>
      </c>
      <c r="I849" s="3" t="s">
        <v>40</v>
      </c>
      <c r="J849" s="3" t="s">
        <v>1629</v>
      </c>
      <c r="K849" s="3"/>
      <c r="L849" s="19"/>
    </row>
    <row r="850" spans="1:12">
      <c r="A850" s="3" t="s">
        <v>438</v>
      </c>
      <c r="B850" t="str">
        <f>IF(_xlfn.XLOOKUP(A850,PARAMETROS!A:A,PARAMETROS!B:B)=0,"",_xlfn.XLOOKUP(A850,PARAMETROS!A:A,PARAMETROS!B:B))</f>
        <v>012009005913</v>
      </c>
      <c r="C850">
        <f>IF(_xlfn.XLOOKUP(A850,PARAMETROS!A:A,PARAMETROS!C:C)=0,"",_xlfn.XLOOKUP(A850,PARAMETROS!A:A,PARAMETROS!C:C))</f>
        <v>20</v>
      </c>
      <c r="D850">
        <f>IF(_xlfn.XLOOKUP(A850,PARAMETROS!A:A,PARAMETROS!D:D)=0,"",_xlfn.XLOOKUP(A850,PARAMETROS!A:A,PARAMETROS!D:D))</f>
        <v>2</v>
      </c>
      <c r="E850" t="str">
        <f>IF(_xlfn.XLOOKUP('PREENCHIMENTO|LETIVAS'!A850,PARAMETROS!A:A,PARAMETROS!I:I)=0,"",_xlfn.XLOOKUP('PREENCHIMENTO|LETIVAS'!A850,PARAMETROS!A:A,PARAMETROS!I:I))</f>
        <v>PROFESSOR DE ENSINO SUPERIOR EAD</v>
      </c>
      <c r="F850" s="3" t="s">
        <v>53</v>
      </c>
      <c r="G850" s="3" t="s">
        <v>54</v>
      </c>
      <c r="H850" s="3" t="s">
        <v>32</v>
      </c>
      <c r="I850" s="3" t="s">
        <v>40</v>
      </c>
      <c r="J850" s="3" t="s">
        <v>1025</v>
      </c>
      <c r="K850" s="3"/>
      <c r="L850" s="19"/>
    </row>
    <row r="851" spans="1:12">
      <c r="A851" s="3" t="s">
        <v>352</v>
      </c>
      <c r="B851" t="str">
        <f>IF(_xlfn.XLOOKUP(A851,PARAMETROS!A:A,PARAMETROS!B:B)=0,"",_xlfn.XLOOKUP(A851,PARAMETROS!A:A,PARAMETROS!B:B))</f>
        <v>012009000104</v>
      </c>
      <c r="C851">
        <f>IF(_xlfn.XLOOKUP(A851,PARAMETROS!A:A,PARAMETROS!C:C)=0,"",_xlfn.XLOOKUP(A851,PARAMETROS!A:A,PARAMETROS!C:C))</f>
        <v>20</v>
      </c>
      <c r="D851">
        <f>IF(_xlfn.XLOOKUP(A851,PARAMETROS!A:A,PARAMETROS!D:D)=0,"",_xlfn.XLOOKUP(A851,PARAMETROS!A:A,PARAMETROS!D:D))</f>
        <v>2</v>
      </c>
      <c r="E851" t="str">
        <f>IF(_xlfn.XLOOKUP('PREENCHIMENTO|LETIVAS'!A851,PARAMETROS!A:A,PARAMETROS!I:I)=0,"",_xlfn.XLOOKUP('PREENCHIMENTO|LETIVAS'!A851,PARAMETROS!A:A,PARAMETROS!I:I))</f>
        <v>PROFESSOR DE ENSINO SUPERIOR EAD</v>
      </c>
      <c r="F851" s="3" t="s">
        <v>53</v>
      </c>
      <c r="G851" s="3" t="s">
        <v>54</v>
      </c>
      <c r="H851" s="3" t="s">
        <v>55</v>
      </c>
      <c r="I851" s="3" t="s">
        <v>40</v>
      </c>
      <c r="J851" s="3" t="s">
        <v>1630</v>
      </c>
      <c r="K851" s="3"/>
      <c r="L851" s="19"/>
    </row>
    <row r="852" spans="1:12">
      <c r="A852" s="3" t="s">
        <v>240</v>
      </c>
      <c r="B852" t="str">
        <f>IF(_xlfn.XLOOKUP(A852,PARAMETROS!A:A,PARAMETROS!B:B)=0,"",_xlfn.XLOOKUP(A852,PARAMETROS!A:A,PARAMETROS!B:B))</f>
        <v>012009006183</v>
      </c>
      <c r="C852">
        <f>IF(_xlfn.XLOOKUP(A852,PARAMETROS!A:A,PARAMETROS!C:C)=0,"",_xlfn.XLOOKUP(A852,PARAMETROS!A:A,PARAMETROS!C:C))</f>
        <v>12</v>
      </c>
      <c r="D852">
        <f>IF(_xlfn.XLOOKUP(A852,PARAMETROS!A:A,PARAMETROS!D:D)=0,"",_xlfn.XLOOKUP(A852,PARAMETROS!A:A,PARAMETROS!D:D))</f>
        <v>9</v>
      </c>
      <c r="E852" t="str">
        <f>IF(_xlfn.XLOOKUP('PREENCHIMENTO|LETIVAS'!A852,PARAMETROS!A:A,PARAMETROS!I:I)=0,"",_xlfn.XLOOKUP('PREENCHIMENTO|LETIVAS'!A852,PARAMETROS!A:A,PARAMETROS!I:I))</f>
        <v>PROFESSOR REGENTE</v>
      </c>
      <c r="F852" s="3" t="s">
        <v>53</v>
      </c>
      <c r="G852" s="3">
        <v>1</v>
      </c>
      <c r="H852" s="3" t="s">
        <v>63</v>
      </c>
      <c r="I852" s="3" t="s">
        <v>33</v>
      </c>
      <c r="J852" s="3" t="s">
        <v>983</v>
      </c>
      <c r="K852" s="3"/>
      <c r="L852" s="19"/>
    </row>
    <row r="853" spans="1:12">
      <c r="A853" s="3" t="s">
        <v>261</v>
      </c>
      <c r="B853" t="str">
        <f>IF(_xlfn.XLOOKUP(A853,PARAMETROS!A:A,PARAMETROS!B:B)=0,"",_xlfn.XLOOKUP(A853,PARAMETROS!A:A,PARAMETROS!B:B))</f>
        <v>012009005037</v>
      </c>
      <c r="C853">
        <f>IF(_xlfn.XLOOKUP(A853,PARAMETROS!A:A,PARAMETROS!C:C)=0,"",_xlfn.XLOOKUP(A853,PARAMETROS!A:A,PARAMETROS!C:C))</f>
        <v>40</v>
      </c>
      <c r="D853">
        <f>IF(_xlfn.XLOOKUP(A853,PARAMETROS!A:A,PARAMETROS!D:D)=0,"",_xlfn.XLOOKUP(A853,PARAMETROS!A:A,PARAMETROS!D:D))</f>
        <v>4</v>
      </c>
      <c r="E853" t="str">
        <f>IF(_xlfn.XLOOKUP('PREENCHIMENTO|LETIVAS'!A853,PARAMETROS!A:A,PARAMETROS!I:I)=0,"",_xlfn.XLOOKUP('PREENCHIMENTO|LETIVAS'!A853,PARAMETROS!A:A,PARAMETROS!I:I))</f>
        <v>PROFESSOR DE ENSINO SUPERIOR EAD</v>
      </c>
      <c r="F853" s="3" t="s">
        <v>53</v>
      </c>
      <c r="G853" s="3">
        <v>2</v>
      </c>
      <c r="H853" s="3" t="s">
        <v>63</v>
      </c>
      <c r="I853" s="3" t="s">
        <v>33</v>
      </c>
      <c r="J853" s="3" t="s">
        <v>1631</v>
      </c>
      <c r="K853" s="3"/>
      <c r="L853" s="19"/>
    </row>
    <row r="854" spans="1:12">
      <c r="A854" s="3" t="s">
        <v>261</v>
      </c>
      <c r="B854" t="str">
        <f>IF(_xlfn.XLOOKUP(A854,PARAMETROS!A:A,PARAMETROS!B:B)=0,"",_xlfn.XLOOKUP(A854,PARAMETROS!A:A,PARAMETROS!B:B))</f>
        <v>012009005037</v>
      </c>
      <c r="C854">
        <f>IF(_xlfn.XLOOKUP(A854,PARAMETROS!A:A,PARAMETROS!C:C)=0,"",_xlfn.XLOOKUP(A854,PARAMETROS!A:A,PARAMETROS!C:C))</f>
        <v>40</v>
      </c>
      <c r="D854">
        <f>IF(_xlfn.XLOOKUP(A854,PARAMETROS!A:A,PARAMETROS!D:D)=0,"",_xlfn.XLOOKUP(A854,PARAMETROS!A:A,PARAMETROS!D:D))</f>
        <v>4</v>
      </c>
      <c r="E854" t="str">
        <f>IF(_xlfn.XLOOKUP('PREENCHIMENTO|LETIVAS'!A854,PARAMETROS!A:A,PARAMETROS!I:I)=0,"",_xlfn.XLOOKUP('PREENCHIMENTO|LETIVAS'!A854,PARAMETROS!A:A,PARAMETROS!I:I))</f>
        <v>PROFESSOR DE ENSINO SUPERIOR EAD</v>
      </c>
      <c r="F854" s="3" t="s">
        <v>53</v>
      </c>
      <c r="G854" s="3">
        <v>1</v>
      </c>
      <c r="H854" s="3" t="s">
        <v>63</v>
      </c>
      <c r="I854" s="3" t="s">
        <v>40</v>
      </c>
      <c r="J854" s="3" t="s">
        <v>1632</v>
      </c>
      <c r="K854" s="3"/>
      <c r="L854" s="19"/>
    </row>
    <row r="855" spans="1:12">
      <c r="A855" s="3" t="s">
        <v>703</v>
      </c>
      <c r="B855" t="str">
        <f>IF(_xlfn.XLOOKUP(A855,PARAMETROS!A:A,PARAMETROS!B:B)=0,"",_xlfn.XLOOKUP(A855,PARAMETROS!A:A,PARAMETROS!B:B))</f>
        <v>012009006333</v>
      </c>
      <c r="C855">
        <f>IF(_xlfn.XLOOKUP(A855,PARAMETROS!A:A,PARAMETROS!C:C)=0,"",_xlfn.XLOOKUP(A855,PARAMETROS!A:A,PARAMETROS!C:C))</f>
        <v>12</v>
      </c>
      <c r="D855">
        <f>IF(_xlfn.XLOOKUP(A855,PARAMETROS!A:A,PARAMETROS!D:D)=0,"",_xlfn.XLOOKUP(A855,PARAMETROS!A:A,PARAMETROS!D:D))</f>
        <v>9</v>
      </c>
      <c r="E855" t="str">
        <f>IF(_xlfn.XLOOKUP('PREENCHIMENTO|LETIVAS'!A855,PARAMETROS!A:A,PARAMETROS!I:I)=0,"",_xlfn.XLOOKUP('PREENCHIMENTO|LETIVAS'!A855,PARAMETROS!A:A,PARAMETROS!I:I))</f>
        <v>PROFESSOR REGENTE</v>
      </c>
      <c r="F855" s="3" t="s">
        <v>53</v>
      </c>
      <c r="G855" s="3">
        <v>1</v>
      </c>
      <c r="H855" s="3" t="s">
        <v>63</v>
      </c>
      <c r="I855" s="3" t="s">
        <v>40</v>
      </c>
      <c r="J855" s="3" t="s">
        <v>1633</v>
      </c>
      <c r="K855" s="3"/>
      <c r="L855" s="19"/>
    </row>
    <row r="856" spans="1:12">
      <c r="A856" s="3" t="s">
        <v>703</v>
      </c>
      <c r="B856" t="str">
        <f>IF(_xlfn.XLOOKUP(A856,PARAMETROS!A:A,PARAMETROS!B:B)=0,"",_xlfn.XLOOKUP(A856,PARAMETROS!A:A,PARAMETROS!B:B))</f>
        <v>012009006333</v>
      </c>
      <c r="C856">
        <f>IF(_xlfn.XLOOKUP(A856,PARAMETROS!A:A,PARAMETROS!C:C)=0,"",_xlfn.XLOOKUP(A856,PARAMETROS!A:A,PARAMETROS!C:C))</f>
        <v>12</v>
      </c>
      <c r="D856">
        <f>IF(_xlfn.XLOOKUP(A856,PARAMETROS!A:A,PARAMETROS!D:D)=0,"",_xlfn.XLOOKUP(A856,PARAMETROS!A:A,PARAMETROS!D:D))</f>
        <v>9</v>
      </c>
      <c r="E856" t="str">
        <f>IF(_xlfn.XLOOKUP('PREENCHIMENTO|LETIVAS'!A856,PARAMETROS!A:A,PARAMETROS!I:I)=0,"",_xlfn.XLOOKUP('PREENCHIMENTO|LETIVAS'!A856,PARAMETROS!A:A,PARAMETROS!I:I))</f>
        <v>PROFESSOR REGENTE</v>
      </c>
      <c r="F856" s="3" t="s">
        <v>53</v>
      </c>
      <c r="G856" s="3">
        <v>2</v>
      </c>
      <c r="H856" s="3" t="s">
        <v>63</v>
      </c>
      <c r="I856" s="3" t="s">
        <v>40</v>
      </c>
      <c r="J856" s="3" t="s">
        <v>1634</v>
      </c>
      <c r="K856" s="3"/>
      <c r="L856" s="19"/>
    </row>
    <row r="857" spans="1:12">
      <c r="A857" s="3" t="s">
        <v>629</v>
      </c>
      <c r="B857" t="str">
        <f>IF(_xlfn.XLOOKUP(A857,PARAMETROS!A:A,PARAMETROS!B:B)=0,"",_xlfn.XLOOKUP(A857,PARAMETROS!A:A,PARAMETROS!B:B))</f>
        <v>012009006299</v>
      </c>
      <c r="C857">
        <f>IF(_xlfn.XLOOKUP(A857,PARAMETROS!A:A,PARAMETROS!C:C)=0,"",_xlfn.XLOOKUP(A857,PARAMETROS!A:A,PARAMETROS!C:C))</f>
        <v>12</v>
      </c>
      <c r="D857">
        <f>IF(_xlfn.XLOOKUP(A857,PARAMETROS!A:A,PARAMETROS!D:D)=0,"",_xlfn.XLOOKUP(A857,PARAMETROS!A:A,PARAMETROS!D:D))</f>
        <v>9</v>
      </c>
      <c r="E857" t="str">
        <f>IF(_xlfn.XLOOKUP('PREENCHIMENTO|LETIVAS'!A857,PARAMETROS!A:A,PARAMETROS!I:I)=0,"",_xlfn.XLOOKUP('PREENCHIMENTO|LETIVAS'!A857,PARAMETROS!A:A,PARAMETROS!I:I))</f>
        <v>PROFESSOR REGENTE</v>
      </c>
      <c r="F857" s="3" t="s">
        <v>53</v>
      </c>
      <c r="G857" s="3" t="s">
        <v>54</v>
      </c>
      <c r="H857" s="3" t="s">
        <v>55</v>
      </c>
      <c r="I857" s="3" t="s">
        <v>40</v>
      </c>
      <c r="J857" s="3" t="s">
        <v>1635</v>
      </c>
      <c r="K857" s="3"/>
      <c r="L857" s="19"/>
    </row>
    <row r="858" spans="1:12">
      <c r="A858" s="3" t="s">
        <v>629</v>
      </c>
      <c r="B858" t="str">
        <f>IF(_xlfn.XLOOKUP(A858,PARAMETROS!A:A,PARAMETROS!B:B)=0,"",_xlfn.XLOOKUP(A858,PARAMETROS!A:A,PARAMETROS!B:B))</f>
        <v>012009006299</v>
      </c>
      <c r="C858">
        <f>IF(_xlfn.XLOOKUP(A858,PARAMETROS!A:A,PARAMETROS!C:C)=0,"",_xlfn.XLOOKUP(A858,PARAMETROS!A:A,PARAMETROS!C:C))</f>
        <v>12</v>
      </c>
      <c r="D858">
        <f>IF(_xlfn.XLOOKUP(A858,PARAMETROS!A:A,PARAMETROS!D:D)=0,"",_xlfn.XLOOKUP(A858,PARAMETROS!A:A,PARAMETROS!D:D))</f>
        <v>9</v>
      </c>
      <c r="E858" t="str">
        <f>IF(_xlfn.XLOOKUP('PREENCHIMENTO|LETIVAS'!A858,PARAMETROS!A:A,PARAMETROS!I:I)=0,"",_xlfn.XLOOKUP('PREENCHIMENTO|LETIVAS'!A858,PARAMETROS!A:A,PARAMETROS!I:I))</f>
        <v>PROFESSOR REGENTE</v>
      </c>
      <c r="F858" s="3" t="s">
        <v>53</v>
      </c>
      <c r="G858" s="3" t="s">
        <v>54</v>
      </c>
      <c r="H858" s="3" t="s">
        <v>55</v>
      </c>
      <c r="I858" s="3" t="s">
        <v>33</v>
      </c>
      <c r="J858" s="3" t="s">
        <v>1636</v>
      </c>
      <c r="K858" s="3"/>
      <c r="L858" s="19"/>
    </row>
    <row r="859" spans="1:12">
      <c r="A859" s="3" t="s">
        <v>644</v>
      </c>
      <c r="B859" t="str">
        <f>IF(_xlfn.XLOOKUP(A859,PARAMETROS!A:A,PARAMETROS!B:B)=0,"",_xlfn.XLOOKUP(A859,PARAMETROS!A:A,PARAMETROS!B:B))</f>
        <v>012009006281</v>
      </c>
      <c r="C859">
        <f>IF(_xlfn.XLOOKUP(A859,PARAMETROS!A:A,PARAMETROS!C:C)=0,"",_xlfn.XLOOKUP(A859,PARAMETROS!A:A,PARAMETROS!C:C))</f>
        <v>12</v>
      </c>
      <c r="D859">
        <f>IF(_xlfn.XLOOKUP(A859,PARAMETROS!A:A,PARAMETROS!D:D)=0,"",_xlfn.XLOOKUP(A859,PARAMETROS!A:A,PARAMETROS!D:D))</f>
        <v>9</v>
      </c>
      <c r="E859" t="str">
        <f>IF(_xlfn.XLOOKUP('PREENCHIMENTO|LETIVAS'!A859,PARAMETROS!A:A,PARAMETROS!I:I)=0,"",_xlfn.XLOOKUP('PREENCHIMENTO|LETIVAS'!A859,PARAMETROS!A:A,PARAMETROS!I:I))</f>
        <v>PROFESSOR REGENTE</v>
      </c>
      <c r="F859" s="3" t="s">
        <v>53</v>
      </c>
      <c r="G859" s="3" t="s">
        <v>54</v>
      </c>
      <c r="H859" s="3" t="s">
        <v>55</v>
      </c>
      <c r="I859" s="3" t="s">
        <v>40</v>
      </c>
      <c r="J859" s="3" t="s">
        <v>1637</v>
      </c>
      <c r="K859" s="3"/>
      <c r="L859" s="19"/>
    </row>
    <row r="860" spans="1:12">
      <c r="A860" s="3" t="s">
        <v>644</v>
      </c>
      <c r="B860" t="str">
        <f>IF(_xlfn.XLOOKUP(A860,PARAMETROS!A:A,PARAMETROS!B:B)=0,"",_xlfn.XLOOKUP(A860,PARAMETROS!A:A,PARAMETROS!B:B))</f>
        <v>012009006281</v>
      </c>
      <c r="C860">
        <f>IF(_xlfn.XLOOKUP(A860,PARAMETROS!A:A,PARAMETROS!C:C)=0,"",_xlfn.XLOOKUP(A860,PARAMETROS!A:A,PARAMETROS!C:C))</f>
        <v>12</v>
      </c>
      <c r="D860">
        <f>IF(_xlfn.XLOOKUP(A860,PARAMETROS!A:A,PARAMETROS!D:D)=0,"",_xlfn.XLOOKUP(A860,PARAMETROS!A:A,PARAMETROS!D:D))</f>
        <v>9</v>
      </c>
      <c r="E860" t="str">
        <f>IF(_xlfn.XLOOKUP('PREENCHIMENTO|LETIVAS'!A860,PARAMETROS!A:A,PARAMETROS!I:I)=0,"",_xlfn.XLOOKUP('PREENCHIMENTO|LETIVAS'!A860,PARAMETROS!A:A,PARAMETROS!I:I))</f>
        <v>PROFESSOR REGENTE</v>
      </c>
      <c r="F860" s="3" t="s">
        <v>53</v>
      </c>
      <c r="G860" s="3" t="s">
        <v>54</v>
      </c>
      <c r="H860" s="3" t="s">
        <v>55</v>
      </c>
      <c r="I860" s="3" t="s">
        <v>33</v>
      </c>
      <c r="J860" s="3" t="s">
        <v>1638</v>
      </c>
      <c r="K860" s="3"/>
      <c r="L860" s="19"/>
    </row>
    <row r="861" spans="1:12">
      <c r="A861" s="3" t="s">
        <v>192</v>
      </c>
      <c r="B861" t="str">
        <f>IF(_xlfn.XLOOKUP(A861,PARAMETROS!A:A,PARAMETROS!B:B)=0,"",_xlfn.XLOOKUP(A861,PARAMETROS!A:A,PARAMETROS!B:B))</f>
        <v>012009006205</v>
      </c>
      <c r="C861">
        <f>IF(_xlfn.XLOOKUP(A861,PARAMETROS!A:A,PARAMETROS!C:C)=0,"",_xlfn.XLOOKUP(A861,PARAMETROS!A:A,PARAMETROS!C:C))</f>
        <v>12</v>
      </c>
      <c r="D861">
        <f>IF(_xlfn.XLOOKUP(A861,PARAMETROS!A:A,PARAMETROS!D:D)=0,"",_xlfn.XLOOKUP(A861,PARAMETROS!A:A,PARAMETROS!D:D))</f>
        <v>9</v>
      </c>
      <c r="E861" t="str">
        <f>IF(_xlfn.XLOOKUP('PREENCHIMENTO|LETIVAS'!A861,PARAMETROS!A:A,PARAMETROS!I:I)=0,"",_xlfn.XLOOKUP('PREENCHIMENTO|LETIVAS'!A861,PARAMETROS!A:A,PARAMETROS!I:I))</f>
        <v>PROFESSOR REGENTE</v>
      </c>
      <c r="F861" s="3" t="s">
        <v>53</v>
      </c>
      <c r="G861" s="3">
        <v>2</v>
      </c>
      <c r="H861" s="3" t="s">
        <v>39</v>
      </c>
      <c r="I861" s="3" t="s">
        <v>33</v>
      </c>
      <c r="J861" s="3" t="s">
        <v>894</v>
      </c>
      <c r="K861" s="3"/>
      <c r="L861" s="19"/>
    </row>
    <row r="862" spans="1:12">
      <c r="A862" s="3" t="s">
        <v>611</v>
      </c>
      <c r="B862" t="str">
        <f>IF(_xlfn.XLOOKUP(A862,PARAMETROS!A:A,PARAMETROS!B:B)=0,"",_xlfn.XLOOKUP(A862,PARAMETROS!A:A,PARAMETROS!B:B))</f>
        <v>012009006314</v>
      </c>
      <c r="C862">
        <f>IF(_xlfn.XLOOKUP(A862,PARAMETROS!A:A,PARAMETROS!C:C)=0,"",_xlfn.XLOOKUP(A862,PARAMETROS!A:A,PARAMETROS!C:C))</f>
        <v>12</v>
      </c>
      <c r="D862">
        <f>IF(_xlfn.XLOOKUP(A862,PARAMETROS!A:A,PARAMETROS!D:D)=0,"",_xlfn.XLOOKUP(A862,PARAMETROS!A:A,PARAMETROS!D:D))</f>
        <v>9</v>
      </c>
      <c r="E862" t="str">
        <f>IF(_xlfn.XLOOKUP('PREENCHIMENTO|LETIVAS'!A862,PARAMETROS!A:A,PARAMETROS!I:I)=0,"",_xlfn.XLOOKUP('PREENCHIMENTO|LETIVAS'!A862,PARAMETROS!A:A,PARAMETROS!I:I))</f>
        <v>PROFESSOR REGENTE</v>
      </c>
      <c r="F862" s="3" t="s">
        <v>53</v>
      </c>
      <c r="G862" s="3">
        <v>1</v>
      </c>
      <c r="H862" s="3" t="s">
        <v>39</v>
      </c>
      <c r="I862" s="3" t="s">
        <v>40</v>
      </c>
      <c r="J862" s="3" t="s">
        <v>1639</v>
      </c>
      <c r="K862" s="3"/>
      <c r="L862" s="19"/>
    </row>
    <row r="863" spans="1:12">
      <c r="A863" s="3" t="s">
        <v>611</v>
      </c>
      <c r="B863" t="str">
        <f>IF(_xlfn.XLOOKUP(A863,PARAMETROS!A:A,PARAMETROS!B:B)=0,"",_xlfn.XLOOKUP(A863,PARAMETROS!A:A,PARAMETROS!B:B))</f>
        <v>012009006314</v>
      </c>
      <c r="C863">
        <f>IF(_xlfn.XLOOKUP(A863,PARAMETROS!A:A,PARAMETROS!C:C)=0,"",_xlfn.XLOOKUP(A863,PARAMETROS!A:A,PARAMETROS!C:C))</f>
        <v>12</v>
      </c>
      <c r="D863">
        <f>IF(_xlfn.XLOOKUP(A863,PARAMETROS!A:A,PARAMETROS!D:D)=0,"",_xlfn.XLOOKUP(A863,PARAMETROS!A:A,PARAMETROS!D:D))</f>
        <v>9</v>
      </c>
      <c r="E863" t="str">
        <f>IF(_xlfn.XLOOKUP('PREENCHIMENTO|LETIVAS'!A863,PARAMETROS!A:A,PARAMETROS!I:I)=0,"",_xlfn.XLOOKUP('PREENCHIMENTO|LETIVAS'!A863,PARAMETROS!A:A,PARAMETROS!I:I))</f>
        <v>PROFESSOR REGENTE</v>
      </c>
      <c r="F863" s="3" t="s">
        <v>53</v>
      </c>
      <c r="G863" s="3">
        <v>2</v>
      </c>
      <c r="H863" s="3" t="s">
        <v>39</v>
      </c>
      <c r="I863" s="3" t="s">
        <v>40</v>
      </c>
      <c r="J863" s="3" t="s">
        <v>1640</v>
      </c>
      <c r="K863" s="3"/>
      <c r="L863" s="19"/>
    </row>
    <row r="864" spans="1:12">
      <c r="A864" s="3" t="s">
        <v>679</v>
      </c>
      <c r="B864" t="str">
        <f>IF(_xlfn.XLOOKUP(A864,PARAMETROS!A:A,PARAMETROS!B:B)=0,"",_xlfn.XLOOKUP(A864,PARAMETROS!A:A,PARAMETROS!B:B))</f>
        <v>012009005440</v>
      </c>
      <c r="C864" t="str">
        <f>IF(_xlfn.XLOOKUP(A864,PARAMETROS!A:A,PARAMETROS!C:C)=0,"",_xlfn.XLOOKUP(A864,PARAMETROS!A:A,PARAMETROS!C:C))</f>
        <v/>
      </c>
      <c r="D864" t="str">
        <f>IF(_xlfn.XLOOKUP(A864,PARAMETROS!A:A,PARAMETROS!D:D)=0,"",_xlfn.XLOOKUP(A864,PARAMETROS!A:A,PARAMETROS!D:D))</f>
        <v/>
      </c>
      <c r="E864" t="str">
        <f>IF(_xlfn.XLOOKUP('PREENCHIMENTO|LETIVAS'!A864,PARAMETROS!A:A,PARAMETROS!I:I)=0,"",_xlfn.XLOOKUP('PREENCHIMENTO|LETIVAS'!A864,PARAMETROS!A:A,PARAMETROS!I:I))</f>
        <v>PROFESSOR DE ENSINO SUPERIOR PRESENCIAL</v>
      </c>
      <c r="F864" s="3" t="s">
        <v>53</v>
      </c>
      <c r="G864" s="3">
        <v>2</v>
      </c>
      <c r="H864" s="3" t="s">
        <v>32</v>
      </c>
      <c r="I864" s="3" t="s">
        <v>40</v>
      </c>
      <c r="J864" s="3" t="s">
        <v>1641</v>
      </c>
      <c r="K864" s="3"/>
      <c r="L864" s="19"/>
    </row>
    <row r="865" spans="1:12">
      <c r="A865" s="3" t="s">
        <v>279</v>
      </c>
      <c r="B865" t="str">
        <f>IF(_xlfn.XLOOKUP(A865,PARAMETROS!A:A,PARAMETROS!B:B)=0,"",_xlfn.XLOOKUP(A865,PARAMETROS!A:A,PARAMETROS!B:B))</f>
        <v>012009006189</v>
      </c>
      <c r="C865">
        <f>IF(_xlfn.XLOOKUP(A865,PARAMETROS!A:A,PARAMETROS!C:C)=0,"",_xlfn.XLOOKUP(A865,PARAMETROS!A:A,PARAMETROS!C:C))</f>
        <v>12</v>
      </c>
      <c r="D865">
        <f>IF(_xlfn.XLOOKUP(A865,PARAMETROS!A:A,PARAMETROS!D:D)=0,"",_xlfn.XLOOKUP(A865,PARAMETROS!A:A,PARAMETROS!D:D))</f>
        <v>9</v>
      </c>
      <c r="E865" t="str">
        <f>IF(_xlfn.XLOOKUP('PREENCHIMENTO|LETIVAS'!A865,PARAMETROS!A:A,PARAMETROS!I:I)=0,"",_xlfn.XLOOKUP('PREENCHIMENTO|LETIVAS'!A865,PARAMETROS!A:A,PARAMETROS!I:I))</f>
        <v>PROFESSOR REGENTE</v>
      </c>
      <c r="F865" s="3" t="s">
        <v>53</v>
      </c>
      <c r="G865" s="3" t="s">
        <v>54</v>
      </c>
      <c r="H865" s="3" t="s">
        <v>55</v>
      </c>
      <c r="I865" s="3" t="s">
        <v>40</v>
      </c>
      <c r="J865" s="3" t="s">
        <v>1642</v>
      </c>
      <c r="K865" s="3"/>
      <c r="L865" s="19"/>
    </row>
    <row r="866" spans="1:12">
      <c r="A866" s="3" t="s">
        <v>484</v>
      </c>
      <c r="B866" t="str">
        <f>IF(_xlfn.XLOOKUP(A866,PARAMETROS!A:A,PARAMETROS!B:B)=0,"",_xlfn.XLOOKUP(A866,PARAMETROS!A:A,PARAMETROS!B:B))</f>
        <v>012009003748</v>
      </c>
      <c r="C866">
        <f>IF(_xlfn.XLOOKUP(A866,PARAMETROS!A:A,PARAMETROS!C:C)=0,"",_xlfn.XLOOKUP(A866,PARAMETROS!A:A,PARAMETROS!C:C))</f>
        <v>20</v>
      </c>
      <c r="D866">
        <f>IF(_xlfn.XLOOKUP(A866,PARAMETROS!A:A,PARAMETROS!D:D)=0,"",_xlfn.XLOOKUP(A866,PARAMETROS!A:A,PARAMETROS!D:D))</f>
        <v>2</v>
      </c>
      <c r="E866" t="str">
        <f>IF(_xlfn.XLOOKUP('PREENCHIMENTO|LETIVAS'!A866,PARAMETROS!A:A,PARAMETROS!I:I)=0,"",_xlfn.XLOOKUP('PREENCHIMENTO|LETIVAS'!A866,PARAMETROS!A:A,PARAMETROS!I:I))</f>
        <v>PROFESSOR DE ENSINO SUPERIOR EAD</v>
      </c>
      <c r="F866" s="3" t="s">
        <v>53</v>
      </c>
      <c r="G866" s="3" t="s">
        <v>54</v>
      </c>
      <c r="H866" s="3" t="s">
        <v>32</v>
      </c>
      <c r="I866" s="3" t="s">
        <v>40</v>
      </c>
      <c r="J866" s="3" t="s">
        <v>1643</v>
      </c>
      <c r="K866" s="3"/>
      <c r="L866" s="19"/>
    </row>
    <row r="867" spans="1:12">
      <c r="A867" s="3" t="s">
        <v>520</v>
      </c>
      <c r="B867" t="str">
        <f>IF(_xlfn.XLOOKUP(A867,PARAMETROS!A:A,PARAMETROS!B:B)=0,"",_xlfn.XLOOKUP(A867,PARAMETROS!A:A,PARAMETROS!B:B))</f>
        <v>012009004226</v>
      </c>
      <c r="C867">
        <f>IF(_xlfn.XLOOKUP(A867,PARAMETROS!A:A,PARAMETROS!C:C)=0,"",_xlfn.XLOOKUP(A867,PARAMETROS!A:A,PARAMETROS!C:C))</f>
        <v>40</v>
      </c>
      <c r="D867">
        <f>IF(_xlfn.XLOOKUP(A867,PARAMETROS!A:A,PARAMETROS!D:D)=0,"",_xlfn.XLOOKUP(A867,PARAMETROS!A:A,PARAMETROS!D:D))</f>
        <v>4</v>
      </c>
      <c r="E867" t="str">
        <f>IF(_xlfn.XLOOKUP('PREENCHIMENTO|LETIVAS'!A867,PARAMETROS!A:A,PARAMETROS!I:I)=0,"",_xlfn.XLOOKUP('PREENCHIMENTO|LETIVAS'!A867,PARAMETROS!A:A,PARAMETROS!I:I))</f>
        <v>PROFESSOR DE ENSINO SUPERIOR EAD</v>
      </c>
      <c r="F867" s="3" t="s">
        <v>53</v>
      </c>
      <c r="G867" s="3">
        <v>2</v>
      </c>
      <c r="H867" s="3" t="s">
        <v>55</v>
      </c>
      <c r="I867" s="3" t="s">
        <v>40</v>
      </c>
      <c r="J867" s="20" t="s">
        <v>1644</v>
      </c>
      <c r="K867" s="3"/>
      <c r="L867" s="19"/>
    </row>
    <row r="868" spans="1:12">
      <c r="A868" s="3" t="s">
        <v>221</v>
      </c>
      <c r="B868" t="str">
        <f>IF(_xlfn.XLOOKUP(A868,PARAMETROS!A:A,PARAMETROS!B:B)=0,"",_xlfn.XLOOKUP(A868,PARAMETROS!A:A,PARAMETROS!B:B))</f>
        <v>012009003393</v>
      </c>
      <c r="C868">
        <f>IF(_xlfn.XLOOKUP(A868,PARAMETROS!A:A,PARAMETROS!C:C)=0,"",_xlfn.XLOOKUP(A868,PARAMETROS!A:A,PARAMETROS!C:C))</f>
        <v>40</v>
      </c>
      <c r="D868">
        <f>IF(_xlfn.XLOOKUP(A868,PARAMETROS!A:A,PARAMETROS!D:D)=0,"",_xlfn.XLOOKUP(A868,PARAMETROS!A:A,PARAMETROS!D:D))</f>
        <v>4</v>
      </c>
      <c r="E868" t="str">
        <f>IF(_xlfn.XLOOKUP('PREENCHIMENTO|LETIVAS'!A868,PARAMETROS!A:A,PARAMETROS!I:I)=0,"",_xlfn.XLOOKUP('PREENCHIMENTO|LETIVAS'!A868,PARAMETROS!A:A,PARAMETROS!I:I))</f>
        <v>PROFESSOR DE ENSINO SUPERIOR EAD</v>
      </c>
      <c r="F868" s="3" t="s">
        <v>53</v>
      </c>
      <c r="G868" s="3">
        <v>2</v>
      </c>
      <c r="H868" s="3" t="s">
        <v>55</v>
      </c>
      <c r="I868" s="3" t="s">
        <v>33</v>
      </c>
      <c r="J868" s="3" t="s">
        <v>1645</v>
      </c>
      <c r="K868" s="3"/>
      <c r="L868" s="19"/>
    </row>
    <row r="869" spans="1:12">
      <c r="A869" s="3" t="s">
        <v>221</v>
      </c>
      <c r="B869" t="str">
        <f>IF(_xlfn.XLOOKUP(A869,PARAMETROS!A:A,PARAMETROS!B:B)=0,"",_xlfn.XLOOKUP(A869,PARAMETROS!A:A,PARAMETROS!B:B))</f>
        <v>012009003393</v>
      </c>
      <c r="C869">
        <f>IF(_xlfn.XLOOKUP(A869,PARAMETROS!A:A,PARAMETROS!C:C)=0,"",_xlfn.XLOOKUP(A869,PARAMETROS!A:A,PARAMETROS!C:C))</f>
        <v>40</v>
      </c>
      <c r="D869">
        <f>IF(_xlfn.XLOOKUP(A869,PARAMETROS!A:A,PARAMETROS!D:D)=0,"",_xlfn.XLOOKUP(A869,PARAMETROS!A:A,PARAMETROS!D:D))</f>
        <v>4</v>
      </c>
      <c r="E869" t="str">
        <f>IF(_xlfn.XLOOKUP('PREENCHIMENTO|LETIVAS'!A869,PARAMETROS!A:A,PARAMETROS!I:I)=0,"",_xlfn.XLOOKUP('PREENCHIMENTO|LETIVAS'!A869,PARAMETROS!A:A,PARAMETROS!I:I))</f>
        <v>PROFESSOR DE ENSINO SUPERIOR EAD</v>
      </c>
      <c r="F869" s="3" t="s">
        <v>53</v>
      </c>
      <c r="G869" s="3">
        <v>1</v>
      </c>
      <c r="H869" s="3" t="s">
        <v>55</v>
      </c>
      <c r="I869" s="3" t="s">
        <v>40</v>
      </c>
      <c r="J869" s="3" t="s">
        <v>1646</v>
      </c>
      <c r="K869" s="3"/>
      <c r="L869" s="19"/>
    </row>
    <row r="870" spans="1:12">
      <c r="A870" s="3" t="s">
        <v>221</v>
      </c>
      <c r="B870" t="str">
        <f>IF(_xlfn.XLOOKUP(A870,PARAMETROS!A:A,PARAMETROS!B:B)=0,"",_xlfn.XLOOKUP(A870,PARAMETROS!A:A,PARAMETROS!B:B))</f>
        <v>012009003393</v>
      </c>
      <c r="C870">
        <f>IF(_xlfn.XLOOKUP(A870,PARAMETROS!A:A,PARAMETROS!C:C)=0,"",_xlfn.XLOOKUP(A870,PARAMETROS!A:A,PARAMETROS!C:C))</f>
        <v>40</v>
      </c>
      <c r="D870">
        <f>IF(_xlfn.XLOOKUP(A870,PARAMETROS!A:A,PARAMETROS!D:D)=0,"",_xlfn.XLOOKUP(A870,PARAMETROS!A:A,PARAMETROS!D:D))</f>
        <v>4</v>
      </c>
      <c r="E870" t="str">
        <f>IF(_xlfn.XLOOKUP('PREENCHIMENTO|LETIVAS'!A870,PARAMETROS!A:A,PARAMETROS!I:I)=0,"",_xlfn.XLOOKUP('PREENCHIMENTO|LETIVAS'!A870,PARAMETROS!A:A,PARAMETROS!I:I))</f>
        <v>PROFESSOR DE ENSINO SUPERIOR EAD</v>
      </c>
      <c r="F870" s="3" t="s">
        <v>53</v>
      </c>
      <c r="G870" s="3" t="s">
        <v>54</v>
      </c>
      <c r="H870" s="3" t="s">
        <v>55</v>
      </c>
      <c r="I870" s="3" t="s">
        <v>40</v>
      </c>
      <c r="J870" s="3" t="s">
        <v>1647</v>
      </c>
      <c r="K870" s="3" t="s">
        <v>1648</v>
      </c>
      <c r="L870" s="19"/>
    </row>
    <row r="871" spans="1:12">
      <c r="A871" s="3" t="s">
        <v>291</v>
      </c>
      <c r="B871" t="str">
        <f>IF(_xlfn.XLOOKUP(A871,PARAMETROS!A:A,PARAMETROS!B:B)=0,"",_xlfn.XLOOKUP(A871,PARAMETROS!A:A,PARAMETROS!B:B))</f>
        <v>012009003555</v>
      </c>
      <c r="C871">
        <f>IF(_xlfn.XLOOKUP(A871,PARAMETROS!A:A,PARAMETROS!C:C)=0,"",_xlfn.XLOOKUP(A871,PARAMETROS!A:A,PARAMETROS!C:C))</f>
        <v>20</v>
      </c>
      <c r="D871">
        <f>IF(_xlfn.XLOOKUP(A871,PARAMETROS!A:A,PARAMETROS!D:D)=0,"",_xlfn.XLOOKUP(A871,PARAMETROS!A:A,PARAMETROS!D:D))</f>
        <v>2</v>
      </c>
      <c r="E871" t="str">
        <f>IF(_xlfn.XLOOKUP('PREENCHIMENTO|LETIVAS'!A871,PARAMETROS!A:A,PARAMETROS!I:I)=0,"",_xlfn.XLOOKUP('PREENCHIMENTO|LETIVAS'!A871,PARAMETROS!A:A,PARAMETROS!I:I))</f>
        <v>PROFESSOR DE ENSINO SUPERIOR EAD</v>
      </c>
      <c r="F871" s="3" t="s">
        <v>53</v>
      </c>
      <c r="G871" s="3">
        <v>2</v>
      </c>
      <c r="H871" s="3" t="s">
        <v>55</v>
      </c>
      <c r="I871" s="3" t="s">
        <v>33</v>
      </c>
      <c r="J871" s="3" t="s">
        <v>1649</v>
      </c>
      <c r="K871" s="3"/>
      <c r="L871" s="19"/>
    </row>
    <row r="872" spans="1:12">
      <c r="A872" s="3" t="s">
        <v>270</v>
      </c>
      <c r="B872" t="str">
        <f>IF(_xlfn.XLOOKUP(A872,PARAMETROS!A:A,PARAMETROS!B:B)=0,"",_xlfn.XLOOKUP(A872,PARAMETROS!A:A,PARAMETROS!B:B))</f>
        <v>012009003830</v>
      </c>
      <c r="C872">
        <f>IF(_xlfn.XLOOKUP(A872,PARAMETROS!A:A,PARAMETROS!C:C)=0,"",_xlfn.XLOOKUP(A872,PARAMETROS!A:A,PARAMETROS!C:C))</f>
        <v>20</v>
      </c>
      <c r="D872">
        <f>IF(_xlfn.XLOOKUP(A872,PARAMETROS!A:A,PARAMETROS!D:D)=0,"",_xlfn.XLOOKUP(A872,PARAMETROS!A:A,PARAMETROS!D:D))</f>
        <v>2</v>
      </c>
      <c r="E872" t="str">
        <f>IF(_xlfn.XLOOKUP('PREENCHIMENTO|LETIVAS'!A872,PARAMETROS!A:A,PARAMETROS!I:I)=0,"",_xlfn.XLOOKUP('PREENCHIMENTO|LETIVAS'!A872,PARAMETROS!A:A,PARAMETROS!I:I))</f>
        <v>PROFESSOR DE ENSINO SUPERIOR EAD</v>
      </c>
      <c r="F872" s="3" t="s">
        <v>53</v>
      </c>
      <c r="G872" s="3">
        <v>2</v>
      </c>
      <c r="H872" s="3" t="s">
        <v>55</v>
      </c>
      <c r="I872" s="3" t="s">
        <v>40</v>
      </c>
      <c r="J872" s="3" t="s">
        <v>1650</v>
      </c>
      <c r="K872" s="3"/>
      <c r="L872" s="19"/>
    </row>
    <row r="873" spans="1:12">
      <c r="A873" s="3" t="s">
        <v>246</v>
      </c>
      <c r="B873" t="str">
        <f>IF(_xlfn.XLOOKUP(A873,PARAMETROS!A:A,PARAMETROS!B:B)=0,"",_xlfn.XLOOKUP(A873,PARAMETROS!A:A,PARAMETROS!B:B))</f>
        <v>012009003455</v>
      </c>
      <c r="C873">
        <f>IF(_xlfn.XLOOKUP(A873,PARAMETROS!A:A,PARAMETROS!C:C)=0,"",_xlfn.XLOOKUP(A873,PARAMETROS!A:A,PARAMETROS!C:C))</f>
        <v>40</v>
      </c>
      <c r="D873">
        <f>IF(_xlfn.XLOOKUP(A873,PARAMETROS!A:A,PARAMETROS!D:D)=0,"",_xlfn.XLOOKUP(A873,PARAMETROS!A:A,PARAMETROS!D:D))</f>
        <v>4</v>
      </c>
      <c r="E873" t="str">
        <f>IF(_xlfn.XLOOKUP('PREENCHIMENTO|LETIVAS'!A873,PARAMETROS!A:A,PARAMETROS!I:I)=0,"",_xlfn.XLOOKUP('PREENCHIMENTO|LETIVAS'!A873,PARAMETROS!A:A,PARAMETROS!I:I))</f>
        <v>PROFESSOR DE ENSINO SUPERIOR EAD</v>
      </c>
      <c r="F873" s="3" t="s">
        <v>53</v>
      </c>
      <c r="G873" s="3">
        <v>1</v>
      </c>
      <c r="H873" s="3" t="s">
        <v>55</v>
      </c>
      <c r="I873" s="3" t="s">
        <v>33</v>
      </c>
      <c r="J873" s="3" t="s">
        <v>1651</v>
      </c>
      <c r="K873" s="3"/>
      <c r="L873" s="19"/>
    </row>
    <row r="874" spans="1:12">
      <c r="A874" s="3" t="s">
        <v>214</v>
      </c>
      <c r="B874" t="str">
        <f>IF(_xlfn.XLOOKUP(A874,PARAMETROS!A:A,PARAMETROS!B:B)=0,"",_xlfn.XLOOKUP(A874,PARAMETROS!A:A,PARAMETROS!B:B))</f>
        <v>012009006209</v>
      </c>
      <c r="C874">
        <f>IF(_xlfn.XLOOKUP(A874,PARAMETROS!A:A,PARAMETROS!C:C)=0,"",_xlfn.XLOOKUP(A874,PARAMETROS!A:A,PARAMETROS!C:C))</f>
        <v>12</v>
      </c>
      <c r="D874">
        <f>IF(_xlfn.XLOOKUP(A874,PARAMETROS!A:A,PARAMETROS!D:D)=0,"",_xlfn.XLOOKUP(A874,PARAMETROS!A:A,PARAMETROS!D:D))</f>
        <v>9</v>
      </c>
      <c r="E874" t="str">
        <f>IF(_xlfn.XLOOKUP('PREENCHIMENTO|LETIVAS'!A874,PARAMETROS!A:A,PARAMETROS!I:I)=0,"",_xlfn.XLOOKUP('PREENCHIMENTO|LETIVAS'!A874,PARAMETROS!A:A,PARAMETROS!I:I))</f>
        <v>PROFESSOR REGENTE</v>
      </c>
      <c r="F874" s="3" t="s">
        <v>53</v>
      </c>
      <c r="G874" s="3">
        <v>2</v>
      </c>
      <c r="H874" s="3" t="s">
        <v>55</v>
      </c>
      <c r="I874" s="3" t="s">
        <v>40</v>
      </c>
      <c r="J874" s="3" t="s">
        <v>1652</v>
      </c>
      <c r="K874" s="3"/>
      <c r="L874" s="19"/>
    </row>
    <row r="875" spans="1:12">
      <c r="A875" s="3" t="s">
        <v>214</v>
      </c>
      <c r="B875" t="str">
        <f>IF(_xlfn.XLOOKUP(A875,PARAMETROS!A:A,PARAMETROS!B:B)=0,"",_xlfn.XLOOKUP(A875,PARAMETROS!A:A,PARAMETROS!B:B))</f>
        <v>012009006209</v>
      </c>
      <c r="C875">
        <f>IF(_xlfn.XLOOKUP(A875,PARAMETROS!A:A,PARAMETROS!C:C)=0,"",_xlfn.XLOOKUP(A875,PARAMETROS!A:A,PARAMETROS!C:C))</f>
        <v>12</v>
      </c>
      <c r="D875">
        <f>IF(_xlfn.XLOOKUP(A875,PARAMETROS!A:A,PARAMETROS!D:D)=0,"",_xlfn.XLOOKUP(A875,PARAMETROS!A:A,PARAMETROS!D:D))</f>
        <v>9</v>
      </c>
      <c r="E875" t="str">
        <f>IF(_xlfn.XLOOKUP('PREENCHIMENTO|LETIVAS'!A875,PARAMETROS!A:A,PARAMETROS!I:I)=0,"",_xlfn.XLOOKUP('PREENCHIMENTO|LETIVAS'!A875,PARAMETROS!A:A,PARAMETROS!I:I))</f>
        <v>PROFESSOR REGENTE</v>
      </c>
      <c r="F875" s="3" t="s">
        <v>53</v>
      </c>
      <c r="G875" s="3">
        <v>1</v>
      </c>
      <c r="H875" s="3" t="s">
        <v>55</v>
      </c>
      <c r="I875" s="3" t="s">
        <v>40</v>
      </c>
      <c r="J875" s="3" t="s">
        <v>1653</v>
      </c>
      <c r="K875" s="3"/>
      <c r="L875" s="19"/>
    </row>
    <row r="876" spans="1:12">
      <c r="A876" s="3" t="s">
        <v>739</v>
      </c>
      <c r="B876" t="str">
        <f>IF(_xlfn.XLOOKUP(A876,PARAMETROS!A:A,PARAMETROS!B:B)=0,"",_xlfn.XLOOKUP(A876,PARAMETROS!A:A,PARAMETROS!B:B))</f>
        <v>012009003703</v>
      </c>
      <c r="C876" t="str">
        <f>IF(_xlfn.XLOOKUP(A876,PARAMETROS!A:A,PARAMETROS!C:C)=0,"",_xlfn.XLOOKUP(A876,PARAMETROS!A:A,PARAMETROS!C:C))</f>
        <v/>
      </c>
      <c r="D876" t="str">
        <f>IF(_xlfn.XLOOKUP(A876,PARAMETROS!A:A,PARAMETROS!D:D)=0,"",_xlfn.XLOOKUP(A876,PARAMETROS!A:A,PARAMETROS!D:D))</f>
        <v/>
      </c>
      <c r="E876" t="str">
        <f>IF(_xlfn.XLOOKUP('PREENCHIMENTO|LETIVAS'!A876,PARAMETROS!A:A,PARAMETROS!I:I)=0,"",_xlfn.XLOOKUP('PREENCHIMENTO|LETIVAS'!A876,PARAMETROS!A:A,PARAMETROS!I:I))</f>
        <v>PROFESSOR DE ENSINO SUPERIOR PRESENCIAL</v>
      </c>
      <c r="F876" s="3" t="s">
        <v>53</v>
      </c>
      <c r="G876" s="3">
        <v>2</v>
      </c>
      <c r="H876" s="3" t="s">
        <v>39</v>
      </c>
      <c r="I876" s="3" t="s">
        <v>33</v>
      </c>
      <c r="J876" s="3" t="s">
        <v>1654</v>
      </c>
      <c r="K876" s="3"/>
      <c r="L876" s="19"/>
    </row>
    <row r="877" spans="1:12">
      <c r="A877" s="3" t="s">
        <v>739</v>
      </c>
      <c r="B877" t="str">
        <f>IF(_xlfn.XLOOKUP(A877,PARAMETROS!A:A,PARAMETROS!B:B)=0,"",_xlfn.XLOOKUP(A877,PARAMETROS!A:A,PARAMETROS!B:B))</f>
        <v>012009003703</v>
      </c>
      <c r="C877" t="str">
        <f>IF(_xlfn.XLOOKUP(A877,PARAMETROS!A:A,PARAMETROS!C:C)=0,"",_xlfn.XLOOKUP(A877,PARAMETROS!A:A,PARAMETROS!C:C))</f>
        <v/>
      </c>
      <c r="D877" t="str">
        <f>IF(_xlfn.XLOOKUP(A877,PARAMETROS!A:A,PARAMETROS!D:D)=0,"",_xlfn.XLOOKUP(A877,PARAMETROS!A:A,PARAMETROS!D:D))</f>
        <v/>
      </c>
      <c r="E877" t="str">
        <f>IF(_xlfn.XLOOKUP('PREENCHIMENTO|LETIVAS'!A877,PARAMETROS!A:A,PARAMETROS!I:I)=0,"",_xlfn.XLOOKUP('PREENCHIMENTO|LETIVAS'!A877,PARAMETROS!A:A,PARAMETROS!I:I))</f>
        <v>PROFESSOR DE ENSINO SUPERIOR PRESENCIAL</v>
      </c>
      <c r="F877" s="3" t="s">
        <v>53</v>
      </c>
      <c r="G877" s="3">
        <v>2</v>
      </c>
      <c r="H877" s="3" t="s">
        <v>55</v>
      </c>
      <c r="I877" s="3" t="s">
        <v>33</v>
      </c>
      <c r="J877" s="3" t="s">
        <v>1654</v>
      </c>
      <c r="K877" s="3"/>
      <c r="L877" s="19"/>
    </row>
    <row r="878" spans="1:12">
      <c r="A878" s="3" t="s">
        <v>563</v>
      </c>
      <c r="B878" t="str">
        <f>IF(_xlfn.XLOOKUP(A878,PARAMETROS!A:A,PARAMETROS!B:B)=0,"",_xlfn.XLOOKUP(A878,PARAMETROS!A:A,PARAMETROS!B:B))</f>
        <v>012009006246</v>
      </c>
      <c r="C878">
        <f>IF(_xlfn.XLOOKUP(A878,PARAMETROS!A:A,PARAMETROS!C:C)=0,"",_xlfn.XLOOKUP(A878,PARAMETROS!A:A,PARAMETROS!C:C))</f>
        <v>12</v>
      </c>
      <c r="D878">
        <f>IF(_xlfn.XLOOKUP(A878,PARAMETROS!A:A,PARAMETROS!D:D)=0,"",_xlfn.XLOOKUP(A878,PARAMETROS!A:A,PARAMETROS!D:D))</f>
        <v>9</v>
      </c>
      <c r="E878" t="str">
        <f>IF(_xlfn.XLOOKUP('PREENCHIMENTO|LETIVAS'!A878,PARAMETROS!A:A,PARAMETROS!I:I)=0,"",_xlfn.XLOOKUP('PREENCHIMENTO|LETIVAS'!A878,PARAMETROS!A:A,PARAMETROS!I:I))</f>
        <v>PROFESSOR REGENTE</v>
      </c>
      <c r="F878" s="3" t="s">
        <v>53</v>
      </c>
      <c r="G878" s="3">
        <v>1</v>
      </c>
      <c r="H878" s="3" t="s">
        <v>39</v>
      </c>
      <c r="I878" s="3" t="s">
        <v>40</v>
      </c>
      <c r="J878" s="3" t="s">
        <v>1655</v>
      </c>
      <c r="K878" s="3"/>
      <c r="L878" s="19"/>
    </row>
    <row r="879" spans="1:12">
      <c r="A879" s="3" t="s">
        <v>392</v>
      </c>
      <c r="B879" t="str">
        <f>IF(_xlfn.XLOOKUP(A879,PARAMETROS!A:A,PARAMETROS!B:B)=0,"",_xlfn.XLOOKUP(A879,PARAMETROS!A:A,PARAMETROS!B:B))</f>
        <v>012009006203</v>
      </c>
      <c r="C879">
        <f>IF(_xlfn.XLOOKUP(A879,PARAMETROS!A:A,PARAMETROS!C:C)=0,"",_xlfn.XLOOKUP(A879,PARAMETROS!A:A,PARAMETROS!C:C))</f>
        <v>12</v>
      </c>
      <c r="D879">
        <f>IF(_xlfn.XLOOKUP(A879,PARAMETROS!A:A,PARAMETROS!D:D)=0,"",_xlfn.XLOOKUP(A879,PARAMETROS!A:A,PARAMETROS!D:D))</f>
        <v>9</v>
      </c>
      <c r="E879" t="str">
        <f>IF(_xlfn.XLOOKUP('PREENCHIMENTO|LETIVAS'!A879,PARAMETROS!A:A,PARAMETROS!I:I)=0,"",_xlfn.XLOOKUP('PREENCHIMENTO|LETIVAS'!A879,PARAMETROS!A:A,PARAMETROS!I:I))</f>
        <v>PROFESSOR REGENTE</v>
      </c>
      <c r="F879" s="3" t="s">
        <v>53</v>
      </c>
      <c r="G879" s="3">
        <v>2</v>
      </c>
      <c r="H879" s="3" t="s">
        <v>55</v>
      </c>
      <c r="I879" s="3" t="s">
        <v>33</v>
      </c>
      <c r="J879" s="3" t="s">
        <v>1656</v>
      </c>
      <c r="K879" s="3"/>
      <c r="L879" s="19"/>
    </row>
    <row r="880" spans="1:12">
      <c r="A880" s="3" t="s">
        <v>392</v>
      </c>
      <c r="B880" t="str">
        <f>IF(_xlfn.XLOOKUP(A880,PARAMETROS!A:A,PARAMETROS!B:B)=0,"",_xlfn.XLOOKUP(A880,PARAMETROS!A:A,PARAMETROS!B:B))</f>
        <v>012009006203</v>
      </c>
      <c r="C880">
        <f>IF(_xlfn.XLOOKUP(A880,PARAMETROS!A:A,PARAMETROS!C:C)=0,"",_xlfn.XLOOKUP(A880,PARAMETROS!A:A,PARAMETROS!C:C))</f>
        <v>12</v>
      </c>
      <c r="D880">
        <f>IF(_xlfn.XLOOKUP(A880,PARAMETROS!A:A,PARAMETROS!D:D)=0,"",_xlfn.XLOOKUP(A880,PARAMETROS!A:A,PARAMETROS!D:D))</f>
        <v>9</v>
      </c>
      <c r="E880" t="str">
        <f>IF(_xlfn.XLOOKUP('PREENCHIMENTO|LETIVAS'!A880,PARAMETROS!A:A,PARAMETROS!I:I)=0,"",_xlfn.XLOOKUP('PREENCHIMENTO|LETIVAS'!A880,PARAMETROS!A:A,PARAMETROS!I:I))</f>
        <v>PROFESSOR REGENTE</v>
      </c>
      <c r="F880" s="3" t="s">
        <v>53</v>
      </c>
      <c r="G880" s="3" t="s">
        <v>54</v>
      </c>
      <c r="H880" s="3" t="s">
        <v>55</v>
      </c>
      <c r="I880" s="3" t="s">
        <v>40</v>
      </c>
      <c r="J880" s="3" t="s">
        <v>1657</v>
      </c>
      <c r="K880" s="3" t="s">
        <v>1544</v>
      </c>
      <c r="L880" s="19"/>
    </row>
    <row r="881" spans="1:12">
      <c r="A881" s="3" t="s">
        <v>392</v>
      </c>
      <c r="B881" t="str">
        <f>IF(_xlfn.XLOOKUP(A881,PARAMETROS!A:A,PARAMETROS!B:B)=0,"",_xlfn.XLOOKUP(A881,PARAMETROS!A:A,PARAMETROS!B:B))</f>
        <v>012009006203</v>
      </c>
      <c r="C881">
        <f>IF(_xlfn.XLOOKUP(A881,PARAMETROS!A:A,PARAMETROS!C:C)=0,"",_xlfn.XLOOKUP(A881,PARAMETROS!A:A,PARAMETROS!C:C))</f>
        <v>12</v>
      </c>
      <c r="D881">
        <f>IF(_xlfn.XLOOKUP(A881,PARAMETROS!A:A,PARAMETROS!D:D)=0,"",_xlfn.XLOOKUP(A881,PARAMETROS!A:A,PARAMETROS!D:D))</f>
        <v>9</v>
      </c>
      <c r="E881" t="str">
        <f>IF(_xlfn.XLOOKUP('PREENCHIMENTO|LETIVAS'!A881,PARAMETROS!A:A,PARAMETROS!I:I)=0,"",_xlfn.XLOOKUP('PREENCHIMENTO|LETIVAS'!A881,PARAMETROS!A:A,PARAMETROS!I:I))</f>
        <v>PROFESSOR REGENTE</v>
      </c>
      <c r="F881" s="3" t="s">
        <v>53</v>
      </c>
      <c r="G881" s="3" t="s">
        <v>54</v>
      </c>
      <c r="H881" s="3" t="s">
        <v>55</v>
      </c>
      <c r="I881" s="3" t="s">
        <v>40</v>
      </c>
      <c r="J881" s="3" t="s">
        <v>1658</v>
      </c>
      <c r="K881" s="3" t="s">
        <v>1544</v>
      </c>
      <c r="L881" s="19"/>
    </row>
    <row r="882" spans="1:12">
      <c r="A882" s="3" t="s">
        <v>334</v>
      </c>
      <c r="B882" t="str">
        <f>IF(_xlfn.XLOOKUP(A882,PARAMETROS!A:A,PARAMETROS!B:B)=0,"",_xlfn.XLOOKUP(A882,PARAMETROS!A:A,PARAMETROS!B:B))</f>
        <v>012009003968</v>
      </c>
      <c r="C882">
        <f>IF(_xlfn.XLOOKUP(A882,PARAMETROS!A:A,PARAMETROS!C:C)=0,"",_xlfn.XLOOKUP(A882,PARAMETROS!A:A,PARAMETROS!C:C))</f>
        <v>40</v>
      </c>
      <c r="D882">
        <f>IF(_xlfn.XLOOKUP(A882,PARAMETROS!A:A,PARAMETROS!D:D)=0,"",_xlfn.XLOOKUP(A882,PARAMETROS!A:A,PARAMETROS!D:D))</f>
        <v>4</v>
      </c>
      <c r="E882" t="str">
        <f>IF(_xlfn.XLOOKUP('PREENCHIMENTO|LETIVAS'!A882,PARAMETROS!A:A,PARAMETROS!I:I)=0,"",_xlfn.XLOOKUP('PREENCHIMENTO|LETIVAS'!A882,PARAMETROS!A:A,PARAMETROS!I:I))</f>
        <v>PROFESSOR DE ENSINO SUPERIOR EAD</v>
      </c>
      <c r="F882" s="3" t="s">
        <v>53</v>
      </c>
      <c r="G882" s="3">
        <v>2</v>
      </c>
      <c r="H882" s="3" t="s">
        <v>55</v>
      </c>
      <c r="I882" s="3" t="s">
        <v>33</v>
      </c>
      <c r="J882" s="3" t="s">
        <v>1563</v>
      </c>
      <c r="K882" s="3"/>
      <c r="L882" s="19"/>
    </row>
    <row r="883" spans="1:12">
      <c r="A883" s="3" t="s">
        <v>334</v>
      </c>
      <c r="B883" t="str">
        <f>IF(_xlfn.XLOOKUP(A883,PARAMETROS!A:A,PARAMETROS!B:B)=0,"",_xlfn.XLOOKUP(A883,PARAMETROS!A:A,PARAMETROS!B:B))</f>
        <v>012009003968</v>
      </c>
      <c r="C883">
        <f>IF(_xlfn.XLOOKUP(A883,PARAMETROS!A:A,PARAMETROS!C:C)=0,"",_xlfn.XLOOKUP(A883,PARAMETROS!A:A,PARAMETROS!C:C))</f>
        <v>40</v>
      </c>
      <c r="D883">
        <f>IF(_xlfn.XLOOKUP(A883,PARAMETROS!A:A,PARAMETROS!D:D)=0,"",_xlfn.XLOOKUP(A883,PARAMETROS!A:A,PARAMETROS!D:D))</f>
        <v>4</v>
      </c>
      <c r="E883" t="str">
        <f>IF(_xlfn.XLOOKUP('PREENCHIMENTO|LETIVAS'!A883,PARAMETROS!A:A,PARAMETROS!I:I)=0,"",_xlfn.XLOOKUP('PREENCHIMENTO|LETIVAS'!A883,PARAMETROS!A:A,PARAMETROS!I:I))</f>
        <v>PROFESSOR DE ENSINO SUPERIOR EAD</v>
      </c>
      <c r="F883" s="3" t="s">
        <v>53</v>
      </c>
      <c r="G883" s="3">
        <v>2</v>
      </c>
      <c r="H883" s="3" t="s">
        <v>55</v>
      </c>
      <c r="I883" s="3" t="s">
        <v>40</v>
      </c>
      <c r="J883" s="3" t="s">
        <v>1659</v>
      </c>
      <c r="K883" s="3"/>
      <c r="L883" s="19"/>
    </row>
    <row r="884" spans="1:12">
      <c r="A884" s="3" t="s">
        <v>574</v>
      </c>
      <c r="B884" t="str">
        <f>IF(_xlfn.XLOOKUP(A884,PARAMETROS!A:A,PARAMETROS!B:B)=0,"",_xlfn.XLOOKUP(A884,PARAMETROS!A:A,PARAMETROS!B:B))</f>
        <v>012009006261</v>
      </c>
      <c r="C884">
        <f>IF(_xlfn.XLOOKUP(A884,PARAMETROS!A:A,PARAMETROS!C:C)=0,"",_xlfn.XLOOKUP(A884,PARAMETROS!A:A,PARAMETROS!C:C))</f>
        <v>12</v>
      </c>
      <c r="D884">
        <f>IF(_xlfn.XLOOKUP(A884,PARAMETROS!A:A,PARAMETROS!D:D)=0,"",_xlfn.XLOOKUP(A884,PARAMETROS!A:A,PARAMETROS!D:D))</f>
        <v>9</v>
      </c>
      <c r="E884" t="str">
        <f>IF(_xlfn.XLOOKUP('PREENCHIMENTO|LETIVAS'!A884,PARAMETROS!A:A,PARAMETROS!I:I)=0,"",_xlfn.XLOOKUP('PREENCHIMENTO|LETIVAS'!A884,PARAMETROS!A:A,PARAMETROS!I:I))</f>
        <v>PROFESSOR REGENTE</v>
      </c>
      <c r="F884" s="3" t="s">
        <v>53</v>
      </c>
      <c r="G884" s="3">
        <v>2</v>
      </c>
      <c r="H884" s="3" t="s">
        <v>63</v>
      </c>
      <c r="I884" s="3" t="s">
        <v>33</v>
      </c>
      <c r="J884" s="3" t="s">
        <v>1660</v>
      </c>
      <c r="K884" s="3"/>
      <c r="L884" s="19"/>
    </row>
    <row r="885" spans="1:12">
      <c r="A885" s="3" t="s">
        <v>574</v>
      </c>
      <c r="B885" t="str">
        <f>IF(_xlfn.XLOOKUP(A885,PARAMETROS!A:A,PARAMETROS!B:B)=0,"",_xlfn.XLOOKUP(A885,PARAMETROS!A:A,PARAMETROS!B:B))</f>
        <v>012009006261</v>
      </c>
      <c r="C885">
        <f>IF(_xlfn.XLOOKUP(A885,PARAMETROS!A:A,PARAMETROS!C:C)=0,"",_xlfn.XLOOKUP(A885,PARAMETROS!A:A,PARAMETROS!C:C))</f>
        <v>12</v>
      </c>
      <c r="D885">
        <f>IF(_xlfn.XLOOKUP(A885,PARAMETROS!A:A,PARAMETROS!D:D)=0,"",_xlfn.XLOOKUP(A885,PARAMETROS!A:A,PARAMETROS!D:D))</f>
        <v>9</v>
      </c>
      <c r="E885" t="str">
        <f>IF(_xlfn.XLOOKUP('PREENCHIMENTO|LETIVAS'!A885,PARAMETROS!A:A,PARAMETROS!I:I)=0,"",_xlfn.XLOOKUP('PREENCHIMENTO|LETIVAS'!A885,PARAMETROS!A:A,PARAMETROS!I:I))</f>
        <v>PROFESSOR REGENTE</v>
      </c>
      <c r="F885" s="3" t="s">
        <v>53</v>
      </c>
      <c r="G885" s="3">
        <v>1</v>
      </c>
      <c r="H885" s="3" t="s">
        <v>63</v>
      </c>
      <c r="I885" s="3" t="s">
        <v>40</v>
      </c>
      <c r="J885" s="3" t="s">
        <v>1661</v>
      </c>
      <c r="K885" s="3"/>
      <c r="L885" s="19"/>
    </row>
    <row r="886" spans="1:12">
      <c r="A886" s="3" t="s">
        <v>769</v>
      </c>
      <c r="B886" t="str">
        <f>IF(_xlfn.XLOOKUP(A886,PARAMETROS!A:A,PARAMETROS!B:B)=0,"",_xlfn.XLOOKUP(A886,PARAMETROS!A:A,PARAMETROS!B:B))</f>
        <v>012009006510</v>
      </c>
      <c r="C886">
        <f>IF(_xlfn.XLOOKUP(A886,PARAMETROS!A:A,PARAMETROS!C:C)=0,"",_xlfn.XLOOKUP(A886,PARAMETROS!A:A,PARAMETROS!C:C))</f>
        <v>12</v>
      </c>
      <c r="D886">
        <f>IF(_xlfn.XLOOKUP(A886,PARAMETROS!A:A,PARAMETROS!D:D)=0,"",_xlfn.XLOOKUP(A886,PARAMETROS!A:A,PARAMETROS!D:D))</f>
        <v>9</v>
      </c>
      <c r="E886" t="str">
        <f>IF(_xlfn.XLOOKUP('PREENCHIMENTO|LETIVAS'!A886,PARAMETROS!A:A,PARAMETROS!I:I)=0,"",_xlfn.XLOOKUP('PREENCHIMENTO|LETIVAS'!A886,PARAMETROS!A:A,PARAMETROS!I:I))</f>
        <v>PROFESSOR REGENTE</v>
      </c>
      <c r="F886" s="3" t="s">
        <v>53</v>
      </c>
      <c r="G886" s="3">
        <v>1</v>
      </c>
      <c r="H886" s="3" t="s">
        <v>63</v>
      </c>
      <c r="I886" s="3" t="s">
        <v>33</v>
      </c>
      <c r="J886" s="3" t="s">
        <v>1662</v>
      </c>
      <c r="K886" s="3"/>
      <c r="L886" s="19"/>
    </row>
    <row r="887" spans="1:12">
      <c r="A887" s="3" t="s">
        <v>769</v>
      </c>
      <c r="B887" t="str">
        <f>IF(_xlfn.XLOOKUP(A887,PARAMETROS!A:A,PARAMETROS!B:B)=0,"",_xlfn.XLOOKUP(A887,PARAMETROS!A:A,PARAMETROS!B:B))</f>
        <v>012009006510</v>
      </c>
      <c r="C887">
        <f>IF(_xlfn.XLOOKUP(A887,PARAMETROS!A:A,PARAMETROS!C:C)=0,"",_xlfn.XLOOKUP(A887,PARAMETROS!A:A,PARAMETROS!C:C))</f>
        <v>12</v>
      </c>
      <c r="D887">
        <f>IF(_xlfn.XLOOKUP(A887,PARAMETROS!A:A,PARAMETROS!D:D)=0,"",_xlfn.XLOOKUP(A887,PARAMETROS!A:A,PARAMETROS!D:D))</f>
        <v>9</v>
      </c>
      <c r="E887" t="str">
        <f>IF(_xlfn.XLOOKUP('PREENCHIMENTO|LETIVAS'!A887,PARAMETROS!A:A,PARAMETROS!I:I)=0,"",_xlfn.XLOOKUP('PREENCHIMENTO|LETIVAS'!A887,PARAMETROS!A:A,PARAMETROS!I:I))</f>
        <v>PROFESSOR REGENTE</v>
      </c>
      <c r="F887" s="3" t="s">
        <v>53</v>
      </c>
      <c r="G887" s="3">
        <v>1</v>
      </c>
      <c r="H887" s="3" t="s">
        <v>63</v>
      </c>
      <c r="I887" s="3" t="s">
        <v>40</v>
      </c>
      <c r="J887" s="3" t="s">
        <v>1663</v>
      </c>
      <c r="K887" s="3"/>
      <c r="L887" s="19"/>
    </row>
    <row r="888" spans="1:12">
      <c r="A888" s="3" t="s">
        <v>162</v>
      </c>
      <c r="B888" t="str">
        <f>IF(_xlfn.XLOOKUP(A888,PARAMETROS!A:A,PARAMETROS!B:B)=0,"",_xlfn.XLOOKUP(A888,PARAMETROS!A:A,PARAMETROS!B:B))</f>
        <v>012009003638</v>
      </c>
      <c r="C888">
        <f>IF(_xlfn.XLOOKUP(A888,PARAMETROS!A:A,PARAMETROS!C:C)=0,"",_xlfn.XLOOKUP(A888,PARAMETROS!A:A,PARAMETROS!C:C))</f>
        <v>20</v>
      </c>
      <c r="D888">
        <f>IF(_xlfn.XLOOKUP(A888,PARAMETROS!A:A,PARAMETROS!D:D)=0,"",_xlfn.XLOOKUP(A888,PARAMETROS!A:A,PARAMETROS!D:D))</f>
        <v>2</v>
      </c>
      <c r="E888" t="str">
        <f>IF(_xlfn.XLOOKUP('PREENCHIMENTO|LETIVAS'!A888,PARAMETROS!A:A,PARAMETROS!I:I)=0,"",_xlfn.XLOOKUP('PREENCHIMENTO|LETIVAS'!A888,PARAMETROS!A:A,PARAMETROS!I:I))</f>
        <v>PROFESSOR DE ENSINO SUPERIOR EAD</v>
      </c>
      <c r="F888" s="3" t="s">
        <v>53</v>
      </c>
      <c r="G888" s="3">
        <v>2</v>
      </c>
      <c r="H888" s="3" t="s">
        <v>63</v>
      </c>
      <c r="I888" s="3" t="s">
        <v>33</v>
      </c>
      <c r="J888" s="3" t="s">
        <v>1664</v>
      </c>
      <c r="K888" s="3"/>
      <c r="L888" s="19"/>
    </row>
    <row r="889" spans="1:12">
      <c r="A889" s="3" t="s">
        <v>733</v>
      </c>
      <c r="B889" t="str">
        <f>IF(_xlfn.XLOOKUP(A889,PARAMETROS!A:A,PARAMETROS!B:B)=0,"",_xlfn.XLOOKUP(A889,PARAMETROS!A:A,PARAMETROS!B:B))</f>
        <v>012009006367</v>
      </c>
      <c r="C889">
        <f>IF(_xlfn.XLOOKUP(A889,PARAMETROS!A:A,PARAMETROS!C:C)=0,"",_xlfn.XLOOKUP(A889,PARAMETROS!A:A,PARAMETROS!C:C))</f>
        <v>12</v>
      </c>
      <c r="D889">
        <f>IF(_xlfn.XLOOKUP(A889,PARAMETROS!A:A,PARAMETROS!D:D)=0,"",_xlfn.XLOOKUP(A889,PARAMETROS!A:A,PARAMETROS!D:D))</f>
        <v>9</v>
      </c>
      <c r="E889" t="str">
        <f>IF(_xlfn.XLOOKUP('PREENCHIMENTO|LETIVAS'!A889,PARAMETROS!A:A,PARAMETROS!I:I)=0,"",_xlfn.XLOOKUP('PREENCHIMENTO|LETIVAS'!A889,PARAMETROS!A:A,PARAMETROS!I:I))</f>
        <v>PROFESSOR REGENTE</v>
      </c>
      <c r="F889" s="3" t="s">
        <v>53</v>
      </c>
      <c r="G889" s="3">
        <v>2</v>
      </c>
      <c r="H889" s="3" t="s">
        <v>55</v>
      </c>
      <c r="I889" s="3" t="s">
        <v>33</v>
      </c>
      <c r="J889" s="3" t="s">
        <v>1665</v>
      </c>
      <c r="K889" s="3"/>
      <c r="L889" s="19"/>
    </row>
    <row r="890" spans="1:12">
      <c r="A890" s="3" t="s">
        <v>733</v>
      </c>
      <c r="B890" t="str">
        <f>IF(_xlfn.XLOOKUP(A890,PARAMETROS!A:A,PARAMETROS!B:B)=0,"",_xlfn.XLOOKUP(A890,PARAMETROS!A:A,PARAMETROS!B:B))</f>
        <v>012009006367</v>
      </c>
      <c r="C890">
        <f>IF(_xlfn.XLOOKUP(A890,PARAMETROS!A:A,PARAMETROS!C:C)=0,"",_xlfn.XLOOKUP(A890,PARAMETROS!A:A,PARAMETROS!C:C))</f>
        <v>12</v>
      </c>
      <c r="D890">
        <f>IF(_xlfn.XLOOKUP(A890,PARAMETROS!A:A,PARAMETROS!D:D)=0,"",_xlfn.XLOOKUP(A890,PARAMETROS!A:A,PARAMETROS!D:D))</f>
        <v>9</v>
      </c>
      <c r="E890" t="str">
        <f>IF(_xlfn.XLOOKUP('PREENCHIMENTO|LETIVAS'!A890,PARAMETROS!A:A,PARAMETROS!I:I)=0,"",_xlfn.XLOOKUP('PREENCHIMENTO|LETIVAS'!A890,PARAMETROS!A:A,PARAMETROS!I:I))</f>
        <v>PROFESSOR REGENTE</v>
      </c>
      <c r="F890" s="3" t="s">
        <v>53</v>
      </c>
      <c r="G890" s="3" t="s">
        <v>54</v>
      </c>
      <c r="H890" s="3" t="s">
        <v>55</v>
      </c>
      <c r="I890" s="3" t="s">
        <v>40</v>
      </c>
      <c r="J890" s="3" t="s">
        <v>1666</v>
      </c>
      <c r="K890" s="3"/>
      <c r="L890" s="19"/>
    </row>
    <row r="891" spans="1:12">
      <c r="A891" s="3"/>
      <c r="B891" t="str">
        <f>IF(_xlfn.XLOOKUP(A891,PARAMETROS!A:A,PARAMETROS!B:B)=0,"",_xlfn.XLOOKUP(A891,PARAMETROS!A:A,PARAMETROS!B:B))</f>
        <v/>
      </c>
      <c r="C891" t="str">
        <f>IF(_xlfn.XLOOKUP(A891,PARAMETROS!A:A,PARAMETROS!C:C)=0,"",_xlfn.XLOOKUP(A891,PARAMETROS!A:A,PARAMETROS!C:C))</f>
        <v/>
      </c>
      <c r="D891" t="str">
        <f>IF(_xlfn.XLOOKUP(A891,PARAMETROS!A:A,PARAMETROS!D:D)=0,"",_xlfn.XLOOKUP(A891,PARAMETROS!A:A,PARAMETROS!D:D))</f>
        <v/>
      </c>
      <c r="E891" t="str">
        <f>IF(_xlfn.XLOOKUP('PREENCHIMENTO|LETIVAS'!A891,PARAMETROS!A:A,PARAMETROS!I:I)=0,"",_xlfn.XLOOKUP('PREENCHIMENTO|LETIVAS'!A891,PARAMETROS!A:A,PARAMETROS!I:I))</f>
        <v/>
      </c>
      <c r="F891" s="3" t="s">
        <v>53</v>
      </c>
      <c r="G891" s="3">
        <v>2</v>
      </c>
      <c r="H891" s="3" t="s">
        <v>55</v>
      </c>
      <c r="I891" s="3" t="s">
        <v>40</v>
      </c>
      <c r="J891" s="3" t="s">
        <v>1667</v>
      </c>
      <c r="K891" s="3"/>
      <c r="L891" s="19"/>
    </row>
    <row r="892" spans="1:12">
      <c r="A892" s="3" t="s">
        <v>647</v>
      </c>
      <c r="B892" t="str">
        <f>IF(_xlfn.XLOOKUP(A892,PARAMETROS!A:A,PARAMETROS!B:B)=0,"",_xlfn.XLOOKUP(A892,PARAMETROS!A:A,PARAMETROS!B:B))</f>
        <v>012009003424</v>
      </c>
      <c r="C892">
        <f>IF(_xlfn.XLOOKUP(A892,PARAMETROS!A:A,PARAMETROS!C:C)=0,"",_xlfn.XLOOKUP(A892,PARAMETROS!A:A,PARAMETROS!C:C))</f>
        <v>40</v>
      </c>
      <c r="D892">
        <f>IF(_xlfn.XLOOKUP(A892,PARAMETROS!A:A,PARAMETROS!D:D)=0,"",_xlfn.XLOOKUP(A892,PARAMETROS!A:A,PARAMETROS!D:D))</f>
        <v>20</v>
      </c>
      <c r="E892" t="str">
        <f>IF(_xlfn.XLOOKUP('PREENCHIMENTO|LETIVAS'!A892,PARAMETROS!A:A,PARAMETROS!I:I)=0,"",_xlfn.XLOOKUP('PREENCHIMENTO|LETIVAS'!A892,PARAMETROS!A:A,PARAMETROS!I:I))</f>
        <v>PROFESSOR REGENTE</v>
      </c>
      <c r="F892" s="3" t="s">
        <v>53</v>
      </c>
      <c r="G892" s="3">
        <v>1</v>
      </c>
      <c r="H892" s="3" t="s">
        <v>55</v>
      </c>
      <c r="I892" s="3" t="s">
        <v>40</v>
      </c>
      <c r="J892" s="3" t="s">
        <v>1668</v>
      </c>
      <c r="K892" s="3"/>
      <c r="L892" s="19"/>
    </row>
    <row r="893" spans="1:12">
      <c r="A893" s="3" t="s">
        <v>475</v>
      </c>
      <c r="B893" t="str">
        <f>IF(_xlfn.XLOOKUP(A893,PARAMETROS!A:A,PARAMETROS!B:B)=0,"",_xlfn.XLOOKUP(A893,PARAMETROS!A:A,PARAMETROS!B:B))</f>
        <v>012009004049</v>
      </c>
      <c r="C893">
        <f>IF(_xlfn.XLOOKUP(A893,PARAMETROS!A:A,PARAMETROS!C:C)=0,"",_xlfn.XLOOKUP(A893,PARAMETROS!A:A,PARAMETROS!C:C))</f>
        <v>40</v>
      </c>
      <c r="D893">
        <f>IF(_xlfn.XLOOKUP(A893,PARAMETROS!A:A,PARAMETROS!D:D)=0,"",_xlfn.XLOOKUP(A893,PARAMETROS!A:A,PARAMETROS!D:D))</f>
        <v>4</v>
      </c>
      <c r="E893" t="str">
        <f>IF(_xlfn.XLOOKUP('PREENCHIMENTO|LETIVAS'!A893,PARAMETROS!A:A,PARAMETROS!I:I)=0,"",_xlfn.XLOOKUP('PREENCHIMENTO|LETIVAS'!A893,PARAMETROS!A:A,PARAMETROS!I:I))</f>
        <v>PROFESSOR DE ENSINO SUPERIOR EAD</v>
      </c>
      <c r="F893" s="3" t="s">
        <v>53</v>
      </c>
      <c r="G893" s="3">
        <v>2</v>
      </c>
      <c r="H893" s="3" t="s">
        <v>63</v>
      </c>
      <c r="I893" s="3" t="s">
        <v>33</v>
      </c>
      <c r="J893" s="3" t="s">
        <v>1669</v>
      </c>
      <c r="K893" s="3"/>
      <c r="L893" s="19"/>
    </row>
    <row r="894" spans="1:12">
      <c r="A894" s="3" t="s">
        <v>475</v>
      </c>
      <c r="B894" t="str">
        <f>IF(_xlfn.XLOOKUP(A894,PARAMETROS!A:A,PARAMETROS!B:B)=0,"",_xlfn.XLOOKUP(A894,PARAMETROS!A:A,PARAMETROS!B:B))</f>
        <v>012009004049</v>
      </c>
      <c r="C894">
        <f>IF(_xlfn.XLOOKUP(A894,PARAMETROS!A:A,PARAMETROS!C:C)=0,"",_xlfn.XLOOKUP(A894,PARAMETROS!A:A,PARAMETROS!C:C))</f>
        <v>40</v>
      </c>
      <c r="D894">
        <f>IF(_xlfn.XLOOKUP(A894,PARAMETROS!A:A,PARAMETROS!D:D)=0,"",_xlfn.XLOOKUP(A894,PARAMETROS!A:A,PARAMETROS!D:D))</f>
        <v>4</v>
      </c>
      <c r="E894" t="str">
        <f>IF(_xlfn.XLOOKUP('PREENCHIMENTO|LETIVAS'!A894,PARAMETROS!A:A,PARAMETROS!I:I)=0,"",_xlfn.XLOOKUP('PREENCHIMENTO|LETIVAS'!A894,PARAMETROS!A:A,PARAMETROS!I:I))</f>
        <v>PROFESSOR DE ENSINO SUPERIOR EAD</v>
      </c>
      <c r="F894" s="3" t="s">
        <v>53</v>
      </c>
      <c r="G894" s="3">
        <v>1</v>
      </c>
      <c r="H894" s="3" t="s">
        <v>63</v>
      </c>
      <c r="I894" s="3" t="s">
        <v>40</v>
      </c>
      <c r="J894" s="3" t="s">
        <v>1670</v>
      </c>
      <c r="K894" s="3"/>
      <c r="L894" s="19"/>
    </row>
    <row r="895" spans="1:12">
      <c r="A895" s="3" t="s">
        <v>475</v>
      </c>
      <c r="B895" t="str">
        <f>IF(_xlfn.XLOOKUP(A895,PARAMETROS!A:A,PARAMETROS!B:B)=0,"",_xlfn.XLOOKUP(A895,PARAMETROS!A:A,PARAMETROS!B:B))</f>
        <v>012009004049</v>
      </c>
      <c r="C895">
        <f>IF(_xlfn.XLOOKUP(A895,PARAMETROS!A:A,PARAMETROS!C:C)=0,"",_xlfn.XLOOKUP(A895,PARAMETROS!A:A,PARAMETROS!C:C))</f>
        <v>40</v>
      </c>
      <c r="D895">
        <f>IF(_xlfn.XLOOKUP(A895,PARAMETROS!A:A,PARAMETROS!D:D)=0,"",_xlfn.XLOOKUP(A895,PARAMETROS!A:A,PARAMETROS!D:D))</f>
        <v>4</v>
      </c>
      <c r="E895" t="str">
        <f>IF(_xlfn.XLOOKUP('PREENCHIMENTO|LETIVAS'!A895,PARAMETROS!A:A,PARAMETROS!I:I)=0,"",_xlfn.XLOOKUP('PREENCHIMENTO|LETIVAS'!A895,PARAMETROS!A:A,PARAMETROS!I:I))</f>
        <v>PROFESSOR DE ENSINO SUPERIOR EAD</v>
      </c>
      <c r="F895" s="3" t="s">
        <v>53</v>
      </c>
      <c r="G895" s="3">
        <v>1</v>
      </c>
      <c r="H895" s="3" t="s">
        <v>63</v>
      </c>
      <c r="I895" s="3" t="s">
        <v>33</v>
      </c>
      <c r="J895" s="3" t="s">
        <v>1398</v>
      </c>
      <c r="K895" s="3"/>
      <c r="L895" s="19"/>
    </row>
    <row r="896" spans="1:12">
      <c r="A896" s="3" t="s">
        <v>377</v>
      </c>
      <c r="B896" t="str">
        <f>IF(_xlfn.XLOOKUP(A896,PARAMETROS!A:A,PARAMETROS!B:B)=0,"",_xlfn.XLOOKUP(A896,PARAMETROS!A:A,PARAMETROS!B:B))</f>
        <v>012009003676</v>
      </c>
      <c r="C896">
        <f>IF(_xlfn.XLOOKUP(A896,PARAMETROS!A:A,PARAMETROS!C:C)=0,"",_xlfn.XLOOKUP(A896,PARAMETROS!A:A,PARAMETROS!C:C))</f>
        <v>20</v>
      </c>
      <c r="D896">
        <f>IF(_xlfn.XLOOKUP(A896,PARAMETROS!A:A,PARAMETROS!D:D)=0,"",_xlfn.XLOOKUP(A896,PARAMETROS!A:A,PARAMETROS!D:D))</f>
        <v>2</v>
      </c>
      <c r="E896" t="str">
        <f>IF(_xlfn.XLOOKUP('PREENCHIMENTO|LETIVAS'!A896,PARAMETROS!A:A,PARAMETROS!I:I)=0,"",_xlfn.XLOOKUP('PREENCHIMENTO|LETIVAS'!A896,PARAMETROS!A:A,PARAMETROS!I:I))</f>
        <v>PROFESSOR DE ENSINO SUPERIOR EAD</v>
      </c>
      <c r="F896" s="3" t="s">
        <v>53</v>
      </c>
      <c r="G896" s="3">
        <v>1</v>
      </c>
      <c r="H896" s="3" t="s">
        <v>63</v>
      </c>
      <c r="I896" s="3" t="s">
        <v>33</v>
      </c>
      <c r="J896" s="3" t="s">
        <v>1671</v>
      </c>
      <c r="K896" s="3"/>
      <c r="L896" s="19"/>
    </row>
    <row r="897" spans="1:12">
      <c r="A897" s="3" t="s">
        <v>602</v>
      </c>
      <c r="B897" t="str">
        <f>IF(_xlfn.XLOOKUP(A897,PARAMETROS!A:A,PARAMETROS!B:B)=0,"",_xlfn.XLOOKUP(A897,PARAMETROS!A:A,PARAMETROS!B:B))</f>
        <v>012009006310</v>
      </c>
      <c r="C897">
        <f>IF(_xlfn.XLOOKUP(A897,PARAMETROS!A:A,PARAMETROS!C:C)=0,"",_xlfn.XLOOKUP(A897,PARAMETROS!A:A,PARAMETROS!C:C))</f>
        <v>12</v>
      </c>
      <c r="D897">
        <f>IF(_xlfn.XLOOKUP(A897,PARAMETROS!A:A,PARAMETROS!D:D)=0,"",_xlfn.XLOOKUP(A897,PARAMETROS!A:A,PARAMETROS!D:D))</f>
        <v>9</v>
      </c>
      <c r="E897" t="str">
        <f>IF(_xlfn.XLOOKUP('PREENCHIMENTO|LETIVAS'!A897,PARAMETROS!A:A,PARAMETROS!I:I)=0,"",_xlfn.XLOOKUP('PREENCHIMENTO|LETIVAS'!A897,PARAMETROS!A:A,PARAMETROS!I:I))</f>
        <v>PROFESSOR REGENTE</v>
      </c>
      <c r="F897" s="3" t="s">
        <v>53</v>
      </c>
      <c r="G897" s="3">
        <v>2</v>
      </c>
      <c r="H897" s="3" t="s">
        <v>55</v>
      </c>
      <c r="I897" s="3" t="s">
        <v>33</v>
      </c>
      <c r="J897" s="3" t="s">
        <v>1672</v>
      </c>
      <c r="K897" s="3"/>
      <c r="L897" s="19"/>
    </row>
    <row r="898" spans="1:12">
      <c r="A898" s="3" t="s">
        <v>228</v>
      </c>
      <c r="B898" t="str">
        <f>IF(_xlfn.XLOOKUP(A898,PARAMETROS!A:A,PARAMETROS!B:B)=0,"",_xlfn.XLOOKUP(A898,PARAMETROS!A:A,PARAMETROS!B:B))</f>
        <v>012009003473</v>
      </c>
      <c r="C898">
        <f>IF(_xlfn.XLOOKUP(A898,PARAMETROS!A:A,PARAMETROS!C:C)=0,"",_xlfn.XLOOKUP(A898,PARAMETROS!A:A,PARAMETROS!C:C))</f>
        <v>40</v>
      </c>
      <c r="D898">
        <f>IF(_xlfn.XLOOKUP(A898,PARAMETROS!A:A,PARAMETROS!D:D)=0,"",_xlfn.XLOOKUP(A898,PARAMETROS!A:A,PARAMETROS!D:D))</f>
        <v>4</v>
      </c>
      <c r="E898" t="str">
        <f>IF(_xlfn.XLOOKUP('PREENCHIMENTO|LETIVAS'!A898,PARAMETROS!A:A,PARAMETROS!I:I)=0,"",_xlfn.XLOOKUP('PREENCHIMENTO|LETIVAS'!A898,PARAMETROS!A:A,PARAMETROS!I:I))</f>
        <v>PROFESSOR DE ENSINO SUPERIOR EAD</v>
      </c>
      <c r="F898" s="3" t="s">
        <v>53</v>
      </c>
      <c r="G898" s="3">
        <v>2</v>
      </c>
      <c r="H898" s="3" t="s">
        <v>55</v>
      </c>
      <c r="I898" s="3" t="s">
        <v>33</v>
      </c>
      <c r="J898" s="3" t="s">
        <v>1673</v>
      </c>
      <c r="K898" s="3"/>
      <c r="L898" s="19"/>
    </row>
    <row r="899" spans="1:12">
      <c r="A899" s="3" t="s">
        <v>429</v>
      </c>
      <c r="B899" t="str">
        <f>IF(_xlfn.XLOOKUP(A899,PARAMETROS!A:A,PARAMETROS!B:B)=0,"",_xlfn.XLOOKUP(A899,PARAMETROS!A:A,PARAMETROS!B:B))</f>
        <v>012009004273</v>
      </c>
      <c r="C899">
        <f>IF(_xlfn.XLOOKUP(A899,PARAMETROS!A:A,PARAMETROS!C:C)=0,"",_xlfn.XLOOKUP(A899,PARAMETROS!A:A,PARAMETROS!C:C))</f>
        <v>40</v>
      </c>
      <c r="D899">
        <f>IF(_xlfn.XLOOKUP(A899,PARAMETROS!A:A,PARAMETROS!D:D)=0,"",_xlfn.XLOOKUP(A899,PARAMETROS!A:A,PARAMETROS!D:D))</f>
        <v>4</v>
      </c>
      <c r="E899" t="str">
        <f>IF(_xlfn.XLOOKUP('PREENCHIMENTO|LETIVAS'!A899,PARAMETROS!A:A,PARAMETROS!I:I)=0,"",_xlfn.XLOOKUP('PREENCHIMENTO|LETIVAS'!A899,PARAMETROS!A:A,PARAMETROS!I:I))</f>
        <v>PROFESSOR DE ENSINO SUPERIOR EAD</v>
      </c>
      <c r="F899" s="3" t="s">
        <v>53</v>
      </c>
      <c r="G899" s="3">
        <v>1</v>
      </c>
      <c r="H899" s="3" t="s">
        <v>55</v>
      </c>
      <c r="I899" s="3" t="s">
        <v>40</v>
      </c>
      <c r="J899" s="3" t="s">
        <v>1674</v>
      </c>
      <c r="K899" s="3"/>
      <c r="L899" s="19"/>
    </row>
    <row r="900" spans="1:12">
      <c r="A900" s="3" t="s">
        <v>267</v>
      </c>
      <c r="B900" t="str">
        <f>IF(_xlfn.XLOOKUP(A900,PARAMETROS!A:A,PARAMETROS!B:B)=0,"",_xlfn.XLOOKUP(A900,PARAMETROS!A:A,PARAMETROS!B:B))</f>
        <v>012009006198</v>
      </c>
      <c r="C900">
        <f>IF(_xlfn.XLOOKUP(A900,PARAMETROS!A:A,PARAMETROS!C:C)=0,"",_xlfn.XLOOKUP(A900,PARAMETROS!A:A,PARAMETROS!C:C))</f>
        <v>12</v>
      </c>
      <c r="D900">
        <f>IF(_xlfn.XLOOKUP(A900,PARAMETROS!A:A,PARAMETROS!D:D)=0,"",_xlfn.XLOOKUP(A900,PARAMETROS!A:A,PARAMETROS!D:D))</f>
        <v>9</v>
      </c>
      <c r="E900" t="str">
        <f>IF(_xlfn.XLOOKUP('PREENCHIMENTO|LETIVAS'!A900,PARAMETROS!A:A,PARAMETROS!I:I)=0,"",_xlfn.XLOOKUP('PREENCHIMENTO|LETIVAS'!A900,PARAMETROS!A:A,PARAMETROS!I:I))</f>
        <v>PROFESSOR REGENTE</v>
      </c>
      <c r="F900" s="3" t="s">
        <v>53</v>
      </c>
      <c r="G900" s="3">
        <v>2</v>
      </c>
      <c r="H900" s="3" t="s">
        <v>63</v>
      </c>
      <c r="I900" s="3" t="s">
        <v>33</v>
      </c>
      <c r="J900" s="3" t="s">
        <v>1675</v>
      </c>
      <c r="K900" s="3"/>
      <c r="L900" s="19"/>
    </row>
    <row r="901" spans="1:12">
      <c r="A901" s="3" t="s">
        <v>267</v>
      </c>
      <c r="B901" t="str">
        <f>IF(_xlfn.XLOOKUP(A901,PARAMETROS!A:A,PARAMETROS!B:B)=0,"",_xlfn.XLOOKUP(A901,PARAMETROS!A:A,PARAMETROS!B:B))</f>
        <v>012009006198</v>
      </c>
      <c r="C901">
        <f>IF(_xlfn.XLOOKUP(A901,PARAMETROS!A:A,PARAMETROS!C:C)=0,"",_xlfn.XLOOKUP(A901,PARAMETROS!A:A,PARAMETROS!C:C))</f>
        <v>12</v>
      </c>
      <c r="D901">
        <f>IF(_xlfn.XLOOKUP(A901,PARAMETROS!A:A,PARAMETROS!D:D)=0,"",_xlfn.XLOOKUP(A901,PARAMETROS!A:A,PARAMETROS!D:D))</f>
        <v>9</v>
      </c>
      <c r="E901" t="str">
        <f>IF(_xlfn.XLOOKUP('PREENCHIMENTO|LETIVAS'!A901,PARAMETROS!A:A,PARAMETROS!I:I)=0,"",_xlfn.XLOOKUP('PREENCHIMENTO|LETIVAS'!A901,PARAMETROS!A:A,PARAMETROS!I:I))</f>
        <v>PROFESSOR REGENTE</v>
      </c>
      <c r="F901" s="3" t="s">
        <v>53</v>
      </c>
      <c r="G901" s="3">
        <v>1</v>
      </c>
      <c r="H901" s="3" t="s">
        <v>63</v>
      </c>
      <c r="I901" s="3" t="s">
        <v>33</v>
      </c>
      <c r="J901" s="3" t="s">
        <v>1676</v>
      </c>
      <c r="K901" s="3"/>
      <c r="L901" s="19"/>
    </row>
    <row r="902" spans="1:12">
      <c r="A902" s="3" t="s">
        <v>659</v>
      </c>
      <c r="B902" t="str">
        <f>IF(_xlfn.XLOOKUP(A902,PARAMETROS!A:A,PARAMETROS!B:B)=0,"",_xlfn.XLOOKUP(A902,PARAMETROS!A:A,PARAMETROS!B:B))</f>
        <v>012009002566</v>
      </c>
      <c r="C902">
        <f>IF(_xlfn.XLOOKUP(A902,PARAMETROS!A:A,PARAMETROS!C:C)=0,"",_xlfn.XLOOKUP(A902,PARAMETROS!A:A,PARAMETROS!C:C))</f>
        <v>40</v>
      </c>
      <c r="D902">
        <f>IF(_xlfn.XLOOKUP(A902,PARAMETROS!A:A,PARAMETROS!D:D)=0,"",_xlfn.XLOOKUP(A902,PARAMETROS!A:A,PARAMETROS!D:D))</f>
        <v>20</v>
      </c>
      <c r="E902" t="str">
        <f>IF(_xlfn.XLOOKUP('PREENCHIMENTO|LETIVAS'!A902,PARAMETROS!A:A,PARAMETROS!I:I)=0,"",_xlfn.XLOOKUP('PREENCHIMENTO|LETIVAS'!A902,PARAMETROS!A:A,PARAMETROS!I:I))</f>
        <v>PROFESSOR REGENTE</v>
      </c>
      <c r="F902" s="3" t="s">
        <v>53</v>
      </c>
      <c r="G902" s="3" t="s">
        <v>54</v>
      </c>
      <c r="H902" s="3" t="s">
        <v>55</v>
      </c>
      <c r="I902" s="3" t="s">
        <v>40</v>
      </c>
      <c r="J902" s="3" t="s">
        <v>1677</v>
      </c>
      <c r="K902" s="3"/>
      <c r="L902" s="19"/>
    </row>
    <row r="903" spans="1:12">
      <c r="A903" s="3" t="s">
        <v>659</v>
      </c>
      <c r="B903" t="str">
        <f>IF(_xlfn.XLOOKUP(A903,PARAMETROS!A:A,PARAMETROS!B:B)=0,"",_xlfn.XLOOKUP(A903,PARAMETROS!A:A,PARAMETROS!B:B))</f>
        <v>012009002566</v>
      </c>
      <c r="C903">
        <f>IF(_xlfn.XLOOKUP(A903,PARAMETROS!A:A,PARAMETROS!C:C)=0,"",_xlfn.XLOOKUP(A903,PARAMETROS!A:A,PARAMETROS!C:C))</f>
        <v>40</v>
      </c>
      <c r="D903">
        <f>IF(_xlfn.XLOOKUP(A903,PARAMETROS!A:A,PARAMETROS!D:D)=0,"",_xlfn.XLOOKUP(A903,PARAMETROS!A:A,PARAMETROS!D:D))</f>
        <v>20</v>
      </c>
      <c r="E903" t="str">
        <f>IF(_xlfn.XLOOKUP('PREENCHIMENTO|LETIVAS'!A903,PARAMETROS!A:A,PARAMETROS!I:I)=0,"",_xlfn.XLOOKUP('PREENCHIMENTO|LETIVAS'!A903,PARAMETROS!A:A,PARAMETROS!I:I))</f>
        <v>PROFESSOR REGENTE</v>
      </c>
      <c r="F903" s="3" t="s">
        <v>53</v>
      </c>
      <c r="G903" s="3">
        <v>1</v>
      </c>
      <c r="H903" s="3" t="s">
        <v>32</v>
      </c>
      <c r="I903" s="3" t="s">
        <v>40</v>
      </c>
      <c r="J903" s="3" t="s">
        <v>1117</v>
      </c>
      <c r="K903" s="3"/>
      <c r="L903" s="19"/>
    </row>
    <row r="904" spans="1:12">
      <c r="A904" s="3" t="s">
        <v>662</v>
      </c>
      <c r="B904" t="str">
        <f>IF(_xlfn.XLOOKUP(A904,PARAMETROS!A:A,PARAMETROS!B:B)=0,"",_xlfn.XLOOKUP(A904,PARAMETROS!A:A,PARAMETROS!B:B))</f>
        <v>012009004054</v>
      </c>
      <c r="C904">
        <f>IF(_xlfn.XLOOKUP(A904,PARAMETROS!A:A,PARAMETROS!C:C)=0,"",_xlfn.XLOOKUP(A904,PARAMETROS!A:A,PARAMETROS!C:C))</f>
        <v>40</v>
      </c>
      <c r="D904">
        <f>IF(_xlfn.XLOOKUP(A904,PARAMETROS!A:A,PARAMETROS!D:D)=0,"",_xlfn.XLOOKUP(A904,PARAMETROS!A:A,PARAMETROS!D:D))</f>
        <v>20</v>
      </c>
      <c r="E904" t="str">
        <f>IF(_xlfn.XLOOKUP('PREENCHIMENTO|LETIVAS'!A904,PARAMETROS!A:A,PARAMETROS!I:I)=0,"",_xlfn.XLOOKUP('PREENCHIMENTO|LETIVAS'!A904,PARAMETROS!A:A,PARAMETROS!I:I))</f>
        <v>PROFESSOR REGENTE</v>
      </c>
      <c r="F904" s="3" t="s">
        <v>53</v>
      </c>
      <c r="G904" s="3" t="s">
        <v>54</v>
      </c>
      <c r="H904" s="3" t="s">
        <v>55</v>
      </c>
      <c r="I904" s="3" t="s">
        <v>33</v>
      </c>
      <c r="J904" s="3" t="s">
        <v>1678</v>
      </c>
      <c r="K904" s="3"/>
      <c r="L904" s="19"/>
    </row>
    <row r="905" spans="1:12">
      <c r="A905" s="3" t="s">
        <v>577</v>
      </c>
      <c r="B905" t="str">
        <f>IF(_xlfn.XLOOKUP(A905,PARAMETROS!A:A,PARAMETROS!B:B)=0,"",_xlfn.XLOOKUP(A905,PARAMETROS!A:A,PARAMETROS!B:B))</f>
        <v>012009006248</v>
      </c>
      <c r="C905">
        <f>IF(_xlfn.XLOOKUP(A905,PARAMETROS!A:A,PARAMETROS!C:C)=0,"",_xlfn.XLOOKUP(A905,PARAMETROS!A:A,PARAMETROS!C:C))</f>
        <v>12</v>
      </c>
      <c r="D905">
        <f>IF(_xlfn.XLOOKUP(A905,PARAMETROS!A:A,PARAMETROS!D:D)=0,"",_xlfn.XLOOKUP(A905,PARAMETROS!A:A,PARAMETROS!D:D))</f>
        <v>9</v>
      </c>
      <c r="E905" t="str">
        <f>IF(_xlfn.XLOOKUP('PREENCHIMENTO|LETIVAS'!A905,PARAMETROS!A:A,PARAMETROS!I:I)=0,"",_xlfn.XLOOKUP('PREENCHIMENTO|LETIVAS'!A905,PARAMETROS!A:A,PARAMETROS!I:I))</f>
        <v>PROFESSOR REGENTE</v>
      </c>
      <c r="F905" s="3" t="s">
        <v>53</v>
      </c>
      <c r="G905" s="3" t="s">
        <v>54</v>
      </c>
      <c r="H905" s="3" t="s">
        <v>55</v>
      </c>
      <c r="I905" s="3" t="s">
        <v>40</v>
      </c>
      <c r="J905" s="3" t="s">
        <v>1679</v>
      </c>
      <c r="K905" s="3"/>
      <c r="L905" s="19"/>
    </row>
    <row r="906" spans="1:12">
      <c r="A906" s="3" t="s">
        <v>148</v>
      </c>
      <c r="B906" t="str">
        <f>IF(_xlfn.XLOOKUP(A906,PARAMETROS!A:A,PARAMETROS!B:B)=0,"",_xlfn.XLOOKUP(A906,PARAMETROS!A:A,PARAMETROS!B:B))</f>
        <v>012009004467</v>
      </c>
      <c r="C906">
        <f>IF(_xlfn.XLOOKUP(A906,PARAMETROS!A:A,PARAMETROS!C:C)=0,"",_xlfn.XLOOKUP(A906,PARAMETROS!A:A,PARAMETROS!C:C))</f>
        <v>40</v>
      </c>
      <c r="D906">
        <f>IF(_xlfn.XLOOKUP(A906,PARAMETROS!A:A,PARAMETROS!D:D)=0,"",_xlfn.XLOOKUP(A906,PARAMETROS!A:A,PARAMETROS!D:D))</f>
        <v>4</v>
      </c>
      <c r="E906" t="str">
        <f>IF(_xlfn.XLOOKUP('PREENCHIMENTO|LETIVAS'!A906,PARAMETROS!A:A,PARAMETROS!I:I)=0,"",_xlfn.XLOOKUP('PREENCHIMENTO|LETIVAS'!A906,PARAMETROS!A:A,PARAMETROS!I:I))</f>
        <v>PROFESSOR DE ENSINO SUPERIOR EAD</v>
      </c>
      <c r="F906" s="3" t="s">
        <v>53</v>
      </c>
      <c r="G906" s="3">
        <v>2</v>
      </c>
      <c r="H906" s="3" t="s">
        <v>55</v>
      </c>
      <c r="I906" s="3" t="s">
        <v>33</v>
      </c>
      <c r="J906" s="3" t="s">
        <v>1460</v>
      </c>
      <c r="K906" s="3"/>
      <c r="L906" s="19"/>
    </row>
    <row r="907" spans="1:12">
      <c r="A907" s="3" t="s">
        <v>148</v>
      </c>
      <c r="B907" t="str">
        <f>IF(_xlfn.XLOOKUP(A907,PARAMETROS!A:A,PARAMETROS!B:B)=0,"",_xlfn.XLOOKUP(A907,PARAMETROS!A:A,PARAMETROS!B:B))</f>
        <v>012009004467</v>
      </c>
      <c r="C907">
        <f>IF(_xlfn.XLOOKUP(A907,PARAMETROS!A:A,PARAMETROS!C:C)=0,"",_xlfn.XLOOKUP(A907,PARAMETROS!A:A,PARAMETROS!C:C))</f>
        <v>40</v>
      </c>
      <c r="D907">
        <f>IF(_xlfn.XLOOKUP(A907,PARAMETROS!A:A,PARAMETROS!D:D)=0,"",_xlfn.XLOOKUP(A907,PARAMETROS!A:A,PARAMETROS!D:D))</f>
        <v>4</v>
      </c>
      <c r="E907" t="str">
        <f>IF(_xlfn.XLOOKUP('PREENCHIMENTO|LETIVAS'!A907,PARAMETROS!A:A,PARAMETROS!I:I)=0,"",_xlfn.XLOOKUP('PREENCHIMENTO|LETIVAS'!A907,PARAMETROS!A:A,PARAMETROS!I:I))</f>
        <v>PROFESSOR DE ENSINO SUPERIOR EAD</v>
      </c>
      <c r="F907" s="3" t="s">
        <v>53</v>
      </c>
      <c r="G907" s="3">
        <v>2</v>
      </c>
      <c r="H907" s="3" t="s">
        <v>55</v>
      </c>
      <c r="I907" s="3" t="s">
        <v>40</v>
      </c>
      <c r="J907" s="3" t="s">
        <v>1680</v>
      </c>
      <c r="K907" s="3"/>
      <c r="L907" s="19"/>
    </row>
    <row r="908" spans="1:12">
      <c r="A908" s="3" t="s">
        <v>321</v>
      </c>
      <c r="B908" t="str">
        <f>IF(_xlfn.XLOOKUP(A908,PARAMETROS!A:A,PARAMETROS!B:B)=0,"",_xlfn.XLOOKUP(A908,PARAMETROS!A:A,PARAMETROS!B:B))</f>
        <v>012009003978</v>
      </c>
      <c r="C908">
        <f>IF(_xlfn.XLOOKUP(A908,PARAMETROS!A:A,PARAMETROS!C:C)=0,"",_xlfn.XLOOKUP(A908,PARAMETROS!A:A,PARAMETROS!C:C))</f>
        <v>40</v>
      </c>
      <c r="D908">
        <f>IF(_xlfn.XLOOKUP(A908,PARAMETROS!A:A,PARAMETROS!D:D)=0,"",_xlfn.XLOOKUP(A908,PARAMETROS!A:A,PARAMETROS!D:D))</f>
        <v>4</v>
      </c>
      <c r="E908" t="str">
        <f>IF(_xlfn.XLOOKUP('PREENCHIMENTO|LETIVAS'!A908,PARAMETROS!A:A,PARAMETROS!I:I)=0,"",_xlfn.XLOOKUP('PREENCHIMENTO|LETIVAS'!A908,PARAMETROS!A:A,PARAMETROS!I:I))</f>
        <v>PROFESSOR DE ENSINO SUPERIOR EAD</v>
      </c>
      <c r="F908" s="3" t="s">
        <v>53</v>
      </c>
      <c r="G908" s="3">
        <v>2</v>
      </c>
      <c r="H908" s="3" t="s">
        <v>32</v>
      </c>
      <c r="I908" s="3" t="s">
        <v>40</v>
      </c>
      <c r="J908" s="3" t="s">
        <v>1026</v>
      </c>
      <c r="K908" s="3"/>
      <c r="L908" s="19"/>
    </row>
    <row r="909" spans="1:12">
      <c r="A909" s="3" t="s">
        <v>237</v>
      </c>
      <c r="B909" t="str">
        <f>IF(_xlfn.XLOOKUP(A909,PARAMETROS!A:A,PARAMETROS!B:B)=0,"",_xlfn.XLOOKUP(A909,PARAMETROS!A:A,PARAMETROS!B:B))</f>
        <v>012009006182</v>
      </c>
      <c r="C909">
        <f>IF(_xlfn.XLOOKUP(A909,PARAMETROS!A:A,PARAMETROS!C:C)=0,"",_xlfn.XLOOKUP(A909,PARAMETROS!A:A,PARAMETROS!C:C))</f>
        <v>12</v>
      </c>
      <c r="D909">
        <f>IF(_xlfn.XLOOKUP(A909,PARAMETROS!A:A,PARAMETROS!D:D)=0,"",_xlfn.XLOOKUP(A909,PARAMETROS!A:A,PARAMETROS!D:D))</f>
        <v>9</v>
      </c>
      <c r="E909" t="str">
        <f>IF(_xlfn.XLOOKUP('PREENCHIMENTO|LETIVAS'!A909,PARAMETROS!A:A,PARAMETROS!I:I)=0,"",_xlfn.XLOOKUP('PREENCHIMENTO|LETIVAS'!A909,PARAMETROS!A:A,PARAMETROS!I:I))</f>
        <v>PROFESSOR REGENTE</v>
      </c>
      <c r="F909" s="3" t="s">
        <v>53</v>
      </c>
      <c r="G909" s="3">
        <v>1</v>
      </c>
      <c r="H909" s="3" t="s">
        <v>39</v>
      </c>
      <c r="I909" s="3" t="s">
        <v>33</v>
      </c>
      <c r="J909" s="3" t="s">
        <v>1681</v>
      </c>
      <c r="K909" s="3"/>
      <c r="L909" s="19"/>
    </row>
    <row r="910" spans="1:12">
      <c r="A910" s="3" t="s">
        <v>237</v>
      </c>
      <c r="B910" t="str">
        <f>IF(_xlfn.XLOOKUP(A910,PARAMETROS!A:A,PARAMETROS!B:B)=0,"",_xlfn.XLOOKUP(A910,PARAMETROS!A:A,PARAMETROS!B:B))</f>
        <v>012009006182</v>
      </c>
      <c r="C910">
        <f>IF(_xlfn.XLOOKUP(A910,PARAMETROS!A:A,PARAMETROS!C:C)=0,"",_xlfn.XLOOKUP(A910,PARAMETROS!A:A,PARAMETROS!C:C))</f>
        <v>12</v>
      </c>
      <c r="D910">
        <f>IF(_xlfn.XLOOKUP(A910,PARAMETROS!A:A,PARAMETROS!D:D)=0,"",_xlfn.XLOOKUP(A910,PARAMETROS!A:A,PARAMETROS!D:D))</f>
        <v>9</v>
      </c>
      <c r="E910" t="str">
        <f>IF(_xlfn.XLOOKUP('PREENCHIMENTO|LETIVAS'!A910,PARAMETROS!A:A,PARAMETROS!I:I)=0,"",_xlfn.XLOOKUP('PREENCHIMENTO|LETIVAS'!A910,PARAMETROS!A:A,PARAMETROS!I:I))</f>
        <v>PROFESSOR REGENTE</v>
      </c>
      <c r="F910" s="3" t="s">
        <v>53</v>
      </c>
      <c r="G910" s="3">
        <v>2</v>
      </c>
      <c r="H910" s="3" t="s">
        <v>39</v>
      </c>
      <c r="I910" s="3" t="s">
        <v>40</v>
      </c>
      <c r="J910" s="3" t="s">
        <v>1682</v>
      </c>
      <c r="K910" s="3"/>
      <c r="L910" s="19"/>
    </row>
    <row r="911" spans="1:12">
      <c r="A911" s="3" t="s">
        <v>340</v>
      </c>
      <c r="B911" t="str">
        <f>IF(_xlfn.XLOOKUP(A911,PARAMETROS!A:A,PARAMETROS!B:B)=0,"",_xlfn.XLOOKUP(A911,PARAMETROS!A:A,PARAMETROS!B:B))</f>
        <v>012009003508</v>
      </c>
      <c r="C911">
        <f>IF(_xlfn.XLOOKUP(A911,PARAMETROS!A:A,PARAMETROS!C:C)=0,"",_xlfn.XLOOKUP(A911,PARAMETROS!A:A,PARAMETROS!C:C))</f>
        <v>20</v>
      </c>
      <c r="D911">
        <f>IF(_xlfn.XLOOKUP(A911,PARAMETROS!A:A,PARAMETROS!D:D)=0,"",_xlfn.XLOOKUP(A911,PARAMETROS!A:A,PARAMETROS!D:D))</f>
        <v>2</v>
      </c>
      <c r="E911" t="str">
        <f>IF(_xlfn.XLOOKUP('PREENCHIMENTO|LETIVAS'!A911,PARAMETROS!A:A,PARAMETROS!I:I)=0,"",_xlfn.XLOOKUP('PREENCHIMENTO|LETIVAS'!A911,PARAMETROS!A:A,PARAMETROS!I:I))</f>
        <v>PROFESSOR DE ENSINO SUPERIOR EAD</v>
      </c>
      <c r="F911" s="3" t="s">
        <v>53</v>
      </c>
      <c r="G911" s="3">
        <v>1</v>
      </c>
      <c r="H911" s="3" t="s">
        <v>39</v>
      </c>
      <c r="I911" s="3" t="s">
        <v>40</v>
      </c>
      <c r="J911" s="3" t="s">
        <v>1683</v>
      </c>
      <c r="K911" s="3"/>
      <c r="L911" s="19"/>
    </row>
    <row r="912" spans="1:12">
      <c r="A912" s="3" t="s">
        <v>700</v>
      </c>
      <c r="B912" t="str">
        <f>IF(_xlfn.XLOOKUP(A912,PARAMETROS!A:A,PARAMETROS!B:B)=0,"",_xlfn.XLOOKUP(A912,PARAMETROS!A:A,PARAMETROS!B:B))</f>
        <v>012009006356</v>
      </c>
      <c r="C912">
        <f>IF(_xlfn.XLOOKUP(A912,PARAMETROS!A:A,PARAMETROS!C:C)=0,"",_xlfn.XLOOKUP(A912,PARAMETROS!A:A,PARAMETROS!C:C))</f>
        <v>12</v>
      </c>
      <c r="D912">
        <f>IF(_xlfn.XLOOKUP(A912,PARAMETROS!A:A,PARAMETROS!D:D)=0,"",_xlfn.XLOOKUP(A912,PARAMETROS!A:A,PARAMETROS!D:D))</f>
        <v>9</v>
      </c>
      <c r="E912" t="str">
        <f>IF(_xlfn.XLOOKUP('PREENCHIMENTO|LETIVAS'!A912,PARAMETROS!A:A,PARAMETROS!I:I)=0,"",_xlfn.XLOOKUP('PREENCHIMENTO|LETIVAS'!A912,PARAMETROS!A:A,PARAMETROS!I:I))</f>
        <v>PROFESSOR REGENTE</v>
      </c>
      <c r="F912" s="3" t="s">
        <v>53</v>
      </c>
      <c r="G912" s="3">
        <v>1</v>
      </c>
      <c r="H912" s="3" t="s">
        <v>63</v>
      </c>
      <c r="I912" s="3" t="s">
        <v>33</v>
      </c>
      <c r="J912" s="3" t="s">
        <v>1684</v>
      </c>
      <c r="K912" s="3"/>
      <c r="L912" s="19"/>
    </row>
    <row r="913" spans="1:12">
      <c r="A913" s="3" t="s">
        <v>258</v>
      </c>
      <c r="B913" t="str">
        <f>IF(_xlfn.XLOOKUP(A913,PARAMETROS!A:A,PARAMETROS!B:B)=0,"",_xlfn.XLOOKUP(A913,PARAMETROS!A:A,PARAMETROS!B:B))</f>
        <v>012009005549</v>
      </c>
      <c r="C913">
        <f>IF(_xlfn.XLOOKUP(A913,PARAMETROS!A:A,PARAMETROS!C:C)=0,"",_xlfn.XLOOKUP(A913,PARAMETROS!A:A,PARAMETROS!C:C))</f>
        <v>20</v>
      </c>
      <c r="D913">
        <f>IF(_xlfn.XLOOKUP(A913,PARAMETROS!A:A,PARAMETROS!D:D)=0,"",_xlfn.XLOOKUP(A913,PARAMETROS!A:A,PARAMETROS!D:D))</f>
        <v>2</v>
      </c>
      <c r="E913" t="str">
        <f>IF(_xlfn.XLOOKUP('PREENCHIMENTO|LETIVAS'!A913,PARAMETROS!A:A,PARAMETROS!I:I)=0,"",_xlfn.XLOOKUP('PREENCHIMENTO|LETIVAS'!A913,PARAMETROS!A:A,PARAMETROS!I:I))</f>
        <v>PROFESSOR DE ENSINO SUPERIOR EAD</v>
      </c>
      <c r="F913" s="3" t="s">
        <v>53</v>
      </c>
      <c r="G913" s="3" t="s">
        <v>54</v>
      </c>
      <c r="H913" s="3" t="s">
        <v>55</v>
      </c>
      <c r="I913" s="3" t="s">
        <v>33</v>
      </c>
      <c r="J913" s="3" t="s">
        <v>1685</v>
      </c>
      <c r="K913" s="3"/>
      <c r="L913" s="19"/>
    </row>
    <row r="914" spans="1:12">
      <c r="A914" s="3" t="s">
        <v>258</v>
      </c>
      <c r="B914" t="str">
        <f>IF(_xlfn.XLOOKUP(A914,PARAMETROS!A:A,PARAMETROS!B:B)=0,"",_xlfn.XLOOKUP(A914,PARAMETROS!A:A,PARAMETROS!B:B))</f>
        <v>012009005549</v>
      </c>
      <c r="C914">
        <f>IF(_xlfn.XLOOKUP(A914,PARAMETROS!A:A,PARAMETROS!C:C)=0,"",_xlfn.XLOOKUP(A914,PARAMETROS!A:A,PARAMETROS!C:C))</f>
        <v>20</v>
      </c>
      <c r="D914">
        <f>IF(_xlfn.XLOOKUP(A914,PARAMETROS!A:A,PARAMETROS!D:D)=0,"",_xlfn.XLOOKUP(A914,PARAMETROS!A:A,PARAMETROS!D:D))</f>
        <v>2</v>
      </c>
      <c r="E914" t="str">
        <f>IF(_xlfn.XLOOKUP('PREENCHIMENTO|LETIVAS'!A914,PARAMETROS!A:A,PARAMETROS!I:I)=0,"",_xlfn.XLOOKUP('PREENCHIMENTO|LETIVAS'!A914,PARAMETROS!A:A,PARAMETROS!I:I))</f>
        <v>PROFESSOR DE ENSINO SUPERIOR EAD</v>
      </c>
      <c r="F914" s="3" t="s">
        <v>53</v>
      </c>
      <c r="G914" s="3" t="s">
        <v>54</v>
      </c>
      <c r="H914" s="3" t="s">
        <v>63</v>
      </c>
      <c r="I914" s="3" t="s">
        <v>33</v>
      </c>
      <c r="J914" s="3" t="s">
        <v>1686</v>
      </c>
      <c r="K914" s="3"/>
      <c r="L914" s="19"/>
    </row>
    <row r="915" spans="1:12">
      <c r="A915" s="3" t="s">
        <v>580</v>
      </c>
      <c r="B915" t="str">
        <f>IF(_xlfn.XLOOKUP(A915,PARAMETROS!A:A,PARAMETROS!B:B)=0,"",_xlfn.XLOOKUP(A915,PARAMETROS!A:A,PARAMETROS!B:B))</f>
        <v>012009006249</v>
      </c>
      <c r="C915">
        <f>IF(_xlfn.XLOOKUP(A915,PARAMETROS!A:A,PARAMETROS!C:C)=0,"",_xlfn.XLOOKUP(A915,PARAMETROS!A:A,PARAMETROS!C:C))</f>
        <v>12</v>
      </c>
      <c r="D915">
        <f>IF(_xlfn.XLOOKUP(A915,PARAMETROS!A:A,PARAMETROS!D:D)=0,"",_xlfn.XLOOKUP(A915,PARAMETROS!A:A,PARAMETROS!D:D))</f>
        <v>9</v>
      </c>
      <c r="E915" t="str">
        <f>IF(_xlfn.XLOOKUP('PREENCHIMENTO|LETIVAS'!A915,PARAMETROS!A:A,PARAMETROS!I:I)=0,"",_xlfn.XLOOKUP('PREENCHIMENTO|LETIVAS'!A915,PARAMETROS!A:A,PARAMETROS!I:I))</f>
        <v>PROFESSOR REGENTE</v>
      </c>
      <c r="F915" s="3" t="s">
        <v>53</v>
      </c>
      <c r="G915" s="3" t="s">
        <v>54</v>
      </c>
      <c r="H915" s="3" t="s">
        <v>55</v>
      </c>
      <c r="I915" s="3" t="s">
        <v>33</v>
      </c>
      <c r="J915" s="3" t="s">
        <v>1687</v>
      </c>
      <c r="K915" s="3"/>
      <c r="L915" s="19"/>
    </row>
    <row r="916" spans="1:12">
      <c r="A916" s="3" t="s">
        <v>580</v>
      </c>
      <c r="B916" t="str">
        <f>IF(_xlfn.XLOOKUP(A916,PARAMETROS!A:A,PARAMETROS!B:B)=0,"",_xlfn.XLOOKUP(A916,PARAMETROS!A:A,PARAMETROS!B:B))</f>
        <v>012009006249</v>
      </c>
      <c r="C916">
        <f>IF(_xlfn.XLOOKUP(A916,PARAMETROS!A:A,PARAMETROS!C:C)=0,"",_xlfn.XLOOKUP(A916,PARAMETROS!A:A,PARAMETROS!C:C))</f>
        <v>12</v>
      </c>
      <c r="D916">
        <f>IF(_xlfn.XLOOKUP(A916,PARAMETROS!A:A,PARAMETROS!D:D)=0,"",_xlfn.XLOOKUP(A916,PARAMETROS!A:A,PARAMETROS!D:D))</f>
        <v>9</v>
      </c>
      <c r="E916" t="str">
        <f>IF(_xlfn.XLOOKUP('PREENCHIMENTO|LETIVAS'!A916,PARAMETROS!A:A,PARAMETROS!I:I)=0,"",_xlfn.XLOOKUP('PREENCHIMENTO|LETIVAS'!A916,PARAMETROS!A:A,PARAMETROS!I:I))</f>
        <v>PROFESSOR REGENTE</v>
      </c>
      <c r="F916" s="3" t="s">
        <v>53</v>
      </c>
      <c r="G916" s="3" t="s">
        <v>54</v>
      </c>
      <c r="H916" s="3" t="s">
        <v>63</v>
      </c>
      <c r="I916" s="3" t="s">
        <v>33</v>
      </c>
      <c r="J916" s="3" t="s">
        <v>1688</v>
      </c>
      <c r="K916" s="3"/>
      <c r="L916" s="19"/>
    </row>
    <row r="917" spans="1:12">
      <c r="A917" s="3" t="s">
        <v>493</v>
      </c>
      <c r="B917" t="str">
        <f>IF(_xlfn.XLOOKUP(A917,PARAMETROS!A:A,PARAMETROS!B:B)=0,"",_xlfn.XLOOKUP(A917,PARAMETROS!A:A,PARAMETROS!B:B))</f>
        <v>012009003935</v>
      </c>
      <c r="C917">
        <f>IF(_xlfn.XLOOKUP(A917,PARAMETROS!A:A,PARAMETROS!C:C)=0,"",_xlfn.XLOOKUP(A917,PARAMETROS!A:A,PARAMETROS!C:C))</f>
        <v>20</v>
      </c>
      <c r="D917">
        <f>IF(_xlfn.XLOOKUP(A917,PARAMETROS!A:A,PARAMETROS!D:D)=0,"",_xlfn.XLOOKUP(A917,PARAMETROS!A:A,PARAMETROS!D:D))</f>
        <v>2</v>
      </c>
      <c r="E917" t="str">
        <f>IF(_xlfn.XLOOKUP('PREENCHIMENTO|LETIVAS'!A917,PARAMETROS!A:A,PARAMETROS!I:I)=0,"",_xlfn.XLOOKUP('PREENCHIMENTO|LETIVAS'!A917,PARAMETROS!A:A,PARAMETROS!I:I))</f>
        <v>PROFESSOR DE ENSINO SUPERIOR EAD</v>
      </c>
      <c r="F917" s="3" t="s">
        <v>53</v>
      </c>
      <c r="G917" s="3">
        <v>1</v>
      </c>
      <c r="H917" s="3" t="s">
        <v>55</v>
      </c>
      <c r="I917" s="3" t="s">
        <v>33</v>
      </c>
      <c r="J917" s="3" t="s">
        <v>1689</v>
      </c>
      <c r="K917" s="3"/>
      <c r="L917" s="19"/>
    </row>
    <row r="918" spans="1:12">
      <c r="A918" s="3" t="s">
        <v>493</v>
      </c>
      <c r="B918" t="str">
        <f>IF(_xlfn.XLOOKUP(A918,PARAMETROS!A:A,PARAMETROS!B:B)=0,"",_xlfn.XLOOKUP(A918,PARAMETROS!A:A,PARAMETROS!B:B))</f>
        <v>012009003935</v>
      </c>
      <c r="C918">
        <f>IF(_xlfn.XLOOKUP(A918,PARAMETROS!A:A,PARAMETROS!C:C)=0,"",_xlfn.XLOOKUP(A918,PARAMETROS!A:A,PARAMETROS!C:C))</f>
        <v>20</v>
      </c>
      <c r="D918">
        <f>IF(_xlfn.XLOOKUP(A918,PARAMETROS!A:A,PARAMETROS!D:D)=0,"",_xlfn.XLOOKUP(A918,PARAMETROS!A:A,PARAMETROS!D:D))</f>
        <v>2</v>
      </c>
      <c r="E918" t="str">
        <f>IF(_xlfn.XLOOKUP('PREENCHIMENTO|LETIVAS'!A918,PARAMETROS!A:A,PARAMETROS!I:I)=0,"",_xlfn.XLOOKUP('PREENCHIMENTO|LETIVAS'!A918,PARAMETROS!A:A,PARAMETROS!I:I))</f>
        <v>PROFESSOR DE ENSINO SUPERIOR EAD</v>
      </c>
      <c r="F918" s="3" t="s">
        <v>53</v>
      </c>
      <c r="G918" s="3">
        <v>2</v>
      </c>
      <c r="H918" s="3" t="s">
        <v>55</v>
      </c>
      <c r="I918" s="3" t="s">
        <v>40</v>
      </c>
      <c r="J918" s="3" t="s">
        <v>1690</v>
      </c>
      <c r="K918" s="3"/>
      <c r="L918" s="19"/>
    </row>
    <row r="919" spans="1:12">
      <c r="A919" s="3" t="s">
        <v>103</v>
      </c>
      <c r="B919" t="str">
        <f>IF(_xlfn.XLOOKUP(A919,PARAMETROS!A:A,PARAMETROS!B:B)=0,"",_xlfn.XLOOKUP(A919,PARAMETROS!A:A,PARAMETROS!B:B))</f>
        <v>012009003540</v>
      </c>
      <c r="C919">
        <f>IF(_xlfn.XLOOKUP(A919,PARAMETROS!A:A,PARAMETROS!C:C)=0,"",_xlfn.XLOOKUP(A919,PARAMETROS!A:A,PARAMETROS!C:C))</f>
        <v>40</v>
      </c>
      <c r="D919">
        <f>IF(_xlfn.XLOOKUP(A919,PARAMETROS!A:A,PARAMETROS!D:D)=0,"",_xlfn.XLOOKUP(A919,PARAMETROS!A:A,PARAMETROS!D:D))</f>
        <v>4</v>
      </c>
      <c r="E919" t="str">
        <f>IF(_xlfn.XLOOKUP('PREENCHIMENTO|LETIVAS'!A919,PARAMETROS!A:A,PARAMETROS!I:I)=0,"",_xlfn.XLOOKUP('PREENCHIMENTO|LETIVAS'!A919,PARAMETROS!A:A,PARAMETROS!I:I))</f>
        <v>PROFESSOR DE ENSINO SUPERIOR EAD</v>
      </c>
      <c r="F919" s="3" t="s">
        <v>53</v>
      </c>
      <c r="G919" s="3">
        <v>2</v>
      </c>
      <c r="H919" s="3" t="s">
        <v>55</v>
      </c>
      <c r="I919" s="3" t="s">
        <v>33</v>
      </c>
      <c r="J919" s="3" t="s">
        <v>1691</v>
      </c>
      <c r="K919" s="3"/>
      <c r="L919" s="19"/>
    </row>
    <row r="920" spans="1:12">
      <c r="A920" s="3" t="s">
        <v>365</v>
      </c>
      <c r="B920" t="str">
        <f>IF(_xlfn.XLOOKUP(A920,PARAMETROS!A:A,PARAMETROS!B:B)=0,"",_xlfn.XLOOKUP(A920,PARAMETROS!A:A,PARAMETROS!B:B))</f>
        <v>012009003465</v>
      </c>
      <c r="C920">
        <f>IF(_xlfn.XLOOKUP(A920,PARAMETROS!A:A,PARAMETROS!C:C)=0,"",_xlfn.XLOOKUP(A920,PARAMETROS!A:A,PARAMETROS!C:C))</f>
        <v>40</v>
      </c>
      <c r="D920">
        <f>IF(_xlfn.XLOOKUP(A920,PARAMETROS!A:A,PARAMETROS!D:D)=0,"",_xlfn.XLOOKUP(A920,PARAMETROS!A:A,PARAMETROS!D:D))</f>
        <v>4</v>
      </c>
      <c r="E920" t="str">
        <f>IF(_xlfn.XLOOKUP('PREENCHIMENTO|LETIVAS'!A920,PARAMETROS!A:A,PARAMETROS!I:I)=0,"",_xlfn.XLOOKUP('PREENCHIMENTO|LETIVAS'!A920,PARAMETROS!A:A,PARAMETROS!I:I))</f>
        <v>PROFESSOR DE ENSINO SUPERIOR EAD</v>
      </c>
      <c r="F920" s="3" t="s">
        <v>53</v>
      </c>
      <c r="G920" s="3">
        <v>2</v>
      </c>
      <c r="H920" s="3" t="s">
        <v>55</v>
      </c>
      <c r="I920" s="3" t="s">
        <v>40</v>
      </c>
      <c r="J920" s="3" t="s">
        <v>1692</v>
      </c>
      <c r="K920" s="3"/>
      <c r="L920" s="19"/>
    </row>
    <row r="921" spans="1:12">
      <c r="A921" s="3" t="s">
        <v>662</v>
      </c>
      <c r="B921" t="str">
        <f>IF(_xlfn.XLOOKUP(A921,PARAMETROS!A:A,PARAMETROS!B:B)=0,"",_xlfn.XLOOKUP(A921,PARAMETROS!A:A,PARAMETROS!B:B))</f>
        <v>012009004054</v>
      </c>
      <c r="C921">
        <f>IF(_xlfn.XLOOKUP(A921,PARAMETROS!A:A,PARAMETROS!C:C)=0,"",_xlfn.XLOOKUP(A921,PARAMETROS!A:A,PARAMETROS!C:C))</f>
        <v>40</v>
      </c>
      <c r="D921">
        <f>IF(_xlfn.XLOOKUP(A921,PARAMETROS!A:A,PARAMETROS!D:D)=0,"",_xlfn.XLOOKUP(A921,PARAMETROS!A:A,PARAMETROS!D:D))</f>
        <v>20</v>
      </c>
      <c r="E921" t="str">
        <f>IF(_xlfn.XLOOKUP('PREENCHIMENTO|LETIVAS'!A921,PARAMETROS!A:A,PARAMETROS!I:I)=0,"",_xlfn.XLOOKUP('PREENCHIMENTO|LETIVAS'!A921,PARAMETROS!A:A,PARAMETROS!I:I))</f>
        <v>PROFESSOR REGENTE</v>
      </c>
      <c r="F921" s="3" t="s">
        <v>53</v>
      </c>
      <c r="G921" s="3">
        <v>2</v>
      </c>
      <c r="H921" s="3" t="s">
        <v>55</v>
      </c>
      <c r="I921" s="3" t="s">
        <v>40</v>
      </c>
      <c r="J921" s="3" t="s">
        <v>1693</v>
      </c>
      <c r="K921" s="3"/>
      <c r="L921" s="19"/>
    </row>
    <row r="922" spans="1:12">
      <c r="A922" s="3" t="s">
        <v>398</v>
      </c>
      <c r="B922" t="str">
        <f>IF(_xlfn.XLOOKUP(A922,PARAMETROS!A:A,PARAMETROS!B:B)=0,"",_xlfn.XLOOKUP(A922,PARAMETROS!A:A,PARAMETROS!B:B))</f>
        <v>012009006236</v>
      </c>
      <c r="C922">
        <f>IF(_xlfn.XLOOKUP(A922,PARAMETROS!A:A,PARAMETROS!C:C)=0,"",_xlfn.XLOOKUP(A922,PARAMETROS!A:A,PARAMETROS!C:C))</f>
        <v>12</v>
      </c>
      <c r="D922">
        <f>IF(_xlfn.XLOOKUP(A922,PARAMETROS!A:A,PARAMETROS!D:D)=0,"",_xlfn.XLOOKUP(A922,PARAMETROS!A:A,PARAMETROS!D:D))</f>
        <v>9</v>
      </c>
      <c r="E922" t="str">
        <f>IF(_xlfn.XLOOKUP('PREENCHIMENTO|LETIVAS'!A922,PARAMETROS!A:A,PARAMETROS!I:I)=0,"",_xlfn.XLOOKUP('PREENCHIMENTO|LETIVAS'!A922,PARAMETROS!A:A,PARAMETROS!I:I))</f>
        <v>PROFESSOR REGENTE</v>
      </c>
      <c r="F922" s="3" t="s">
        <v>53</v>
      </c>
      <c r="G922" s="3">
        <v>1</v>
      </c>
      <c r="H922" s="3" t="s">
        <v>63</v>
      </c>
      <c r="I922" s="3" t="s">
        <v>33</v>
      </c>
      <c r="J922" s="3" t="s">
        <v>1340</v>
      </c>
      <c r="K922" s="3"/>
      <c r="L922" s="19"/>
    </row>
    <row r="923" spans="1:12">
      <c r="A923" s="3" t="s">
        <v>252</v>
      </c>
      <c r="B923" t="str">
        <f>IF(_xlfn.XLOOKUP(A923,PARAMETROS!A:A,PARAMETROS!B:B)=0,"",_xlfn.XLOOKUP(A923,PARAMETROS!A:A,PARAMETROS!B:B))</f>
        <v>012009003544</v>
      </c>
      <c r="C923">
        <f>IF(_xlfn.XLOOKUP(A923,PARAMETROS!A:A,PARAMETROS!C:C)=0,"",_xlfn.XLOOKUP(A923,PARAMETROS!A:A,PARAMETROS!C:C))</f>
        <v>20</v>
      </c>
      <c r="D923">
        <f>IF(_xlfn.XLOOKUP(A923,PARAMETROS!A:A,PARAMETROS!D:D)=0,"",_xlfn.XLOOKUP(A923,PARAMETROS!A:A,PARAMETROS!D:D))</f>
        <v>2</v>
      </c>
      <c r="E923" t="str">
        <f>IF(_xlfn.XLOOKUP('PREENCHIMENTO|LETIVAS'!A923,PARAMETROS!A:A,PARAMETROS!I:I)=0,"",_xlfn.XLOOKUP('PREENCHIMENTO|LETIVAS'!A923,PARAMETROS!A:A,PARAMETROS!I:I))</f>
        <v>PROFESSOR DE ENSINO SUPERIOR EAD</v>
      </c>
      <c r="F923" s="3" t="s">
        <v>53</v>
      </c>
      <c r="G923" s="3">
        <v>1</v>
      </c>
      <c r="H923" s="3" t="s">
        <v>39</v>
      </c>
      <c r="I923" s="3" t="s">
        <v>33</v>
      </c>
      <c r="J923" s="3" t="s">
        <v>1694</v>
      </c>
      <c r="K923" s="3"/>
      <c r="L923" s="19"/>
    </row>
    <row r="924" spans="1:12">
      <c r="A924" s="3" t="s">
        <v>162</v>
      </c>
      <c r="B924" t="str">
        <f>IF(_xlfn.XLOOKUP(A924,PARAMETROS!A:A,PARAMETROS!B:B)=0,"",_xlfn.XLOOKUP(A924,PARAMETROS!A:A,PARAMETROS!B:B))</f>
        <v>012009003638</v>
      </c>
      <c r="C924">
        <f>IF(_xlfn.XLOOKUP(A924,PARAMETROS!A:A,PARAMETROS!C:C)=0,"",_xlfn.XLOOKUP(A924,PARAMETROS!A:A,PARAMETROS!C:C))</f>
        <v>20</v>
      </c>
      <c r="D924">
        <f>IF(_xlfn.XLOOKUP(A924,PARAMETROS!A:A,PARAMETROS!D:D)=0,"",_xlfn.XLOOKUP(A924,PARAMETROS!A:A,PARAMETROS!D:D))</f>
        <v>2</v>
      </c>
      <c r="E924" t="str">
        <f>IF(_xlfn.XLOOKUP('PREENCHIMENTO|LETIVAS'!A924,PARAMETROS!A:A,PARAMETROS!I:I)=0,"",_xlfn.XLOOKUP('PREENCHIMENTO|LETIVAS'!A924,PARAMETROS!A:A,PARAMETROS!I:I))</f>
        <v>PROFESSOR DE ENSINO SUPERIOR EAD</v>
      </c>
      <c r="F924" s="3" t="s">
        <v>53</v>
      </c>
      <c r="G924" s="3">
        <v>2</v>
      </c>
      <c r="H924" s="3" t="s">
        <v>63</v>
      </c>
      <c r="I924" s="3" t="s">
        <v>40</v>
      </c>
      <c r="J924" s="3" t="s">
        <v>1664</v>
      </c>
      <c r="K924" s="3"/>
      <c r="L924" s="19"/>
    </row>
    <row r="925" spans="1:12">
      <c r="A925" s="3" t="s">
        <v>162</v>
      </c>
      <c r="B925" t="str">
        <f>IF(_xlfn.XLOOKUP(A925,PARAMETROS!A:A,PARAMETROS!B:B)=0,"",_xlfn.XLOOKUP(A925,PARAMETROS!A:A,PARAMETROS!B:B))</f>
        <v>012009003638</v>
      </c>
      <c r="C925">
        <f>IF(_xlfn.XLOOKUP(A925,PARAMETROS!A:A,PARAMETROS!C:C)=0,"",_xlfn.XLOOKUP(A925,PARAMETROS!A:A,PARAMETROS!C:C))</f>
        <v>20</v>
      </c>
      <c r="D925">
        <f>IF(_xlfn.XLOOKUP(A925,PARAMETROS!A:A,PARAMETROS!D:D)=0,"",_xlfn.XLOOKUP(A925,PARAMETROS!A:A,PARAMETROS!D:D))</f>
        <v>2</v>
      </c>
      <c r="E925" t="str">
        <f>IF(_xlfn.XLOOKUP('PREENCHIMENTO|LETIVAS'!A925,PARAMETROS!A:A,PARAMETROS!I:I)=0,"",_xlfn.XLOOKUP('PREENCHIMENTO|LETIVAS'!A925,PARAMETROS!A:A,PARAMETROS!I:I))</f>
        <v>PROFESSOR DE ENSINO SUPERIOR EAD</v>
      </c>
      <c r="F925" s="3" t="s">
        <v>53</v>
      </c>
      <c r="G925" s="3">
        <v>1</v>
      </c>
      <c r="H925" s="3" t="s">
        <v>63</v>
      </c>
      <c r="I925" s="3" t="s">
        <v>33</v>
      </c>
      <c r="J925" s="3" t="s">
        <v>1695</v>
      </c>
      <c r="K925" s="3"/>
      <c r="L925" s="19"/>
    </row>
    <row r="926" spans="1:12">
      <c r="A926" s="3" t="s">
        <v>309</v>
      </c>
      <c r="B926" t="str">
        <f>IF(_xlfn.XLOOKUP(A926,PARAMETROS!A:A,PARAMETROS!B:B)=0,"",_xlfn.XLOOKUP(A926,PARAMETROS!A:A,PARAMETROS!B:B))</f>
        <v>012009003528</v>
      </c>
      <c r="C926">
        <f>IF(_xlfn.XLOOKUP(A926,PARAMETROS!A:A,PARAMETROS!C:C)=0,"",_xlfn.XLOOKUP(A926,PARAMETROS!A:A,PARAMETROS!C:C))</f>
        <v>20</v>
      </c>
      <c r="D926">
        <f>IF(_xlfn.XLOOKUP(A926,PARAMETROS!A:A,PARAMETROS!D:D)=0,"",_xlfn.XLOOKUP(A926,PARAMETROS!A:A,PARAMETROS!D:D))</f>
        <v>2</v>
      </c>
      <c r="E926" t="str">
        <f>IF(_xlfn.XLOOKUP('PREENCHIMENTO|LETIVAS'!A926,PARAMETROS!A:A,PARAMETROS!I:I)=0,"",_xlfn.XLOOKUP('PREENCHIMENTO|LETIVAS'!A926,PARAMETROS!A:A,PARAMETROS!I:I))</f>
        <v>PROFESSOR DE ENSINO SUPERIOR EAD</v>
      </c>
      <c r="F926" s="3" t="s">
        <v>53</v>
      </c>
      <c r="G926" s="3">
        <v>1</v>
      </c>
      <c r="H926" s="3" t="s">
        <v>63</v>
      </c>
      <c r="I926" s="3" t="s">
        <v>33</v>
      </c>
      <c r="J926" s="3" t="s">
        <v>1696</v>
      </c>
      <c r="K926" s="3"/>
      <c r="L926" s="19"/>
    </row>
    <row r="927" spans="1:12">
      <c r="A927" s="3" t="s">
        <v>309</v>
      </c>
      <c r="B927" t="str">
        <f>IF(_xlfn.XLOOKUP(A927,PARAMETROS!A:A,PARAMETROS!B:B)=0,"",_xlfn.XLOOKUP(A927,PARAMETROS!A:A,PARAMETROS!B:B))</f>
        <v>012009003528</v>
      </c>
      <c r="C927">
        <f>IF(_xlfn.XLOOKUP(A927,PARAMETROS!A:A,PARAMETROS!C:C)=0,"",_xlfn.XLOOKUP(A927,PARAMETROS!A:A,PARAMETROS!C:C))</f>
        <v>20</v>
      </c>
      <c r="D927">
        <f>IF(_xlfn.XLOOKUP(A927,PARAMETROS!A:A,PARAMETROS!D:D)=0,"",_xlfn.XLOOKUP(A927,PARAMETROS!A:A,PARAMETROS!D:D))</f>
        <v>2</v>
      </c>
      <c r="E927" t="str">
        <f>IF(_xlfn.XLOOKUP('PREENCHIMENTO|LETIVAS'!A927,PARAMETROS!A:A,PARAMETROS!I:I)=0,"",_xlfn.XLOOKUP('PREENCHIMENTO|LETIVAS'!A927,PARAMETROS!A:A,PARAMETROS!I:I))</f>
        <v>PROFESSOR DE ENSINO SUPERIOR EAD</v>
      </c>
      <c r="F927" s="3" t="s">
        <v>53</v>
      </c>
      <c r="G927" s="3">
        <v>2</v>
      </c>
      <c r="H927" s="3" t="s">
        <v>63</v>
      </c>
      <c r="I927" s="3" t="s">
        <v>33</v>
      </c>
      <c r="J927" s="3" t="s">
        <v>1697</v>
      </c>
      <c r="K927" s="3"/>
      <c r="L927" s="19"/>
    </row>
    <row r="928" spans="1:12">
      <c r="A928" s="3" t="s">
        <v>309</v>
      </c>
      <c r="B928" t="str">
        <f>IF(_xlfn.XLOOKUP(A928,PARAMETROS!A:A,PARAMETROS!B:B)=0,"",_xlfn.XLOOKUP(A928,PARAMETROS!A:A,PARAMETROS!B:B))</f>
        <v>012009003528</v>
      </c>
      <c r="C928">
        <f>IF(_xlfn.XLOOKUP(A928,PARAMETROS!A:A,PARAMETROS!C:C)=0,"",_xlfn.XLOOKUP(A928,PARAMETROS!A:A,PARAMETROS!C:C))</f>
        <v>20</v>
      </c>
      <c r="D928">
        <f>IF(_xlfn.XLOOKUP(A928,PARAMETROS!A:A,PARAMETROS!D:D)=0,"",_xlfn.XLOOKUP(A928,PARAMETROS!A:A,PARAMETROS!D:D))</f>
        <v>2</v>
      </c>
      <c r="E928" t="str">
        <f>IF(_xlfn.XLOOKUP('PREENCHIMENTO|LETIVAS'!A928,PARAMETROS!A:A,PARAMETROS!I:I)=0,"",_xlfn.XLOOKUP('PREENCHIMENTO|LETIVAS'!A928,PARAMETROS!A:A,PARAMETROS!I:I))</f>
        <v>PROFESSOR DE ENSINO SUPERIOR EAD</v>
      </c>
      <c r="F928" s="3" t="s">
        <v>53</v>
      </c>
      <c r="G928" s="3">
        <v>2</v>
      </c>
      <c r="H928" s="3" t="s">
        <v>63</v>
      </c>
      <c r="I928" s="3" t="s">
        <v>40</v>
      </c>
      <c r="J928" s="3" t="s">
        <v>1697</v>
      </c>
      <c r="K928" s="3"/>
      <c r="L928" s="19"/>
    </row>
    <row r="929" spans="1:12">
      <c r="A929" s="3" t="s">
        <v>774</v>
      </c>
      <c r="B929" t="str">
        <f>IF(_xlfn.XLOOKUP(A929,PARAMETROS!A:A,PARAMETROS!B:B)=0,"",_xlfn.XLOOKUP(A929,PARAMETROS!A:A,PARAMETROS!B:B))</f>
        <v>012009006534</v>
      </c>
      <c r="C929">
        <f>IF(_xlfn.XLOOKUP(A929,PARAMETROS!A:A,PARAMETROS!C:C)=0,"",_xlfn.XLOOKUP(A929,PARAMETROS!A:A,PARAMETROS!C:C))</f>
        <v>12</v>
      </c>
      <c r="D929">
        <f>IF(_xlfn.XLOOKUP(A929,PARAMETROS!A:A,PARAMETROS!D:D)=0,"",_xlfn.XLOOKUP(A929,PARAMETROS!A:A,PARAMETROS!D:D))</f>
        <v>9</v>
      </c>
      <c r="E929" t="str">
        <f>IF(_xlfn.XLOOKUP('PREENCHIMENTO|LETIVAS'!A929,PARAMETROS!A:A,PARAMETROS!I:I)=0,"",_xlfn.XLOOKUP('PREENCHIMENTO|LETIVAS'!A929,PARAMETROS!A:A,PARAMETROS!I:I))</f>
        <v>PROFESSOR REGENTE</v>
      </c>
      <c r="F929" s="3" t="s">
        <v>53</v>
      </c>
      <c r="G929" s="3">
        <v>1</v>
      </c>
      <c r="H929" s="3" t="s">
        <v>63</v>
      </c>
      <c r="I929" s="3" t="s">
        <v>33</v>
      </c>
      <c r="J929" s="3" t="s">
        <v>1698</v>
      </c>
      <c r="K929" s="3"/>
      <c r="L929" s="19"/>
    </row>
    <row r="930" spans="1:12">
      <c r="A930" s="3" t="s">
        <v>490</v>
      </c>
      <c r="B930" t="str">
        <f>IF(_xlfn.XLOOKUP(A930,PARAMETROS!A:A,PARAMETROS!B:B)=0,"",_xlfn.XLOOKUP(A930,PARAMETROS!A:A,PARAMETROS!B:B))</f>
        <v>012009004723</v>
      </c>
      <c r="C930">
        <f>IF(_xlfn.XLOOKUP(A930,PARAMETROS!A:A,PARAMETROS!C:C)=0,"",_xlfn.XLOOKUP(A930,PARAMETROS!A:A,PARAMETROS!C:C))</f>
        <v>20</v>
      </c>
      <c r="D930">
        <f>IF(_xlfn.XLOOKUP(A930,PARAMETROS!A:A,PARAMETROS!D:D)=0,"",_xlfn.XLOOKUP(A930,PARAMETROS!A:A,PARAMETROS!D:D))</f>
        <v>2</v>
      </c>
      <c r="E930" t="str">
        <f>IF(_xlfn.XLOOKUP('PREENCHIMENTO|LETIVAS'!A930,PARAMETROS!A:A,PARAMETROS!I:I)=0,"",_xlfn.XLOOKUP('PREENCHIMENTO|LETIVAS'!A930,PARAMETROS!A:A,PARAMETROS!I:I))</f>
        <v>PROFESSOR DE ENSINO SUPERIOR EAD</v>
      </c>
      <c r="F930" s="3" t="s">
        <v>53</v>
      </c>
      <c r="G930" s="3">
        <v>1</v>
      </c>
      <c r="H930" s="3" t="s">
        <v>63</v>
      </c>
      <c r="I930" s="3" t="s">
        <v>40</v>
      </c>
      <c r="J930" s="3" t="s">
        <v>1699</v>
      </c>
      <c r="K930" s="3"/>
      <c r="L930" s="19"/>
    </row>
    <row r="931" spans="1:12">
      <c r="A931" s="3" t="s">
        <v>490</v>
      </c>
      <c r="B931" t="str">
        <f>IF(_xlfn.XLOOKUP(A931,PARAMETROS!A:A,PARAMETROS!B:B)=0,"",_xlfn.XLOOKUP(A931,PARAMETROS!A:A,PARAMETROS!B:B))</f>
        <v>012009004723</v>
      </c>
      <c r="C931">
        <f>IF(_xlfn.XLOOKUP(A931,PARAMETROS!A:A,PARAMETROS!C:C)=0,"",_xlfn.XLOOKUP(A931,PARAMETROS!A:A,PARAMETROS!C:C))</f>
        <v>20</v>
      </c>
      <c r="D931">
        <f>IF(_xlfn.XLOOKUP(A931,PARAMETROS!A:A,PARAMETROS!D:D)=0,"",_xlfn.XLOOKUP(A931,PARAMETROS!A:A,PARAMETROS!D:D))</f>
        <v>2</v>
      </c>
      <c r="E931" t="str">
        <f>IF(_xlfn.XLOOKUP('PREENCHIMENTO|LETIVAS'!A931,PARAMETROS!A:A,PARAMETROS!I:I)=0,"",_xlfn.XLOOKUP('PREENCHIMENTO|LETIVAS'!A931,PARAMETROS!A:A,PARAMETROS!I:I))</f>
        <v>PROFESSOR DE ENSINO SUPERIOR EAD</v>
      </c>
      <c r="F931" s="3" t="s">
        <v>53</v>
      </c>
      <c r="G931" s="3">
        <v>1</v>
      </c>
      <c r="H931" s="3" t="s">
        <v>63</v>
      </c>
      <c r="I931" s="3" t="s">
        <v>33</v>
      </c>
      <c r="J931" s="3" t="s">
        <v>1699</v>
      </c>
      <c r="K931" s="3"/>
      <c r="L931" s="19"/>
    </row>
    <row r="932" spans="1:12">
      <c r="A932" s="3" t="s">
        <v>156</v>
      </c>
      <c r="B932" t="str">
        <f>IF(_xlfn.XLOOKUP(A932,PARAMETROS!A:A,PARAMETROS!B:B)=0,"",_xlfn.XLOOKUP(A932,PARAMETROS!A:A,PARAMETROS!B:B))</f>
        <v>012009006181</v>
      </c>
      <c r="C932">
        <f>IF(_xlfn.XLOOKUP(A932,PARAMETROS!A:A,PARAMETROS!C:C)=0,"",_xlfn.XLOOKUP(A932,PARAMETROS!A:A,PARAMETROS!C:C))</f>
        <v>12</v>
      </c>
      <c r="D932">
        <f>IF(_xlfn.XLOOKUP(A932,PARAMETROS!A:A,PARAMETROS!D:D)=0,"",_xlfn.XLOOKUP(A932,PARAMETROS!A:A,PARAMETROS!D:D))</f>
        <v>9</v>
      </c>
      <c r="E932" t="str">
        <f>IF(_xlfn.XLOOKUP('PREENCHIMENTO|LETIVAS'!A932,PARAMETROS!A:A,PARAMETROS!I:I)=0,"",_xlfn.XLOOKUP('PREENCHIMENTO|LETIVAS'!A932,PARAMETROS!A:A,PARAMETROS!I:I))</f>
        <v>PROFESSOR REGENTE</v>
      </c>
      <c r="F932" s="3" t="s">
        <v>53</v>
      </c>
      <c r="G932" s="3">
        <v>1</v>
      </c>
      <c r="H932" s="3" t="s">
        <v>63</v>
      </c>
      <c r="I932" s="3" t="s">
        <v>40</v>
      </c>
      <c r="J932" s="3" t="s">
        <v>1700</v>
      </c>
      <c r="K932" s="3"/>
      <c r="L932" s="19"/>
    </row>
    <row r="933" spans="1:12">
      <c r="A933" s="3" t="s">
        <v>468</v>
      </c>
      <c r="B933" t="str">
        <f>IF(_xlfn.XLOOKUP(A933,PARAMETROS!A:A,PARAMETROS!B:B)=0,"",_xlfn.XLOOKUP(A933,PARAMETROS!A:A,PARAMETROS!B:B))</f>
        <v>012009006223</v>
      </c>
      <c r="C933">
        <f>IF(_xlfn.XLOOKUP(A933,PARAMETROS!A:A,PARAMETROS!C:C)=0,"",_xlfn.XLOOKUP(A933,PARAMETROS!A:A,PARAMETROS!C:C))</f>
        <v>12</v>
      </c>
      <c r="D933">
        <f>IF(_xlfn.XLOOKUP(A933,PARAMETROS!A:A,PARAMETROS!D:D)=0,"",_xlfn.XLOOKUP(A933,PARAMETROS!A:A,PARAMETROS!D:D))</f>
        <v>9</v>
      </c>
      <c r="E933" t="str">
        <f>IF(_xlfn.XLOOKUP('PREENCHIMENTO|LETIVAS'!A933,PARAMETROS!A:A,PARAMETROS!I:I)=0,"",_xlfn.XLOOKUP('PREENCHIMENTO|LETIVAS'!A933,PARAMETROS!A:A,PARAMETROS!I:I))</f>
        <v>PROFESSOR REGENTE</v>
      </c>
      <c r="F933" s="3" t="s">
        <v>53</v>
      </c>
      <c r="G933" s="3">
        <v>2</v>
      </c>
      <c r="H933" s="3" t="s">
        <v>32</v>
      </c>
      <c r="I933" s="3" t="s">
        <v>33</v>
      </c>
      <c r="J933" s="3" t="s">
        <v>1067</v>
      </c>
      <c r="K933" s="3"/>
      <c r="L933" s="19"/>
    </row>
    <row r="934" spans="1:12">
      <c r="A934" s="3" t="s">
        <v>468</v>
      </c>
      <c r="B934" t="str">
        <f>IF(_xlfn.XLOOKUP(A934,PARAMETROS!A:A,PARAMETROS!B:B)=0,"",_xlfn.XLOOKUP(A934,PARAMETROS!A:A,PARAMETROS!B:B))</f>
        <v>012009006223</v>
      </c>
      <c r="C934">
        <f>IF(_xlfn.XLOOKUP(A934,PARAMETROS!A:A,PARAMETROS!C:C)=0,"",_xlfn.XLOOKUP(A934,PARAMETROS!A:A,PARAMETROS!C:C))</f>
        <v>12</v>
      </c>
      <c r="D934">
        <f>IF(_xlfn.XLOOKUP(A934,PARAMETROS!A:A,PARAMETROS!D:D)=0,"",_xlfn.XLOOKUP(A934,PARAMETROS!A:A,PARAMETROS!D:D))</f>
        <v>9</v>
      </c>
      <c r="E934" t="str">
        <f>IF(_xlfn.XLOOKUP('PREENCHIMENTO|LETIVAS'!A934,PARAMETROS!A:A,PARAMETROS!I:I)=0,"",_xlfn.XLOOKUP('PREENCHIMENTO|LETIVAS'!A934,PARAMETROS!A:A,PARAMETROS!I:I))</f>
        <v>PROFESSOR REGENTE</v>
      </c>
      <c r="F934" s="3" t="s">
        <v>53</v>
      </c>
      <c r="G934" s="3">
        <v>1</v>
      </c>
      <c r="H934" s="3" t="s">
        <v>32</v>
      </c>
      <c r="I934" s="3" t="s">
        <v>40</v>
      </c>
      <c r="J934" s="3" t="s">
        <v>1701</v>
      </c>
      <c r="K934" s="3"/>
      <c r="L934" s="19"/>
    </row>
    <row r="935" spans="1:12">
      <c r="A935" s="3" t="s">
        <v>71</v>
      </c>
      <c r="B935" t="str">
        <f>IF(_xlfn.XLOOKUP(A935,PARAMETROS!A:A,PARAMETROS!B:B)=0,"",_xlfn.XLOOKUP(A935,PARAMETROS!A:A,PARAMETROS!B:B))</f>
        <v>012009004457</v>
      </c>
      <c r="C935">
        <f>IF(_xlfn.XLOOKUP(A935,PARAMETROS!A:A,PARAMETROS!C:C)=0,"",_xlfn.XLOOKUP(A935,PARAMETROS!A:A,PARAMETROS!C:C))</f>
        <v>20</v>
      </c>
      <c r="D935">
        <f>IF(_xlfn.XLOOKUP(A935,PARAMETROS!A:A,PARAMETROS!D:D)=0,"",_xlfn.XLOOKUP(A935,PARAMETROS!A:A,PARAMETROS!D:D))</f>
        <v>2</v>
      </c>
      <c r="E935" t="str">
        <f>IF(_xlfn.XLOOKUP('PREENCHIMENTO|LETIVAS'!A935,PARAMETROS!A:A,PARAMETROS!I:I)=0,"",_xlfn.XLOOKUP('PREENCHIMENTO|LETIVAS'!A935,PARAMETROS!A:A,PARAMETROS!I:I))</f>
        <v>PROFESSOR DE ENSINO SUPERIOR EAD</v>
      </c>
      <c r="F935" s="3" t="s">
        <v>53</v>
      </c>
      <c r="G935" s="3">
        <v>2</v>
      </c>
      <c r="H935" s="3" t="s">
        <v>63</v>
      </c>
      <c r="I935" s="3" t="s">
        <v>40</v>
      </c>
      <c r="J935" s="3" t="s">
        <v>1702</v>
      </c>
      <c r="K935" s="3"/>
      <c r="L935" s="19"/>
    </row>
    <row r="936" spans="1:12">
      <c r="A936" s="3" t="s">
        <v>812</v>
      </c>
      <c r="B936" t="str">
        <f>IF(_xlfn.XLOOKUP(A936,PARAMETROS!A:A,PARAMETROS!B:B)=0,"",_xlfn.XLOOKUP(A936,PARAMETROS!A:A,PARAMETROS!B:B))</f>
        <v>012009007266</v>
      </c>
      <c r="C936">
        <f>IF(_xlfn.XLOOKUP(A936,PARAMETROS!A:A,PARAMETROS!C:C)=0,"",_xlfn.XLOOKUP(A936,PARAMETROS!A:A,PARAMETROS!C:C))</f>
        <v>12</v>
      </c>
      <c r="D936">
        <f>IF(_xlfn.XLOOKUP(A936,PARAMETROS!A:A,PARAMETROS!D:D)=0,"",_xlfn.XLOOKUP(A936,PARAMETROS!A:A,PARAMETROS!D:D))</f>
        <v>9</v>
      </c>
      <c r="E936" t="str">
        <f>IF(_xlfn.XLOOKUP('PREENCHIMENTO|LETIVAS'!A936,PARAMETROS!A:A,PARAMETROS!I:I)=0,"",_xlfn.XLOOKUP('PREENCHIMENTO|LETIVAS'!A936,PARAMETROS!A:A,PARAMETROS!I:I))</f>
        <v>PROFESSOR REGENTE</v>
      </c>
      <c r="F936" s="3" t="s">
        <v>53</v>
      </c>
      <c r="G936" s="3" t="s">
        <v>54</v>
      </c>
      <c r="H936" s="3" t="s">
        <v>55</v>
      </c>
      <c r="I936" s="3" t="s">
        <v>33</v>
      </c>
      <c r="J936" s="3" t="s">
        <v>971</v>
      </c>
      <c r="K936" s="3"/>
      <c r="L936" s="19"/>
    </row>
    <row r="937" spans="1:12">
      <c r="A937" s="3" t="s">
        <v>812</v>
      </c>
      <c r="B937" t="str">
        <f>IF(_xlfn.XLOOKUP(A937,PARAMETROS!A:A,PARAMETROS!B:B)=0,"",_xlfn.XLOOKUP(A937,PARAMETROS!A:A,PARAMETROS!B:B))</f>
        <v>012009007266</v>
      </c>
      <c r="C937">
        <f>IF(_xlfn.XLOOKUP(A937,PARAMETROS!A:A,PARAMETROS!C:C)=0,"",_xlfn.XLOOKUP(A937,PARAMETROS!A:A,PARAMETROS!C:C))</f>
        <v>12</v>
      </c>
      <c r="D937">
        <f>IF(_xlfn.XLOOKUP(A937,PARAMETROS!A:A,PARAMETROS!D:D)=0,"",_xlfn.XLOOKUP(A937,PARAMETROS!A:A,PARAMETROS!D:D))</f>
        <v>9</v>
      </c>
      <c r="E937" t="str">
        <f>IF(_xlfn.XLOOKUP('PREENCHIMENTO|LETIVAS'!A937,PARAMETROS!A:A,PARAMETROS!I:I)=0,"",_xlfn.XLOOKUP('PREENCHIMENTO|LETIVAS'!A937,PARAMETROS!A:A,PARAMETROS!I:I))</f>
        <v>PROFESSOR REGENTE</v>
      </c>
      <c r="F937" s="3" t="s">
        <v>53</v>
      </c>
      <c r="G937" s="3" t="s">
        <v>54</v>
      </c>
      <c r="H937" s="3" t="s">
        <v>32</v>
      </c>
      <c r="I937" s="3" t="s">
        <v>40</v>
      </c>
      <c r="J937" s="3" t="s">
        <v>1703</v>
      </c>
      <c r="K937" s="3"/>
      <c r="L937" s="19"/>
    </row>
    <row r="938" spans="1:12">
      <c r="A938" s="3" t="s">
        <v>815</v>
      </c>
      <c r="B938" t="str">
        <f>IF(_xlfn.XLOOKUP(A938,PARAMETROS!A:A,PARAMETROS!B:B)=0,"",_xlfn.XLOOKUP(A938,PARAMETROS!A:A,PARAMETROS!B:B))</f>
        <v>012009004266</v>
      </c>
      <c r="C938">
        <f>IF(_xlfn.XLOOKUP(A938,PARAMETROS!A:A,PARAMETROS!C:C)=0,"",_xlfn.XLOOKUP(A938,PARAMETROS!A:A,PARAMETROS!C:C))</f>
        <v>40</v>
      </c>
      <c r="D938" t="str">
        <f>IF(_xlfn.XLOOKUP(A938,PARAMETROS!A:A,PARAMETROS!D:D)=0,"",_xlfn.XLOOKUP(A938,PARAMETROS!A:A,PARAMETROS!D:D))</f>
        <v/>
      </c>
      <c r="E938" t="str">
        <f>IF(_xlfn.XLOOKUP('PREENCHIMENTO|LETIVAS'!A938,PARAMETROS!A:A,PARAMETROS!I:I)=0,"",_xlfn.XLOOKUP('PREENCHIMENTO|LETIVAS'!A938,PARAMETROS!A:A,PARAMETROS!I:I))</f>
        <v>TUTOR FACILITADOR ONLINE</v>
      </c>
      <c r="F938" s="3" t="s">
        <v>53</v>
      </c>
      <c r="G938" s="3" t="s">
        <v>54</v>
      </c>
      <c r="H938" s="3" t="s">
        <v>55</v>
      </c>
      <c r="I938" s="3" t="s">
        <v>40</v>
      </c>
      <c r="J938" s="3" t="s">
        <v>1704</v>
      </c>
      <c r="K938" s="3"/>
      <c r="L938" s="19"/>
    </row>
    <row r="939" spans="1:12">
      <c r="A939" s="3" t="s">
        <v>815</v>
      </c>
      <c r="B939" t="str">
        <f>IF(_xlfn.XLOOKUP(A939,PARAMETROS!A:A,PARAMETROS!B:B)=0,"",_xlfn.XLOOKUP(A939,PARAMETROS!A:A,PARAMETROS!B:B))</f>
        <v>012009004266</v>
      </c>
      <c r="C939">
        <f>IF(_xlfn.XLOOKUP(A939,PARAMETROS!A:A,PARAMETROS!C:C)=0,"",_xlfn.XLOOKUP(A939,PARAMETROS!A:A,PARAMETROS!C:C))</f>
        <v>40</v>
      </c>
      <c r="D939" t="str">
        <f>IF(_xlfn.XLOOKUP(A939,PARAMETROS!A:A,PARAMETROS!D:D)=0,"",_xlfn.XLOOKUP(A939,PARAMETROS!A:A,PARAMETROS!D:D))</f>
        <v/>
      </c>
      <c r="E939" t="str">
        <f>IF(_xlfn.XLOOKUP('PREENCHIMENTO|LETIVAS'!A939,PARAMETROS!A:A,PARAMETROS!I:I)=0,"",_xlfn.XLOOKUP('PREENCHIMENTO|LETIVAS'!A939,PARAMETROS!A:A,PARAMETROS!I:I))</f>
        <v>TUTOR FACILITADOR ONLINE</v>
      </c>
      <c r="F939" s="3" t="s">
        <v>53</v>
      </c>
      <c r="G939" s="3" t="s">
        <v>54</v>
      </c>
      <c r="H939" s="3" t="s">
        <v>32</v>
      </c>
      <c r="I939" s="3" t="s">
        <v>33</v>
      </c>
      <c r="J939" s="3" t="s">
        <v>1705</v>
      </c>
      <c r="K939" s="3"/>
      <c r="L939" s="19"/>
    </row>
    <row r="940" spans="1:12">
      <c r="A940" s="3" t="s">
        <v>774</v>
      </c>
      <c r="B940" t="str">
        <f>IF(_xlfn.XLOOKUP(A940,PARAMETROS!A:A,PARAMETROS!B:B)=0,"",_xlfn.XLOOKUP(A940,PARAMETROS!A:A,PARAMETROS!B:B))</f>
        <v>012009006534</v>
      </c>
      <c r="C940">
        <f>IF(_xlfn.XLOOKUP(A940,PARAMETROS!A:A,PARAMETROS!C:C)=0,"",_xlfn.XLOOKUP(A940,PARAMETROS!A:A,PARAMETROS!C:C))</f>
        <v>12</v>
      </c>
      <c r="D940">
        <f>IF(_xlfn.XLOOKUP(A940,PARAMETROS!A:A,PARAMETROS!D:D)=0,"",_xlfn.XLOOKUP(A940,PARAMETROS!A:A,PARAMETROS!D:D))</f>
        <v>9</v>
      </c>
      <c r="E940" t="str">
        <f>IF(_xlfn.XLOOKUP('PREENCHIMENTO|LETIVAS'!A940,PARAMETROS!A:A,PARAMETROS!I:I)=0,"",_xlfn.XLOOKUP('PREENCHIMENTO|LETIVAS'!A940,PARAMETROS!A:A,PARAMETROS!I:I))</f>
        <v>PROFESSOR REGENTE</v>
      </c>
      <c r="F940" s="3" t="s">
        <v>53</v>
      </c>
      <c r="G940" s="3">
        <v>1</v>
      </c>
      <c r="H940" s="3" t="s">
        <v>63</v>
      </c>
      <c r="I940" s="3" t="s">
        <v>40</v>
      </c>
      <c r="J940" s="3" t="s">
        <v>1706</v>
      </c>
      <c r="K940" s="3"/>
      <c r="L940" s="19"/>
    </row>
    <row r="941" spans="1:12">
      <c r="A941" s="3" t="s">
        <v>523</v>
      </c>
      <c r="B941" t="str">
        <f>IF(_xlfn.XLOOKUP(A941,PARAMETROS!A:A,PARAMETROS!B:B)=0,"",_xlfn.XLOOKUP(A941,PARAMETROS!A:A,PARAMETROS!B:B))</f>
        <v>012009005681</v>
      </c>
      <c r="C941">
        <f>IF(_xlfn.XLOOKUP(A941,PARAMETROS!A:A,PARAMETROS!C:C)=0,"",_xlfn.XLOOKUP(A941,PARAMETROS!A:A,PARAMETROS!C:C))</f>
        <v>20</v>
      </c>
      <c r="D941">
        <f>IF(_xlfn.XLOOKUP(A941,PARAMETROS!A:A,PARAMETROS!D:D)=0,"",_xlfn.XLOOKUP(A941,PARAMETROS!A:A,PARAMETROS!D:D))</f>
        <v>2</v>
      </c>
      <c r="E941" t="str">
        <f>IF(_xlfn.XLOOKUP('PREENCHIMENTO|LETIVAS'!A941,PARAMETROS!A:A,PARAMETROS!I:I)=0,"",_xlfn.XLOOKUP('PREENCHIMENTO|LETIVAS'!A941,PARAMETROS!A:A,PARAMETROS!I:I))</f>
        <v>PROFESSOR DE ENSINO SUPERIOR EAD</v>
      </c>
      <c r="F941" s="3" t="s">
        <v>53</v>
      </c>
      <c r="G941" s="3">
        <v>1</v>
      </c>
      <c r="H941" s="3" t="s">
        <v>63</v>
      </c>
      <c r="I941" s="3" t="s">
        <v>33</v>
      </c>
      <c r="J941" s="3" t="s">
        <v>1707</v>
      </c>
      <c r="K941" s="3"/>
      <c r="L941" s="19"/>
    </row>
    <row r="942" spans="1:12">
      <c r="A942" s="3" t="s">
        <v>644</v>
      </c>
      <c r="B942" t="str">
        <f>IF(_xlfn.XLOOKUP(A942,PARAMETROS!A:A,PARAMETROS!B:B)=0,"",_xlfn.XLOOKUP(A942,PARAMETROS!A:A,PARAMETROS!B:B))</f>
        <v>012009006281</v>
      </c>
      <c r="C942">
        <f>IF(_xlfn.XLOOKUP(A942,PARAMETROS!A:A,PARAMETROS!C:C)=0,"",_xlfn.XLOOKUP(A942,PARAMETROS!A:A,PARAMETROS!C:C))</f>
        <v>12</v>
      </c>
      <c r="D942">
        <f>IF(_xlfn.XLOOKUP(A942,PARAMETROS!A:A,PARAMETROS!D:D)=0,"",_xlfn.XLOOKUP(A942,PARAMETROS!A:A,PARAMETROS!D:D))</f>
        <v>9</v>
      </c>
      <c r="E942" t="str">
        <f>IF(_xlfn.XLOOKUP('PREENCHIMENTO|LETIVAS'!A942,PARAMETROS!A:A,PARAMETROS!I:I)=0,"",_xlfn.XLOOKUP('PREENCHIMENTO|LETIVAS'!A942,PARAMETROS!A:A,PARAMETROS!I:I))</f>
        <v>PROFESSOR REGENTE</v>
      </c>
      <c r="F942" s="3" t="s">
        <v>53</v>
      </c>
      <c r="G942" s="3">
        <v>2</v>
      </c>
      <c r="H942" s="3" t="s">
        <v>39</v>
      </c>
      <c r="I942" s="3" t="s">
        <v>40</v>
      </c>
      <c r="J942" s="3" t="s">
        <v>1708</v>
      </c>
      <c r="K942" s="3"/>
      <c r="L942" s="19"/>
    </row>
    <row r="943" spans="1:12">
      <c r="A943" s="3" t="s">
        <v>596</v>
      </c>
      <c r="B943" t="str">
        <f>IF(_xlfn.XLOOKUP(A943,PARAMETROS!A:A,PARAMETROS!B:B)=0,"",_xlfn.XLOOKUP(A943,PARAMETROS!A:A,PARAMETROS!B:B))</f>
        <v>012009006304</v>
      </c>
      <c r="C943">
        <f>IF(_xlfn.XLOOKUP(A943,PARAMETROS!A:A,PARAMETROS!C:C)=0,"",_xlfn.XLOOKUP(A943,PARAMETROS!A:A,PARAMETROS!C:C))</f>
        <v>12</v>
      </c>
      <c r="D943">
        <f>IF(_xlfn.XLOOKUP(A943,PARAMETROS!A:A,PARAMETROS!D:D)=0,"",_xlfn.XLOOKUP(A943,PARAMETROS!A:A,PARAMETROS!D:D))</f>
        <v>9</v>
      </c>
      <c r="E943" t="str">
        <f>IF(_xlfn.XLOOKUP('PREENCHIMENTO|LETIVAS'!A943,PARAMETROS!A:A,PARAMETROS!I:I)=0,"",_xlfn.XLOOKUP('PREENCHIMENTO|LETIVAS'!A943,PARAMETROS!A:A,PARAMETROS!I:I))</f>
        <v>PROFESSOR REGENTE</v>
      </c>
      <c r="F943" s="3" t="s">
        <v>53</v>
      </c>
      <c r="G943" s="3">
        <v>2</v>
      </c>
      <c r="H943" s="3" t="s">
        <v>39</v>
      </c>
      <c r="I943" s="3" t="s">
        <v>40</v>
      </c>
      <c r="J943" s="3" t="s">
        <v>1709</v>
      </c>
      <c r="K943" s="3"/>
      <c r="L943" s="19"/>
    </row>
    <row r="944" spans="1:12">
      <c r="A944" s="3" t="s">
        <v>596</v>
      </c>
      <c r="B944" t="str">
        <f>IF(_xlfn.XLOOKUP(A944,PARAMETROS!A:A,PARAMETROS!B:B)=0,"",_xlfn.XLOOKUP(A944,PARAMETROS!A:A,PARAMETROS!B:B))</f>
        <v>012009006304</v>
      </c>
      <c r="C944">
        <f>IF(_xlfn.XLOOKUP(A944,PARAMETROS!A:A,PARAMETROS!C:C)=0,"",_xlfn.XLOOKUP(A944,PARAMETROS!A:A,PARAMETROS!C:C))</f>
        <v>12</v>
      </c>
      <c r="D944">
        <f>IF(_xlfn.XLOOKUP(A944,PARAMETROS!A:A,PARAMETROS!D:D)=0,"",_xlfn.XLOOKUP(A944,PARAMETROS!A:A,PARAMETROS!D:D))</f>
        <v>9</v>
      </c>
      <c r="E944" t="str">
        <f>IF(_xlfn.XLOOKUP('PREENCHIMENTO|LETIVAS'!A944,PARAMETROS!A:A,PARAMETROS!I:I)=0,"",_xlfn.XLOOKUP('PREENCHIMENTO|LETIVAS'!A944,PARAMETROS!A:A,PARAMETROS!I:I))</f>
        <v>PROFESSOR REGENTE</v>
      </c>
      <c r="F944" s="3" t="s">
        <v>53</v>
      </c>
      <c r="G944" s="3">
        <v>1</v>
      </c>
      <c r="H944" s="3" t="s">
        <v>39</v>
      </c>
      <c r="I944" s="3" t="s">
        <v>33</v>
      </c>
      <c r="J944" s="3" t="s">
        <v>1710</v>
      </c>
      <c r="K944" s="3"/>
      <c r="L944" s="19"/>
    </row>
    <row r="945" spans="1:12">
      <c r="A945" s="3" t="s">
        <v>818</v>
      </c>
      <c r="B945" t="str">
        <f>IF(_xlfn.XLOOKUP(A945,PARAMETROS!A:A,PARAMETROS!B:B)=0,"",_xlfn.XLOOKUP(A945,PARAMETROS!A:A,PARAMETROS!B:B))</f>
        <v>012009007352</v>
      </c>
      <c r="C945">
        <f>IF(_xlfn.XLOOKUP(A945,PARAMETROS!A:A,PARAMETROS!C:C)=0,"",_xlfn.XLOOKUP(A945,PARAMETROS!A:A,PARAMETROS!C:C))</f>
        <v>12</v>
      </c>
      <c r="D945">
        <f>IF(_xlfn.XLOOKUP(A945,PARAMETROS!A:A,PARAMETROS!D:D)=0,"",_xlfn.XLOOKUP(A945,PARAMETROS!A:A,PARAMETROS!D:D))</f>
        <v>9</v>
      </c>
      <c r="E945" t="str">
        <f>IF(_xlfn.XLOOKUP('PREENCHIMENTO|LETIVAS'!A945,PARAMETROS!A:A,PARAMETROS!I:I)=0,"",_xlfn.XLOOKUP('PREENCHIMENTO|LETIVAS'!A945,PARAMETROS!A:A,PARAMETROS!I:I))</f>
        <v>PROFESSOR REGENTE</v>
      </c>
      <c r="F945" s="3" t="s">
        <v>53</v>
      </c>
      <c r="G945" s="3">
        <v>1</v>
      </c>
      <c r="H945" s="3" t="s">
        <v>55</v>
      </c>
      <c r="I945" s="3" t="s">
        <v>40</v>
      </c>
      <c r="J945" s="3" t="s">
        <v>1711</v>
      </c>
      <c r="K945" s="3"/>
      <c r="L945" s="19"/>
    </row>
    <row r="946" spans="1:12">
      <c r="A946" s="3" t="s">
        <v>656</v>
      </c>
      <c r="B946" t="str">
        <f>IF(_xlfn.XLOOKUP(A946,PARAMETROS!A:A,PARAMETROS!B:B)=0,"",_xlfn.XLOOKUP(A946,PARAMETROS!A:A,PARAMETROS!B:B))</f>
        <v>012009005387</v>
      </c>
      <c r="C946">
        <f>IF(_xlfn.XLOOKUP(A946,PARAMETROS!A:A,PARAMETROS!C:C)=0,"",_xlfn.XLOOKUP(A946,PARAMETROS!A:A,PARAMETROS!C:C))</f>
        <v>40</v>
      </c>
      <c r="D946">
        <f>IF(_xlfn.XLOOKUP(A946,PARAMETROS!A:A,PARAMETROS!D:D)=0,"",_xlfn.XLOOKUP(A946,PARAMETROS!A:A,PARAMETROS!D:D))</f>
        <v>20</v>
      </c>
      <c r="E946" t="str">
        <f>IF(_xlfn.XLOOKUP('PREENCHIMENTO|LETIVAS'!A946,PARAMETROS!A:A,PARAMETROS!I:I)=0,"",_xlfn.XLOOKUP('PREENCHIMENTO|LETIVAS'!A946,PARAMETROS!A:A,PARAMETROS!I:I))</f>
        <v>PROFESSOR REGENTE</v>
      </c>
      <c r="F946" s="3" t="s">
        <v>53</v>
      </c>
      <c r="G946" s="3">
        <v>2</v>
      </c>
      <c r="H946" s="3" t="s">
        <v>39</v>
      </c>
      <c r="I946" s="3" t="s">
        <v>40</v>
      </c>
      <c r="J946" s="3" t="s">
        <v>1712</v>
      </c>
      <c r="K946" s="3"/>
      <c r="L946" s="19"/>
    </row>
    <row r="947" spans="1:12">
      <c r="A947" s="3" t="s">
        <v>541</v>
      </c>
      <c r="B947" t="str">
        <f>IF(_xlfn.XLOOKUP(A947,PARAMETROS!A:A,PARAMETROS!B:B)=0,"",_xlfn.XLOOKUP(A947,PARAMETROS!A:A,PARAMETROS!B:B))</f>
        <v>012009003731</v>
      </c>
      <c r="C947">
        <f>IF(_xlfn.XLOOKUP(A947,PARAMETROS!A:A,PARAMETROS!C:C)=0,"",_xlfn.XLOOKUP(A947,PARAMETROS!A:A,PARAMETROS!C:C))</f>
        <v>20</v>
      </c>
      <c r="D947">
        <f>IF(_xlfn.XLOOKUP(A947,PARAMETROS!A:A,PARAMETROS!D:D)=0,"",_xlfn.XLOOKUP(A947,PARAMETROS!A:A,PARAMETROS!D:D))</f>
        <v>2</v>
      </c>
      <c r="E947" t="str">
        <f>IF(_xlfn.XLOOKUP('PREENCHIMENTO|LETIVAS'!A947,PARAMETROS!A:A,PARAMETROS!I:I)=0,"",_xlfn.XLOOKUP('PREENCHIMENTO|LETIVAS'!A947,PARAMETROS!A:A,PARAMETROS!I:I))</f>
        <v>PROFESSOR DE ENSINO SUPERIOR EAD</v>
      </c>
      <c r="F947" s="3" t="s">
        <v>53</v>
      </c>
      <c r="G947" s="3">
        <v>1</v>
      </c>
      <c r="H947" s="3" t="s">
        <v>63</v>
      </c>
      <c r="I947" s="3" t="s">
        <v>33</v>
      </c>
      <c r="J947" s="3" t="s">
        <v>1713</v>
      </c>
      <c r="K947" s="3"/>
      <c r="L947" s="19"/>
    </row>
    <row r="948" spans="1:12">
      <c r="A948" s="3" t="s">
        <v>790</v>
      </c>
      <c r="B948" t="str">
        <f>IF(_xlfn.XLOOKUP(A948,PARAMETROS!A:A,PARAMETROS!B:B)=0,"",_xlfn.XLOOKUP(A948,PARAMETROS!A:A,PARAMETROS!B:B))</f>
        <v>012009006643</v>
      </c>
      <c r="C948">
        <f>IF(_xlfn.XLOOKUP(A948,PARAMETROS!A:A,PARAMETROS!C:C)=0,"",_xlfn.XLOOKUP(A948,PARAMETROS!A:A,PARAMETROS!C:C))</f>
        <v>12</v>
      </c>
      <c r="D948">
        <f>IF(_xlfn.XLOOKUP(A948,PARAMETROS!A:A,PARAMETROS!D:D)=0,"",_xlfn.XLOOKUP(A948,PARAMETROS!A:A,PARAMETROS!D:D))</f>
        <v>9</v>
      </c>
      <c r="E948" t="str">
        <f>IF(_xlfn.XLOOKUP('PREENCHIMENTO|LETIVAS'!A948,PARAMETROS!A:A,PARAMETROS!I:I)=0,"",_xlfn.XLOOKUP('PREENCHIMENTO|LETIVAS'!A948,PARAMETROS!A:A,PARAMETROS!I:I))</f>
        <v>PROFESSOR REGENTE</v>
      </c>
      <c r="F948" s="3" t="s">
        <v>53</v>
      </c>
      <c r="G948" s="3">
        <v>2</v>
      </c>
      <c r="H948" s="3" t="s">
        <v>63</v>
      </c>
      <c r="I948" s="3" t="s">
        <v>40</v>
      </c>
      <c r="J948" s="3" t="s">
        <v>1714</v>
      </c>
      <c r="K948" s="3"/>
      <c r="L948" s="19"/>
    </row>
    <row r="949" spans="1:12">
      <c r="A949" s="3" t="s">
        <v>490</v>
      </c>
      <c r="B949" t="str">
        <f>IF(_xlfn.XLOOKUP(A949,PARAMETROS!A:A,PARAMETROS!B:B)=0,"",_xlfn.XLOOKUP(A949,PARAMETROS!A:A,PARAMETROS!B:B))</f>
        <v>012009004723</v>
      </c>
      <c r="C949">
        <f>IF(_xlfn.XLOOKUP(A949,PARAMETROS!A:A,PARAMETROS!C:C)=0,"",_xlfn.XLOOKUP(A949,PARAMETROS!A:A,PARAMETROS!C:C))</f>
        <v>20</v>
      </c>
      <c r="D949">
        <f>IF(_xlfn.XLOOKUP(A949,PARAMETROS!A:A,PARAMETROS!D:D)=0,"",_xlfn.XLOOKUP(A949,PARAMETROS!A:A,PARAMETROS!D:D))</f>
        <v>2</v>
      </c>
      <c r="E949" t="str">
        <f>IF(_xlfn.XLOOKUP('PREENCHIMENTO|LETIVAS'!A949,PARAMETROS!A:A,PARAMETROS!I:I)=0,"",_xlfn.XLOOKUP('PREENCHIMENTO|LETIVAS'!A949,PARAMETROS!A:A,PARAMETROS!I:I))</f>
        <v>PROFESSOR DE ENSINO SUPERIOR EAD</v>
      </c>
      <c r="F949" s="3" t="s">
        <v>53</v>
      </c>
      <c r="G949" s="3">
        <v>2</v>
      </c>
      <c r="H949" s="3" t="s">
        <v>63</v>
      </c>
      <c r="I949" s="3" t="s">
        <v>40</v>
      </c>
      <c r="J949" s="3" t="s">
        <v>1715</v>
      </c>
      <c r="K949" s="3"/>
      <c r="L949" s="19"/>
    </row>
    <row r="950" spans="1:12">
      <c r="A950" s="3" t="s">
        <v>59</v>
      </c>
      <c r="B950" t="str">
        <f>IF(_xlfn.XLOOKUP(A950,PARAMETROS!A:A,PARAMETROS!B:B)=0,"",_xlfn.XLOOKUP(A950,PARAMETROS!A:A,PARAMETROS!B:B))</f>
        <v>012009003713</v>
      </c>
      <c r="C950">
        <f>IF(_xlfn.XLOOKUP(A950,PARAMETROS!A:A,PARAMETROS!C:C)=0,"",_xlfn.XLOOKUP(A950,PARAMETROS!A:A,PARAMETROS!C:C))</f>
        <v>20</v>
      </c>
      <c r="D950">
        <f>IF(_xlfn.XLOOKUP(A950,PARAMETROS!A:A,PARAMETROS!D:D)=0,"",_xlfn.XLOOKUP(A950,PARAMETROS!A:A,PARAMETROS!D:D))</f>
        <v>2</v>
      </c>
      <c r="E950" t="str">
        <f>IF(_xlfn.XLOOKUP('PREENCHIMENTO|LETIVAS'!A950,PARAMETROS!A:A,PARAMETROS!I:I)=0,"",_xlfn.XLOOKUP('PREENCHIMENTO|LETIVAS'!A950,PARAMETROS!A:A,PARAMETROS!I:I))</f>
        <v>PROFESSOR DE ENSINO SUPERIOR EAD</v>
      </c>
      <c r="F950" s="3" t="s">
        <v>53</v>
      </c>
      <c r="G950" s="3">
        <v>1</v>
      </c>
      <c r="H950" s="3" t="s">
        <v>63</v>
      </c>
      <c r="I950" s="3" t="s">
        <v>33</v>
      </c>
      <c r="J950" s="3" t="s">
        <v>1716</v>
      </c>
      <c r="K950" s="3"/>
      <c r="L950" s="19"/>
    </row>
    <row r="951" spans="1:12">
      <c r="A951" s="3" t="s">
        <v>694</v>
      </c>
      <c r="B951" t="str">
        <f>IF(_xlfn.XLOOKUP(A951,PARAMETROS!A:A,PARAMETROS!B:B)=0,"",_xlfn.XLOOKUP(A951,PARAMETROS!A:A,PARAMETROS!B:B))</f>
        <v>012009006361</v>
      </c>
      <c r="C951">
        <f>IF(_xlfn.XLOOKUP(A951,PARAMETROS!A:A,PARAMETROS!C:C)=0,"",_xlfn.XLOOKUP(A951,PARAMETROS!A:A,PARAMETROS!C:C))</f>
        <v>12</v>
      </c>
      <c r="D951">
        <f>IF(_xlfn.XLOOKUP(A951,PARAMETROS!A:A,PARAMETROS!D:D)=0,"",_xlfn.XLOOKUP(A951,PARAMETROS!A:A,PARAMETROS!D:D))</f>
        <v>9</v>
      </c>
      <c r="E951" t="str">
        <f>IF(_xlfn.XLOOKUP('PREENCHIMENTO|LETIVAS'!A951,PARAMETROS!A:A,PARAMETROS!I:I)=0,"",_xlfn.XLOOKUP('PREENCHIMENTO|LETIVAS'!A951,PARAMETROS!A:A,PARAMETROS!I:I))</f>
        <v>PROFESSOR REGENTE</v>
      </c>
      <c r="F951" s="3" t="s">
        <v>53</v>
      </c>
      <c r="G951" s="3">
        <v>2</v>
      </c>
      <c r="H951" s="3" t="s">
        <v>39</v>
      </c>
      <c r="I951" s="3" t="s">
        <v>33</v>
      </c>
      <c r="J951" s="3" t="s">
        <v>1204</v>
      </c>
      <c r="K951" s="3"/>
      <c r="L951" s="19"/>
    </row>
    <row r="952" spans="1:12">
      <c r="A952" s="3" t="s">
        <v>694</v>
      </c>
      <c r="B952" t="str">
        <f>IF(_xlfn.XLOOKUP(A952,PARAMETROS!A:A,PARAMETROS!B:B)=0,"",_xlfn.XLOOKUP(A952,PARAMETROS!A:A,PARAMETROS!B:B))</f>
        <v>012009006361</v>
      </c>
      <c r="C952">
        <f>IF(_xlfn.XLOOKUP(A952,PARAMETROS!A:A,PARAMETROS!C:C)=0,"",_xlfn.XLOOKUP(A952,PARAMETROS!A:A,PARAMETROS!C:C))</f>
        <v>12</v>
      </c>
      <c r="D952">
        <f>IF(_xlfn.XLOOKUP(A952,PARAMETROS!A:A,PARAMETROS!D:D)=0,"",_xlfn.XLOOKUP(A952,PARAMETROS!A:A,PARAMETROS!D:D))</f>
        <v>9</v>
      </c>
      <c r="E952" t="str">
        <f>IF(_xlfn.XLOOKUP('PREENCHIMENTO|LETIVAS'!A952,PARAMETROS!A:A,PARAMETROS!I:I)=0,"",_xlfn.XLOOKUP('PREENCHIMENTO|LETIVAS'!A952,PARAMETROS!A:A,PARAMETROS!I:I))</f>
        <v>PROFESSOR REGENTE</v>
      </c>
      <c r="F952" s="3" t="s">
        <v>53</v>
      </c>
      <c r="G952" s="3">
        <v>1</v>
      </c>
      <c r="H952" s="3" t="s">
        <v>39</v>
      </c>
      <c r="I952" s="3" t="s">
        <v>40</v>
      </c>
      <c r="J952" s="3" t="s">
        <v>1717</v>
      </c>
      <c r="K952" s="3"/>
      <c r="L952" s="19"/>
    </row>
    <row r="953" spans="1:12">
      <c r="A953" s="3" t="s">
        <v>736</v>
      </c>
      <c r="B953" t="str">
        <f>IF(_xlfn.XLOOKUP(A953,PARAMETROS!A:A,PARAMETROS!B:B)=0,"",_xlfn.XLOOKUP(A953,PARAMETROS!A:A,PARAMETROS!B:B))</f>
        <v>012009006373</v>
      </c>
      <c r="C953">
        <f>IF(_xlfn.XLOOKUP(A953,PARAMETROS!A:A,PARAMETROS!C:C)=0,"",_xlfn.XLOOKUP(A953,PARAMETROS!A:A,PARAMETROS!C:C))</f>
        <v>12</v>
      </c>
      <c r="D953">
        <f>IF(_xlfn.XLOOKUP(A953,PARAMETROS!A:A,PARAMETROS!D:D)=0,"",_xlfn.XLOOKUP(A953,PARAMETROS!A:A,PARAMETROS!D:D))</f>
        <v>9</v>
      </c>
      <c r="E953" t="str">
        <f>IF(_xlfn.XLOOKUP('PREENCHIMENTO|LETIVAS'!A953,PARAMETROS!A:A,PARAMETROS!I:I)=0,"",_xlfn.XLOOKUP('PREENCHIMENTO|LETIVAS'!A953,PARAMETROS!A:A,PARAMETROS!I:I))</f>
        <v>PROFESSOR REGENTE</v>
      </c>
      <c r="F953" s="3" t="s">
        <v>53</v>
      </c>
      <c r="G953" s="3" t="s">
        <v>54</v>
      </c>
      <c r="H953" s="3" t="s">
        <v>39</v>
      </c>
      <c r="I953" s="3" t="s">
        <v>33</v>
      </c>
      <c r="J953" s="3" t="s">
        <v>1718</v>
      </c>
      <c r="K953" s="3" t="s">
        <v>1552</v>
      </c>
      <c r="L953" s="19"/>
    </row>
    <row r="954" spans="1:12">
      <c r="A954" s="3" t="s">
        <v>736</v>
      </c>
      <c r="B954" t="str">
        <f>IF(_xlfn.XLOOKUP(A954,PARAMETROS!A:A,PARAMETROS!B:B)=0,"",_xlfn.XLOOKUP(A954,PARAMETROS!A:A,PARAMETROS!B:B))</f>
        <v>012009006373</v>
      </c>
      <c r="C954">
        <f>IF(_xlfn.XLOOKUP(A954,PARAMETROS!A:A,PARAMETROS!C:C)=0,"",_xlfn.XLOOKUP(A954,PARAMETROS!A:A,PARAMETROS!C:C))</f>
        <v>12</v>
      </c>
      <c r="D954">
        <f>IF(_xlfn.XLOOKUP(A954,PARAMETROS!A:A,PARAMETROS!D:D)=0,"",_xlfn.XLOOKUP(A954,PARAMETROS!A:A,PARAMETROS!D:D))</f>
        <v>9</v>
      </c>
      <c r="E954" t="str">
        <f>IF(_xlfn.XLOOKUP('PREENCHIMENTO|LETIVAS'!A954,PARAMETROS!A:A,PARAMETROS!I:I)=0,"",_xlfn.XLOOKUP('PREENCHIMENTO|LETIVAS'!A954,PARAMETROS!A:A,PARAMETROS!I:I))</f>
        <v>PROFESSOR REGENTE</v>
      </c>
      <c r="F954" s="3" t="s">
        <v>53</v>
      </c>
      <c r="G954" s="3">
        <v>2</v>
      </c>
      <c r="H954" s="3" t="s">
        <v>39</v>
      </c>
      <c r="I954" s="3" t="s">
        <v>40</v>
      </c>
      <c r="J954" s="3" t="s">
        <v>1719</v>
      </c>
      <c r="K954" s="3"/>
      <c r="L954" s="19"/>
    </row>
    <row r="955" spans="1:12">
      <c r="A955" s="3" t="s">
        <v>736</v>
      </c>
      <c r="B955" t="str">
        <f>IF(_xlfn.XLOOKUP(A955,PARAMETROS!A:A,PARAMETROS!B:B)=0,"",_xlfn.XLOOKUP(A955,PARAMETROS!A:A,PARAMETROS!B:B))</f>
        <v>012009006373</v>
      </c>
      <c r="C955">
        <f>IF(_xlfn.XLOOKUP(A955,PARAMETROS!A:A,PARAMETROS!C:C)=0,"",_xlfn.XLOOKUP(A955,PARAMETROS!A:A,PARAMETROS!C:C))</f>
        <v>12</v>
      </c>
      <c r="D955">
        <f>IF(_xlfn.XLOOKUP(A955,PARAMETROS!A:A,PARAMETROS!D:D)=0,"",_xlfn.XLOOKUP(A955,PARAMETROS!A:A,PARAMETROS!D:D))</f>
        <v>9</v>
      </c>
      <c r="E955" t="str">
        <f>IF(_xlfn.XLOOKUP('PREENCHIMENTO|LETIVAS'!A955,PARAMETROS!A:A,PARAMETROS!I:I)=0,"",_xlfn.XLOOKUP('PREENCHIMENTO|LETIVAS'!A955,PARAMETROS!A:A,PARAMETROS!I:I))</f>
        <v>PROFESSOR REGENTE</v>
      </c>
      <c r="F955" s="3" t="s">
        <v>53</v>
      </c>
      <c r="G955" s="3">
        <v>1</v>
      </c>
      <c r="H955" s="3" t="s">
        <v>39</v>
      </c>
      <c r="I955" s="3" t="s">
        <v>33</v>
      </c>
      <c r="J955" s="3" t="s">
        <v>1096</v>
      </c>
      <c r="K955" s="3"/>
      <c r="L955" s="19"/>
    </row>
    <row r="956" spans="1:12">
      <c r="A956" s="3" t="s">
        <v>712</v>
      </c>
      <c r="B956" t="str">
        <f>IF(_xlfn.XLOOKUP(A956,PARAMETROS!A:A,PARAMETROS!B:B)=0,"",_xlfn.XLOOKUP(A956,PARAMETROS!A:A,PARAMETROS!B:B))</f>
        <v>012009006376</v>
      </c>
      <c r="C956">
        <f>IF(_xlfn.XLOOKUP(A956,PARAMETROS!A:A,PARAMETROS!C:C)=0,"",_xlfn.XLOOKUP(A956,PARAMETROS!A:A,PARAMETROS!C:C))</f>
        <v>12</v>
      </c>
      <c r="D956">
        <f>IF(_xlfn.XLOOKUP(A956,PARAMETROS!A:A,PARAMETROS!D:D)=0,"",_xlfn.XLOOKUP(A956,PARAMETROS!A:A,PARAMETROS!D:D))</f>
        <v>9</v>
      </c>
      <c r="E956" t="str">
        <f>IF(_xlfn.XLOOKUP('PREENCHIMENTO|LETIVAS'!A956,PARAMETROS!A:A,PARAMETROS!I:I)=0,"",_xlfn.XLOOKUP('PREENCHIMENTO|LETIVAS'!A956,PARAMETROS!A:A,PARAMETROS!I:I))</f>
        <v>PROFESSOR REGENTE</v>
      </c>
      <c r="F956" s="3" t="s">
        <v>53</v>
      </c>
      <c r="G956" s="3">
        <v>2</v>
      </c>
      <c r="H956" s="3" t="s">
        <v>39</v>
      </c>
      <c r="I956" s="3" t="s">
        <v>33</v>
      </c>
      <c r="J956" s="3" t="s">
        <v>1720</v>
      </c>
      <c r="K956" s="3"/>
      <c r="L956" s="19"/>
    </row>
    <row r="957" spans="1:12">
      <c r="A957" s="3" t="s">
        <v>712</v>
      </c>
      <c r="B957" t="str">
        <f>IF(_xlfn.XLOOKUP(A957,PARAMETROS!A:A,PARAMETROS!B:B)=0,"",_xlfn.XLOOKUP(A957,PARAMETROS!A:A,PARAMETROS!B:B))</f>
        <v>012009006376</v>
      </c>
      <c r="C957">
        <f>IF(_xlfn.XLOOKUP(A957,PARAMETROS!A:A,PARAMETROS!C:C)=0,"",_xlfn.XLOOKUP(A957,PARAMETROS!A:A,PARAMETROS!C:C))</f>
        <v>12</v>
      </c>
      <c r="D957">
        <f>IF(_xlfn.XLOOKUP(A957,PARAMETROS!A:A,PARAMETROS!D:D)=0,"",_xlfn.XLOOKUP(A957,PARAMETROS!A:A,PARAMETROS!D:D))</f>
        <v>9</v>
      </c>
      <c r="E957" t="str">
        <f>IF(_xlfn.XLOOKUP('PREENCHIMENTO|LETIVAS'!A957,PARAMETROS!A:A,PARAMETROS!I:I)=0,"",_xlfn.XLOOKUP('PREENCHIMENTO|LETIVAS'!A957,PARAMETROS!A:A,PARAMETROS!I:I))</f>
        <v>PROFESSOR REGENTE</v>
      </c>
      <c r="F957" s="3" t="s">
        <v>53</v>
      </c>
      <c r="G957" s="3" t="s">
        <v>54</v>
      </c>
      <c r="H957" s="3" t="s">
        <v>39</v>
      </c>
      <c r="I957" s="3" t="s">
        <v>33</v>
      </c>
      <c r="J957" s="3" t="s">
        <v>1232</v>
      </c>
      <c r="K957" s="3" t="s">
        <v>1544</v>
      </c>
      <c r="L957" s="19"/>
    </row>
    <row r="958" spans="1:12">
      <c r="A958" s="3" t="s">
        <v>712</v>
      </c>
      <c r="B958" t="str">
        <f>IF(_xlfn.XLOOKUP(A958,PARAMETROS!A:A,PARAMETROS!B:B)=0,"",_xlfn.XLOOKUP(A958,PARAMETROS!A:A,PARAMETROS!B:B))</f>
        <v>012009006376</v>
      </c>
      <c r="C958">
        <f>IF(_xlfn.XLOOKUP(A958,PARAMETROS!A:A,PARAMETROS!C:C)=0,"",_xlfn.XLOOKUP(A958,PARAMETROS!A:A,PARAMETROS!C:C))</f>
        <v>12</v>
      </c>
      <c r="D958">
        <f>IF(_xlfn.XLOOKUP(A958,PARAMETROS!A:A,PARAMETROS!D:D)=0,"",_xlfn.XLOOKUP(A958,PARAMETROS!A:A,PARAMETROS!D:D))</f>
        <v>9</v>
      </c>
      <c r="E958" t="str">
        <f>IF(_xlfn.XLOOKUP('PREENCHIMENTO|LETIVAS'!A958,PARAMETROS!A:A,PARAMETROS!I:I)=0,"",_xlfn.XLOOKUP('PREENCHIMENTO|LETIVAS'!A958,PARAMETROS!A:A,PARAMETROS!I:I))</f>
        <v>PROFESSOR REGENTE</v>
      </c>
      <c r="F958" s="3" t="s">
        <v>53</v>
      </c>
      <c r="G958" s="3">
        <v>1</v>
      </c>
      <c r="H958" s="3" t="s">
        <v>39</v>
      </c>
      <c r="I958" s="3" t="s">
        <v>33</v>
      </c>
      <c r="J958" s="3" t="s">
        <v>1231</v>
      </c>
      <c r="K958" s="3"/>
      <c r="L958" s="19"/>
    </row>
    <row r="959" spans="1:12">
      <c r="A959" s="3" t="s">
        <v>608</v>
      </c>
      <c r="B959" t="str">
        <f>IF(_xlfn.XLOOKUP(A959,PARAMETROS!A:A,PARAMETROS!B:B)=0,"",_xlfn.XLOOKUP(A959,PARAMETROS!A:A,PARAMETROS!B:B))</f>
        <v>012009006308</v>
      </c>
      <c r="C959">
        <f>IF(_xlfn.XLOOKUP(A959,PARAMETROS!A:A,PARAMETROS!C:C)=0,"",_xlfn.XLOOKUP(A959,PARAMETROS!A:A,PARAMETROS!C:C))</f>
        <v>12</v>
      </c>
      <c r="D959">
        <f>IF(_xlfn.XLOOKUP(A959,PARAMETROS!A:A,PARAMETROS!D:D)=0,"",_xlfn.XLOOKUP(A959,PARAMETROS!A:A,PARAMETROS!D:D))</f>
        <v>9</v>
      </c>
      <c r="E959" t="str">
        <f>IF(_xlfn.XLOOKUP('PREENCHIMENTO|LETIVAS'!A959,PARAMETROS!A:A,PARAMETROS!I:I)=0,"",_xlfn.XLOOKUP('PREENCHIMENTO|LETIVAS'!A959,PARAMETROS!A:A,PARAMETROS!I:I))</f>
        <v>PROFESSOR REGENTE</v>
      </c>
      <c r="F959" s="3" t="s">
        <v>53</v>
      </c>
      <c r="G959" s="3">
        <v>2</v>
      </c>
      <c r="H959" s="3" t="s">
        <v>39</v>
      </c>
      <c r="I959" s="3" t="s">
        <v>33</v>
      </c>
      <c r="J959" s="3" t="s">
        <v>1224</v>
      </c>
      <c r="K959" s="3"/>
      <c r="L959" s="19"/>
    </row>
    <row r="960" spans="1:12">
      <c r="A960" s="3" t="s">
        <v>608</v>
      </c>
      <c r="B960" t="str">
        <f>IF(_xlfn.XLOOKUP(A960,PARAMETROS!A:A,PARAMETROS!B:B)=0,"",_xlfn.XLOOKUP(A960,PARAMETROS!A:A,PARAMETROS!B:B))</f>
        <v>012009006308</v>
      </c>
      <c r="C960">
        <f>IF(_xlfn.XLOOKUP(A960,PARAMETROS!A:A,PARAMETROS!C:C)=0,"",_xlfn.XLOOKUP(A960,PARAMETROS!A:A,PARAMETROS!C:C))</f>
        <v>12</v>
      </c>
      <c r="D960">
        <f>IF(_xlfn.XLOOKUP(A960,PARAMETROS!A:A,PARAMETROS!D:D)=0,"",_xlfn.XLOOKUP(A960,PARAMETROS!A:A,PARAMETROS!D:D))</f>
        <v>9</v>
      </c>
      <c r="E960" t="str">
        <f>IF(_xlfn.XLOOKUP('PREENCHIMENTO|LETIVAS'!A960,PARAMETROS!A:A,PARAMETROS!I:I)=0,"",_xlfn.XLOOKUP('PREENCHIMENTO|LETIVAS'!A960,PARAMETROS!A:A,PARAMETROS!I:I))</f>
        <v>PROFESSOR REGENTE</v>
      </c>
      <c r="F960" s="3" t="s">
        <v>53</v>
      </c>
      <c r="G960" s="3" t="s">
        <v>54</v>
      </c>
      <c r="H960" s="3" t="s">
        <v>39</v>
      </c>
      <c r="I960" s="3" t="s">
        <v>33</v>
      </c>
      <c r="J960" s="3" t="s">
        <v>1721</v>
      </c>
      <c r="K960" s="3" t="s">
        <v>1544</v>
      </c>
      <c r="L960" s="19"/>
    </row>
    <row r="961" spans="1:12">
      <c r="A961" s="3" t="s">
        <v>608</v>
      </c>
      <c r="B961" t="str">
        <f>IF(_xlfn.XLOOKUP(A961,PARAMETROS!A:A,PARAMETROS!B:B)=0,"",_xlfn.XLOOKUP(A961,PARAMETROS!A:A,PARAMETROS!B:B))</f>
        <v>012009006308</v>
      </c>
      <c r="C961">
        <f>IF(_xlfn.XLOOKUP(A961,PARAMETROS!A:A,PARAMETROS!C:C)=0,"",_xlfn.XLOOKUP(A961,PARAMETROS!A:A,PARAMETROS!C:C))</f>
        <v>12</v>
      </c>
      <c r="D961">
        <f>IF(_xlfn.XLOOKUP(A961,PARAMETROS!A:A,PARAMETROS!D:D)=0,"",_xlfn.XLOOKUP(A961,PARAMETROS!A:A,PARAMETROS!D:D))</f>
        <v>9</v>
      </c>
      <c r="E961" t="str">
        <f>IF(_xlfn.XLOOKUP('PREENCHIMENTO|LETIVAS'!A961,PARAMETROS!A:A,PARAMETROS!I:I)=0,"",_xlfn.XLOOKUP('PREENCHIMENTO|LETIVAS'!A961,PARAMETROS!A:A,PARAMETROS!I:I))</f>
        <v>PROFESSOR REGENTE</v>
      </c>
      <c r="F961" s="3" t="s">
        <v>53</v>
      </c>
      <c r="G961" s="3">
        <v>2</v>
      </c>
      <c r="H961" s="3" t="s">
        <v>39</v>
      </c>
      <c r="I961" s="3" t="s">
        <v>40</v>
      </c>
      <c r="J961" s="3" t="s">
        <v>1722</v>
      </c>
      <c r="K961" s="3"/>
      <c r="L961" s="19"/>
    </row>
    <row r="962" spans="1:12">
      <c r="A962" s="3" t="s">
        <v>769</v>
      </c>
      <c r="B962" t="str">
        <f>IF(_xlfn.XLOOKUP(A962,PARAMETROS!A:A,PARAMETROS!B:B)=0,"",_xlfn.XLOOKUP(A962,PARAMETROS!A:A,PARAMETROS!B:B))</f>
        <v>012009006510</v>
      </c>
      <c r="C962">
        <f>IF(_xlfn.XLOOKUP(A962,PARAMETROS!A:A,PARAMETROS!C:C)=0,"",_xlfn.XLOOKUP(A962,PARAMETROS!A:A,PARAMETROS!C:C))</f>
        <v>12</v>
      </c>
      <c r="D962">
        <f>IF(_xlfn.XLOOKUP(A962,PARAMETROS!A:A,PARAMETROS!D:D)=0,"",_xlfn.XLOOKUP(A962,PARAMETROS!A:A,PARAMETROS!D:D))</f>
        <v>9</v>
      </c>
      <c r="E962" t="str">
        <f>IF(_xlfn.XLOOKUP('PREENCHIMENTO|LETIVAS'!A962,PARAMETROS!A:A,PARAMETROS!I:I)=0,"",_xlfn.XLOOKUP('PREENCHIMENTO|LETIVAS'!A962,PARAMETROS!A:A,PARAMETROS!I:I))</f>
        <v>PROFESSOR REGENTE</v>
      </c>
      <c r="F962" s="3" t="s">
        <v>53</v>
      </c>
      <c r="G962" s="3">
        <v>2</v>
      </c>
      <c r="H962" s="3" t="s">
        <v>63</v>
      </c>
      <c r="I962" s="3" t="s">
        <v>40</v>
      </c>
      <c r="J962" s="3" t="s">
        <v>1723</v>
      </c>
      <c r="K962" s="3" t="s">
        <v>1724</v>
      </c>
      <c r="L962" s="19"/>
    </row>
    <row r="963" spans="1:12">
      <c r="A963" s="3" t="s">
        <v>349</v>
      </c>
      <c r="B963" t="str">
        <f>IF(_xlfn.XLOOKUP(A963,PARAMETROS!A:A,PARAMETROS!B:B)=0,"",_xlfn.XLOOKUP(A963,PARAMETROS!A:A,PARAMETROS!B:B))</f>
        <v>012009004589</v>
      </c>
      <c r="C963">
        <f>IF(_xlfn.XLOOKUP(A963,PARAMETROS!A:A,PARAMETROS!C:C)=0,"",_xlfn.XLOOKUP(A963,PARAMETROS!A:A,PARAMETROS!C:C))</f>
        <v>20</v>
      </c>
      <c r="D963">
        <f>IF(_xlfn.XLOOKUP(A963,PARAMETROS!A:A,PARAMETROS!D:D)=0,"",_xlfn.XLOOKUP(A963,PARAMETROS!A:A,PARAMETROS!D:D))</f>
        <v>2</v>
      </c>
      <c r="E963" t="str">
        <f>IF(_xlfn.XLOOKUP('PREENCHIMENTO|LETIVAS'!A963,PARAMETROS!A:A,PARAMETROS!I:I)=0,"",_xlfn.XLOOKUP('PREENCHIMENTO|LETIVAS'!A963,PARAMETROS!A:A,PARAMETROS!I:I))</f>
        <v>PROFESSOR DE ENSINO SUPERIOR EAD</v>
      </c>
      <c r="F963" s="3" t="s">
        <v>53</v>
      </c>
      <c r="G963" s="3">
        <v>1</v>
      </c>
      <c r="H963" s="3" t="s">
        <v>63</v>
      </c>
      <c r="I963" s="3" t="s">
        <v>40</v>
      </c>
      <c r="J963" s="3" t="s">
        <v>1725</v>
      </c>
      <c r="K963" s="3"/>
      <c r="L963" s="19"/>
    </row>
    <row r="964" spans="1:12">
      <c r="A964" s="3" t="s">
        <v>331</v>
      </c>
      <c r="B964" t="str">
        <f>IF(_xlfn.XLOOKUP(A964,PARAMETROS!A:A,PARAMETROS!B:B)=0,"",_xlfn.XLOOKUP(A964,PARAMETROS!A:A,PARAMETROS!B:B))</f>
        <v>012009005027</v>
      </c>
      <c r="C964">
        <f>IF(_xlfn.XLOOKUP(A964,PARAMETROS!A:A,PARAMETROS!C:C)=0,"",_xlfn.XLOOKUP(A964,PARAMETROS!A:A,PARAMETROS!C:C))</f>
        <v>20</v>
      </c>
      <c r="D964">
        <f>IF(_xlfn.XLOOKUP(A964,PARAMETROS!A:A,PARAMETROS!D:D)=0,"",_xlfn.XLOOKUP(A964,PARAMETROS!A:A,PARAMETROS!D:D))</f>
        <v>2</v>
      </c>
      <c r="E964" t="str">
        <f>IF(_xlfn.XLOOKUP('PREENCHIMENTO|LETIVAS'!A964,PARAMETROS!A:A,PARAMETROS!I:I)=0,"",_xlfn.XLOOKUP('PREENCHIMENTO|LETIVAS'!A964,PARAMETROS!A:A,PARAMETROS!I:I))</f>
        <v>PROFESSOR DE ENSINO SUPERIOR EAD</v>
      </c>
      <c r="F964" s="3" t="s">
        <v>53</v>
      </c>
      <c r="G964" s="3">
        <v>1</v>
      </c>
      <c r="H964" s="3" t="s">
        <v>63</v>
      </c>
      <c r="I964" s="3" t="s">
        <v>40</v>
      </c>
      <c r="J964" s="3" t="s">
        <v>1726</v>
      </c>
      <c r="K964" s="3" t="s">
        <v>1724</v>
      </c>
      <c r="L964" s="19"/>
    </row>
    <row r="965" spans="1:12">
      <c r="A965" s="3" t="s">
        <v>688</v>
      </c>
      <c r="B965" t="str">
        <f>IF(_xlfn.XLOOKUP(A965,PARAMETROS!A:A,PARAMETROS!B:B)=0,"",_xlfn.XLOOKUP(A965,PARAMETROS!A:A,PARAMETROS!B:B))</f>
        <v>012009004010</v>
      </c>
      <c r="C965" t="str">
        <f>IF(_xlfn.XLOOKUP(A965,PARAMETROS!A:A,PARAMETROS!C:C)=0,"",_xlfn.XLOOKUP(A965,PARAMETROS!A:A,PARAMETROS!C:C))</f>
        <v/>
      </c>
      <c r="D965" t="str">
        <f>IF(_xlfn.XLOOKUP(A965,PARAMETROS!A:A,PARAMETROS!D:D)=0,"",_xlfn.XLOOKUP(A965,PARAMETROS!A:A,PARAMETROS!D:D))</f>
        <v/>
      </c>
      <c r="E965" t="str">
        <f>IF(_xlfn.XLOOKUP('PREENCHIMENTO|LETIVAS'!A965,PARAMETROS!A:A,PARAMETROS!I:I)=0,"",_xlfn.XLOOKUP('PREENCHIMENTO|LETIVAS'!A965,PARAMETROS!A:A,PARAMETROS!I:I))</f>
        <v>PROFESSOR DE ENSINO SUPERIOR PRESENCIAL</v>
      </c>
      <c r="F965" s="3" t="s">
        <v>53</v>
      </c>
      <c r="G965" s="3">
        <v>1</v>
      </c>
      <c r="H965" s="3" t="s">
        <v>39</v>
      </c>
      <c r="I965" s="3" t="s">
        <v>40</v>
      </c>
      <c r="J965" s="3" t="s">
        <v>1727</v>
      </c>
      <c r="K965" s="3"/>
      <c r="L965" s="19"/>
    </row>
    <row r="966" spans="1:12">
      <c r="A966" s="3" t="s">
        <v>691</v>
      </c>
      <c r="B966" t="str">
        <f>IF(_xlfn.XLOOKUP(A966,PARAMETROS!A:A,PARAMETROS!B:B)=0,"",_xlfn.XLOOKUP(A966,PARAMETROS!A:A,PARAMETROS!B:B))</f>
        <v>012009003655</v>
      </c>
      <c r="C966" t="str">
        <f>IF(_xlfn.XLOOKUP(A966,PARAMETROS!A:A,PARAMETROS!C:C)=0,"",_xlfn.XLOOKUP(A966,PARAMETROS!A:A,PARAMETROS!C:C))</f>
        <v/>
      </c>
      <c r="D966" t="str">
        <f>IF(_xlfn.XLOOKUP(A966,PARAMETROS!A:A,PARAMETROS!D:D)=0,"",_xlfn.XLOOKUP(A966,PARAMETROS!A:A,PARAMETROS!D:D))</f>
        <v/>
      </c>
      <c r="E966" t="str">
        <f>IF(_xlfn.XLOOKUP('PREENCHIMENTO|LETIVAS'!A966,PARAMETROS!A:A,PARAMETROS!I:I)=0,"",_xlfn.XLOOKUP('PREENCHIMENTO|LETIVAS'!A966,PARAMETROS!A:A,PARAMETROS!I:I))</f>
        <v>PROFESSOR DE ENSINO SUPERIOR PRESENCIAL</v>
      </c>
      <c r="F966" s="3" t="s">
        <v>53</v>
      </c>
      <c r="G966" s="3">
        <v>2</v>
      </c>
      <c r="H966" s="3" t="s">
        <v>63</v>
      </c>
      <c r="I966" s="3" t="s">
        <v>40</v>
      </c>
      <c r="J966" s="3" t="s">
        <v>1728</v>
      </c>
      <c r="K966" s="3"/>
      <c r="L966" s="19"/>
    </row>
    <row r="967" spans="1:12">
      <c r="A967" s="3" t="s">
        <v>356</v>
      </c>
      <c r="B967" t="str">
        <f>IF(_xlfn.XLOOKUP(A967,PARAMETROS!A:A,PARAMETROS!B:B)=0,"",_xlfn.XLOOKUP(A967,PARAMETROS!A:A,PARAMETROS!B:B))</f>
        <v>012009005582</v>
      </c>
      <c r="C967">
        <f>IF(_xlfn.XLOOKUP(A967,PARAMETROS!A:A,PARAMETROS!C:C)=0,"",_xlfn.XLOOKUP(A967,PARAMETROS!A:A,PARAMETROS!C:C))</f>
        <v>40</v>
      </c>
      <c r="D967">
        <f>IF(_xlfn.XLOOKUP(A967,PARAMETROS!A:A,PARAMETROS!D:D)=0,"",_xlfn.XLOOKUP(A967,PARAMETROS!A:A,PARAMETROS!D:D))</f>
        <v>4</v>
      </c>
      <c r="E967" t="str">
        <f>IF(_xlfn.XLOOKUP('PREENCHIMENTO|LETIVAS'!A967,PARAMETROS!A:A,PARAMETROS!I:I)=0,"",_xlfn.XLOOKUP('PREENCHIMENTO|LETIVAS'!A967,PARAMETROS!A:A,PARAMETROS!I:I))</f>
        <v>PROFESSOR DE ENSINO SUPERIOR EAD</v>
      </c>
      <c r="F967" s="3" t="s">
        <v>53</v>
      </c>
      <c r="G967" s="3">
        <v>2</v>
      </c>
      <c r="H967" s="3" t="s">
        <v>39</v>
      </c>
      <c r="I967" s="3" t="s">
        <v>33</v>
      </c>
      <c r="J967" s="3" t="s">
        <v>1729</v>
      </c>
      <c r="K967" s="3"/>
      <c r="L967" s="19"/>
    </row>
    <row r="968" spans="1:12">
      <c r="A968" s="3" t="s">
        <v>356</v>
      </c>
      <c r="B968" t="str">
        <f>IF(_xlfn.XLOOKUP(A968,PARAMETROS!A:A,PARAMETROS!B:B)=0,"",_xlfn.XLOOKUP(A968,PARAMETROS!A:A,PARAMETROS!B:B))</f>
        <v>012009005582</v>
      </c>
      <c r="C968">
        <f>IF(_xlfn.XLOOKUP(A968,PARAMETROS!A:A,PARAMETROS!C:C)=0,"",_xlfn.XLOOKUP(A968,PARAMETROS!A:A,PARAMETROS!C:C))</f>
        <v>40</v>
      </c>
      <c r="D968">
        <f>IF(_xlfn.XLOOKUP(A968,PARAMETROS!A:A,PARAMETROS!D:D)=0,"",_xlfn.XLOOKUP(A968,PARAMETROS!A:A,PARAMETROS!D:D))</f>
        <v>4</v>
      </c>
      <c r="E968" t="str">
        <f>IF(_xlfn.XLOOKUP('PREENCHIMENTO|LETIVAS'!A968,PARAMETROS!A:A,PARAMETROS!I:I)=0,"",_xlfn.XLOOKUP('PREENCHIMENTO|LETIVAS'!A968,PARAMETROS!A:A,PARAMETROS!I:I))</f>
        <v>PROFESSOR DE ENSINO SUPERIOR EAD</v>
      </c>
      <c r="F968" s="3" t="s">
        <v>53</v>
      </c>
      <c r="G968" s="3">
        <v>1</v>
      </c>
      <c r="H968" s="3" t="s">
        <v>39</v>
      </c>
      <c r="I968" s="3" t="s">
        <v>40</v>
      </c>
      <c r="J968" s="3" t="s">
        <v>1730</v>
      </c>
      <c r="K968" s="3"/>
      <c r="L968" s="19"/>
    </row>
    <row r="969" spans="1:12">
      <c r="A969" s="3" t="s">
        <v>748</v>
      </c>
      <c r="B969" t="str">
        <f>IF(_xlfn.XLOOKUP(A969,PARAMETROS!A:A,PARAMETROS!B:B)=0,"",_xlfn.XLOOKUP(A969,PARAMETROS!A:A,PARAMETROS!B:B))</f>
        <v>012009003896</v>
      </c>
      <c r="C969" t="str">
        <f>IF(_xlfn.XLOOKUP(A969,PARAMETROS!A:A,PARAMETROS!C:C)=0,"",_xlfn.XLOOKUP(A969,PARAMETROS!A:A,PARAMETROS!C:C))</f>
        <v/>
      </c>
      <c r="D969" t="str">
        <f>IF(_xlfn.XLOOKUP(A969,PARAMETROS!A:A,PARAMETROS!D:D)=0,"",_xlfn.XLOOKUP(A969,PARAMETROS!A:A,PARAMETROS!D:D))</f>
        <v/>
      </c>
      <c r="E969" t="str">
        <f>IF(_xlfn.XLOOKUP('PREENCHIMENTO|LETIVAS'!A969,PARAMETROS!A:A,PARAMETROS!I:I)=0,"",_xlfn.XLOOKUP('PREENCHIMENTO|LETIVAS'!A969,PARAMETROS!A:A,PARAMETROS!I:I))</f>
        <v>PROFESSOR DE ENSINO SUPERIOR PRESENCIAL</v>
      </c>
      <c r="F969" s="3" t="s">
        <v>53</v>
      </c>
      <c r="G969" s="3">
        <v>2</v>
      </c>
      <c r="H969" s="3" t="s">
        <v>63</v>
      </c>
      <c r="I969" s="3" t="s">
        <v>33</v>
      </c>
      <c r="J969" s="3" t="s">
        <v>1679</v>
      </c>
      <c r="K969" s="3"/>
      <c r="L969" s="19"/>
    </row>
    <row r="970" spans="1:12">
      <c r="A970" s="3" t="s">
        <v>748</v>
      </c>
      <c r="B970" t="str">
        <f>IF(_xlfn.XLOOKUP(A970,PARAMETROS!A:A,PARAMETROS!B:B)=0,"",_xlfn.XLOOKUP(A970,PARAMETROS!A:A,PARAMETROS!B:B))</f>
        <v>012009003896</v>
      </c>
      <c r="C970" t="str">
        <f>IF(_xlfn.XLOOKUP(A970,PARAMETROS!A:A,PARAMETROS!C:C)=0,"",_xlfn.XLOOKUP(A970,PARAMETROS!A:A,PARAMETROS!C:C))</f>
        <v/>
      </c>
      <c r="D970" t="str">
        <f>IF(_xlfn.XLOOKUP(A970,PARAMETROS!A:A,PARAMETROS!D:D)=0,"",_xlfn.XLOOKUP(A970,PARAMETROS!A:A,PARAMETROS!D:D))</f>
        <v/>
      </c>
      <c r="E970" t="str">
        <f>IF(_xlfn.XLOOKUP('PREENCHIMENTO|LETIVAS'!A970,PARAMETROS!A:A,PARAMETROS!I:I)=0,"",_xlfn.XLOOKUP('PREENCHIMENTO|LETIVAS'!A970,PARAMETROS!A:A,PARAMETROS!I:I))</f>
        <v>PROFESSOR DE ENSINO SUPERIOR PRESENCIAL</v>
      </c>
      <c r="F970" s="3" t="s">
        <v>53</v>
      </c>
      <c r="G970" s="3">
        <v>1</v>
      </c>
      <c r="H970" s="3" t="s">
        <v>63</v>
      </c>
      <c r="I970" s="3" t="s">
        <v>40</v>
      </c>
      <c r="J970" s="3" t="s">
        <v>1731</v>
      </c>
      <c r="K970" s="3"/>
      <c r="L970" s="19"/>
    </row>
    <row r="971" spans="1:12">
      <c r="A971" s="3" t="s">
        <v>343</v>
      </c>
      <c r="B971" t="str">
        <f>IF(_xlfn.XLOOKUP(A971,PARAMETROS!A:A,PARAMETROS!B:B)=0,"",_xlfn.XLOOKUP(A971,PARAMETROS!A:A,PARAMETROS!B:B))</f>
        <v>012009003454</v>
      </c>
      <c r="C971">
        <f>IF(_xlfn.XLOOKUP(A971,PARAMETROS!A:A,PARAMETROS!C:C)=0,"",_xlfn.XLOOKUP(A971,PARAMETROS!A:A,PARAMETROS!C:C))</f>
        <v>40</v>
      </c>
      <c r="D971">
        <f>IF(_xlfn.XLOOKUP(A971,PARAMETROS!A:A,PARAMETROS!D:D)=0,"",_xlfn.XLOOKUP(A971,PARAMETROS!A:A,PARAMETROS!D:D))</f>
        <v>4</v>
      </c>
      <c r="E971" t="str">
        <f>IF(_xlfn.XLOOKUP('PREENCHIMENTO|LETIVAS'!A971,PARAMETROS!A:A,PARAMETROS!I:I)=0,"",_xlfn.XLOOKUP('PREENCHIMENTO|LETIVAS'!A971,PARAMETROS!A:A,PARAMETROS!I:I))</f>
        <v>PROFESSOR DE ENSINO SUPERIOR EAD</v>
      </c>
      <c r="F971" s="3" t="s">
        <v>53</v>
      </c>
      <c r="G971" s="3">
        <v>2</v>
      </c>
      <c r="H971" s="3" t="s">
        <v>39</v>
      </c>
      <c r="I971" s="3" t="s">
        <v>33</v>
      </c>
      <c r="J971" s="3" t="s">
        <v>903</v>
      </c>
      <c r="K971" s="3"/>
      <c r="L971" s="19"/>
    </row>
    <row r="972" spans="1:12">
      <c r="A972" s="3" t="s">
        <v>432</v>
      </c>
      <c r="B972" t="str">
        <f>IF(_xlfn.XLOOKUP(A972,PARAMETROS!A:A,PARAMETROS!B:B)=0,"",_xlfn.XLOOKUP(A972,PARAMETROS!A:A,PARAMETROS!B:B))</f>
        <v>012009005489</v>
      </c>
      <c r="C972">
        <f>IF(_xlfn.XLOOKUP(A972,PARAMETROS!A:A,PARAMETROS!C:C)=0,"",_xlfn.XLOOKUP(A972,PARAMETROS!A:A,PARAMETROS!C:C))</f>
        <v>40</v>
      </c>
      <c r="D972">
        <f>IF(_xlfn.XLOOKUP(A972,PARAMETROS!A:A,PARAMETROS!D:D)=0,"",_xlfn.XLOOKUP(A972,PARAMETROS!A:A,PARAMETROS!D:D))</f>
        <v>4</v>
      </c>
      <c r="E972" t="str">
        <f>IF(_xlfn.XLOOKUP('PREENCHIMENTO|LETIVAS'!A972,PARAMETROS!A:A,PARAMETROS!I:I)=0,"",_xlfn.XLOOKUP('PREENCHIMENTO|LETIVAS'!A972,PARAMETROS!A:A,PARAMETROS!I:I))</f>
        <v>PROFESSOR DE ENSINO SUPERIOR EAD</v>
      </c>
      <c r="F972" s="3" t="s">
        <v>53</v>
      </c>
      <c r="G972" s="3">
        <v>2</v>
      </c>
      <c r="H972" s="3" t="s">
        <v>39</v>
      </c>
      <c r="I972" s="3" t="s">
        <v>40</v>
      </c>
      <c r="J972" s="3" t="s">
        <v>1732</v>
      </c>
      <c r="K972" s="3"/>
      <c r="L972" s="19"/>
    </row>
    <row r="973" spans="1:12">
      <c r="A973" s="3" t="s">
        <v>407</v>
      </c>
      <c r="B973" t="str">
        <f>IF(_xlfn.XLOOKUP(A973,PARAMETROS!A:A,PARAMETROS!B:B)=0,"",_xlfn.XLOOKUP(A973,PARAMETROS!A:A,PARAMETROS!B:B))</f>
        <v>012009005581</v>
      </c>
      <c r="C973">
        <f>IF(_xlfn.XLOOKUP(A973,PARAMETROS!A:A,PARAMETROS!C:C)=0,"",_xlfn.XLOOKUP(A973,PARAMETROS!A:A,PARAMETROS!C:C))</f>
        <v>40</v>
      </c>
      <c r="D973">
        <f>IF(_xlfn.XLOOKUP(A973,PARAMETROS!A:A,PARAMETROS!D:D)=0,"",_xlfn.XLOOKUP(A973,PARAMETROS!A:A,PARAMETROS!D:D))</f>
        <v>4</v>
      </c>
      <c r="E973" t="str">
        <f>IF(_xlfn.XLOOKUP('PREENCHIMENTO|LETIVAS'!A973,PARAMETROS!A:A,PARAMETROS!I:I)=0,"",_xlfn.XLOOKUP('PREENCHIMENTO|LETIVAS'!A973,PARAMETROS!A:A,PARAMETROS!I:I))</f>
        <v>PROFESSOR DE ENSINO SUPERIOR EAD</v>
      </c>
      <c r="F973" s="3" t="s">
        <v>53</v>
      </c>
      <c r="G973" s="3">
        <v>2</v>
      </c>
      <c r="H973" s="3" t="s">
        <v>39</v>
      </c>
      <c r="I973" s="3" t="s">
        <v>40</v>
      </c>
      <c r="J973" s="3" t="s">
        <v>1733</v>
      </c>
      <c r="K973" s="3"/>
      <c r="L973" s="19"/>
    </row>
    <row r="974" spans="1:12">
      <c r="A974" s="3" t="s">
        <v>407</v>
      </c>
      <c r="B974" t="str">
        <f>IF(_xlfn.XLOOKUP(A974,PARAMETROS!A:A,PARAMETROS!B:B)=0,"",_xlfn.XLOOKUP(A974,PARAMETROS!A:A,PARAMETROS!B:B))</f>
        <v>012009005581</v>
      </c>
      <c r="C974">
        <f>IF(_xlfn.XLOOKUP(A974,PARAMETROS!A:A,PARAMETROS!C:C)=0,"",_xlfn.XLOOKUP(A974,PARAMETROS!A:A,PARAMETROS!C:C))</f>
        <v>40</v>
      </c>
      <c r="D974">
        <f>IF(_xlfn.XLOOKUP(A974,PARAMETROS!A:A,PARAMETROS!D:D)=0,"",_xlfn.XLOOKUP(A974,PARAMETROS!A:A,PARAMETROS!D:D))</f>
        <v>4</v>
      </c>
      <c r="E974" t="str">
        <f>IF(_xlfn.XLOOKUP('PREENCHIMENTO|LETIVAS'!A974,PARAMETROS!A:A,PARAMETROS!I:I)=0,"",_xlfn.XLOOKUP('PREENCHIMENTO|LETIVAS'!A974,PARAMETROS!A:A,PARAMETROS!I:I))</f>
        <v>PROFESSOR DE ENSINO SUPERIOR EAD</v>
      </c>
      <c r="F974" s="3" t="s">
        <v>53</v>
      </c>
      <c r="G974" s="3">
        <v>1</v>
      </c>
      <c r="H974" s="3" t="s">
        <v>39</v>
      </c>
      <c r="I974" s="3" t="s">
        <v>40</v>
      </c>
      <c r="J974" s="3" t="s">
        <v>1734</v>
      </c>
      <c r="K974" s="3"/>
      <c r="L974" s="19"/>
    </row>
    <row r="975" spans="1:12">
      <c r="A975" s="3" t="s">
        <v>505</v>
      </c>
      <c r="B975" t="str">
        <f>IF(_xlfn.XLOOKUP(A975,PARAMETROS!A:A,PARAMETROS!B:B)=0,"",_xlfn.XLOOKUP(A975,PARAMETROS!A:A,PARAMETROS!B:B))</f>
        <v>012009006225</v>
      </c>
      <c r="C975">
        <f>IF(_xlfn.XLOOKUP(A975,PARAMETROS!A:A,PARAMETROS!C:C)=0,"",_xlfn.XLOOKUP(A975,PARAMETROS!A:A,PARAMETROS!C:C))</f>
        <v>12</v>
      </c>
      <c r="D975">
        <f>IF(_xlfn.XLOOKUP(A975,PARAMETROS!A:A,PARAMETROS!D:D)=0,"",_xlfn.XLOOKUP(A975,PARAMETROS!A:A,PARAMETROS!D:D))</f>
        <v>9</v>
      </c>
      <c r="E975" t="str">
        <f>IF(_xlfn.XLOOKUP('PREENCHIMENTO|LETIVAS'!A975,PARAMETROS!A:A,PARAMETROS!I:I)=0,"",_xlfn.XLOOKUP('PREENCHIMENTO|LETIVAS'!A975,PARAMETROS!A:A,PARAMETROS!I:I))</f>
        <v>PROFESSOR REGENTE</v>
      </c>
      <c r="F975" s="3" t="s">
        <v>53</v>
      </c>
      <c r="G975" s="3">
        <v>1</v>
      </c>
      <c r="H975" s="3" t="s">
        <v>63</v>
      </c>
      <c r="I975" s="3" t="s">
        <v>33</v>
      </c>
      <c r="J975" s="3" t="s">
        <v>1735</v>
      </c>
      <c r="K975" s="3"/>
      <c r="L975" s="19"/>
    </row>
    <row r="976" spans="1:12">
      <c r="A976" s="3" t="s">
        <v>505</v>
      </c>
      <c r="B976" t="str">
        <f>IF(_xlfn.XLOOKUP(A976,PARAMETROS!A:A,PARAMETROS!B:B)=0,"",_xlfn.XLOOKUP(A976,PARAMETROS!A:A,PARAMETROS!B:B))</f>
        <v>012009006225</v>
      </c>
      <c r="C976">
        <f>IF(_xlfn.XLOOKUP(A976,PARAMETROS!A:A,PARAMETROS!C:C)=0,"",_xlfn.XLOOKUP(A976,PARAMETROS!A:A,PARAMETROS!C:C))</f>
        <v>12</v>
      </c>
      <c r="D976">
        <f>IF(_xlfn.XLOOKUP(A976,PARAMETROS!A:A,PARAMETROS!D:D)=0,"",_xlfn.XLOOKUP(A976,PARAMETROS!A:A,PARAMETROS!D:D))</f>
        <v>9</v>
      </c>
      <c r="E976" t="str">
        <f>IF(_xlfn.XLOOKUP('PREENCHIMENTO|LETIVAS'!A976,PARAMETROS!A:A,PARAMETROS!I:I)=0,"",_xlfn.XLOOKUP('PREENCHIMENTO|LETIVAS'!A976,PARAMETROS!A:A,PARAMETROS!I:I))</f>
        <v>PROFESSOR REGENTE</v>
      </c>
      <c r="F976" s="3" t="s">
        <v>53</v>
      </c>
      <c r="G976" s="3">
        <v>1</v>
      </c>
      <c r="H976" s="3" t="s">
        <v>63</v>
      </c>
      <c r="I976" s="3" t="s">
        <v>40</v>
      </c>
      <c r="J976" s="3" t="s">
        <v>1736</v>
      </c>
      <c r="K976" s="3"/>
      <c r="L976" s="19"/>
    </row>
    <row r="977" spans="1:12">
      <c r="A977" s="3" t="s">
        <v>638</v>
      </c>
      <c r="B977" t="str">
        <f>IF(_xlfn.XLOOKUP(A977,PARAMETROS!A:A,PARAMETROS!B:B)=0,"",_xlfn.XLOOKUP(A977,PARAMETROS!A:A,PARAMETROS!B:B))</f>
        <v>012009006279</v>
      </c>
      <c r="C977">
        <f>IF(_xlfn.XLOOKUP(A977,PARAMETROS!A:A,PARAMETROS!C:C)=0,"",_xlfn.XLOOKUP(A977,PARAMETROS!A:A,PARAMETROS!C:C))</f>
        <v>40</v>
      </c>
      <c r="D977">
        <f>IF(_xlfn.XLOOKUP(A977,PARAMETROS!A:A,PARAMETROS!D:D)=0,"",_xlfn.XLOOKUP(A977,PARAMETROS!A:A,PARAMETROS!D:D))</f>
        <v>20</v>
      </c>
      <c r="E977" t="str">
        <f>IF(_xlfn.XLOOKUP('PREENCHIMENTO|LETIVAS'!A977,PARAMETROS!A:A,PARAMETROS!I:I)=0,"",_xlfn.XLOOKUP('PREENCHIMENTO|LETIVAS'!A977,PARAMETROS!A:A,PARAMETROS!I:I))</f>
        <v>PROFESSOR REGENTE</v>
      </c>
      <c r="F977" s="3" t="s">
        <v>53</v>
      </c>
      <c r="G977" s="3" t="s">
        <v>54</v>
      </c>
      <c r="H977" s="3" t="s">
        <v>55</v>
      </c>
      <c r="I977" s="3" t="s">
        <v>33</v>
      </c>
      <c r="J977" s="3" t="s">
        <v>1737</v>
      </c>
      <c r="K977" s="3"/>
      <c r="L977" s="19"/>
    </row>
    <row r="978" spans="1:12">
      <c r="A978" s="3" t="s">
        <v>532</v>
      </c>
      <c r="B978" t="str">
        <f>IF(_xlfn.XLOOKUP(A978,PARAMETROS!A:A,PARAMETROS!B:B)=0,"",_xlfn.XLOOKUP(A978,PARAMETROS!A:A,PARAMETROS!B:B))</f>
        <v>012009005304</v>
      </c>
      <c r="C978">
        <f>IF(_xlfn.XLOOKUP(A978,PARAMETROS!A:A,PARAMETROS!C:C)=0,"",_xlfn.XLOOKUP(A978,PARAMETROS!A:A,PARAMETROS!C:C))</f>
        <v>40</v>
      </c>
      <c r="D978">
        <f>IF(_xlfn.XLOOKUP(A978,PARAMETROS!A:A,PARAMETROS!D:D)=0,"",_xlfn.XLOOKUP(A978,PARAMETROS!A:A,PARAMETROS!D:D))</f>
        <v>4</v>
      </c>
      <c r="E978" t="str">
        <f>IF(_xlfn.XLOOKUP('PREENCHIMENTO|LETIVAS'!A978,PARAMETROS!A:A,PARAMETROS!I:I)=0,"",_xlfn.XLOOKUP('PREENCHIMENTO|LETIVAS'!A978,PARAMETROS!A:A,PARAMETROS!I:I))</f>
        <v>PROFESSOR DE ENSINO SUPERIOR EAD</v>
      </c>
      <c r="F978" s="3" t="s">
        <v>53</v>
      </c>
      <c r="G978" s="3" t="s">
        <v>54</v>
      </c>
      <c r="H978" s="3" t="s">
        <v>55</v>
      </c>
      <c r="I978" s="3" t="s">
        <v>40</v>
      </c>
      <c r="J978" s="3" t="s">
        <v>1738</v>
      </c>
      <c r="K978" s="3"/>
      <c r="L978" s="19"/>
    </row>
    <row r="979" spans="1:12">
      <c r="A979" s="3" t="s">
        <v>532</v>
      </c>
      <c r="B979" t="str">
        <f>IF(_xlfn.XLOOKUP(A979,PARAMETROS!A:A,PARAMETROS!B:B)=0,"",_xlfn.XLOOKUP(A979,PARAMETROS!A:A,PARAMETROS!B:B))</f>
        <v>012009005304</v>
      </c>
      <c r="C979">
        <f>IF(_xlfn.XLOOKUP(A979,PARAMETROS!A:A,PARAMETROS!C:C)=0,"",_xlfn.XLOOKUP(A979,PARAMETROS!A:A,PARAMETROS!C:C))</f>
        <v>40</v>
      </c>
      <c r="D979">
        <f>IF(_xlfn.XLOOKUP(A979,PARAMETROS!A:A,PARAMETROS!D:D)=0,"",_xlfn.XLOOKUP(A979,PARAMETROS!A:A,PARAMETROS!D:D))</f>
        <v>4</v>
      </c>
      <c r="E979" t="str">
        <f>IF(_xlfn.XLOOKUP('PREENCHIMENTO|LETIVAS'!A979,PARAMETROS!A:A,PARAMETROS!I:I)=0,"",_xlfn.XLOOKUP('PREENCHIMENTO|LETIVAS'!A979,PARAMETROS!A:A,PARAMETROS!I:I))</f>
        <v>PROFESSOR DE ENSINO SUPERIOR EAD</v>
      </c>
      <c r="F979" s="3" t="s">
        <v>53</v>
      </c>
      <c r="G979" s="3" t="s">
        <v>54</v>
      </c>
      <c r="H979" s="3" t="s">
        <v>55</v>
      </c>
      <c r="I979" s="3" t="s">
        <v>33</v>
      </c>
      <c r="J979" s="3" t="s">
        <v>1739</v>
      </c>
      <c r="K979" s="3"/>
      <c r="L979" s="19"/>
    </row>
    <row r="980" spans="1:12">
      <c r="A980" s="3" t="s">
        <v>331</v>
      </c>
      <c r="B980" t="str">
        <f>IF(_xlfn.XLOOKUP(A980,PARAMETROS!A:A,PARAMETROS!B:B)=0,"",_xlfn.XLOOKUP(A980,PARAMETROS!A:A,PARAMETROS!B:B))</f>
        <v>012009005027</v>
      </c>
      <c r="C980">
        <f>IF(_xlfn.XLOOKUP(A980,PARAMETROS!A:A,PARAMETROS!C:C)=0,"",_xlfn.XLOOKUP(A980,PARAMETROS!A:A,PARAMETROS!C:C))</f>
        <v>20</v>
      </c>
      <c r="D980">
        <f>IF(_xlfn.XLOOKUP(A980,PARAMETROS!A:A,PARAMETROS!D:D)=0,"",_xlfn.XLOOKUP(A980,PARAMETROS!A:A,PARAMETROS!D:D))</f>
        <v>2</v>
      </c>
      <c r="E980" t="str">
        <f>IF(_xlfn.XLOOKUP('PREENCHIMENTO|LETIVAS'!A980,PARAMETROS!A:A,PARAMETROS!I:I)=0,"",_xlfn.XLOOKUP('PREENCHIMENTO|LETIVAS'!A980,PARAMETROS!A:A,PARAMETROS!I:I))</f>
        <v>PROFESSOR DE ENSINO SUPERIOR EAD</v>
      </c>
      <c r="F980" s="3" t="s">
        <v>53</v>
      </c>
      <c r="G980" s="3">
        <v>2</v>
      </c>
      <c r="H980" s="3" t="s">
        <v>63</v>
      </c>
      <c r="I980" s="3" t="s">
        <v>33</v>
      </c>
      <c r="J980" s="3" t="s">
        <v>1696</v>
      </c>
      <c r="K980" s="3"/>
      <c r="L980" s="19"/>
    </row>
    <row r="981" spans="1:12">
      <c r="A981" s="3" t="s">
        <v>25</v>
      </c>
      <c r="B981" t="str">
        <f>IF(_xlfn.XLOOKUP(A981,PARAMETROS!A:A,PARAMETROS!B:B)=0,"",_xlfn.XLOOKUP(A981,PARAMETROS!A:A,PARAMETROS!B:B))</f>
        <v>012009006172</v>
      </c>
      <c r="C981">
        <f>IF(_xlfn.XLOOKUP(A981,PARAMETROS!A:A,PARAMETROS!C:C)=0,"",_xlfn.XLOOKUP(A981,PARAMETROS!A:A,PARAMETROS!C:C))</f>
        <v>12</v>
      </c>
      <c r="D981">
        <f>IF(_xlfn.XLOOKUP(A981,PARAMETROS!A:A,PARAMETROS!D:D)=0,"",_xlfn.XLOOKUP(A981,PARAMETROS!A:A,PARAMETROS!D:D))</f>
        <v>9</v>
      </c>
      <c r="E981" t="str">
        <f>IF(_xlfn.XLOOKUP('PREENCHIMENTO|LETIVAS'!A981,PARAMETROS!A:A,PARAMETROS!I:I)=0,"",_xlfn.XLOOKUP('PREENCHIMENTO|LETIVAS'!A981,PARAMETROS!A:A,PARAMETROS!I:I))</f>
        <v>PROFESSOR REGENTE</v>
      </c>
      <c r="F981" s="3" t="s">
        <v>53</v>
      </c>
      <c r="G981" s="3">
        <v>1</v>
      </c>
      <c r="H981" s="3" t="s">
        <v>63</v>
      </c>
      <c r="I981" s="3" t="s">
        <v>33</v>
      </c>
      <c r="J981" s="3" t="s">
        <v>1740</v>
      </c>
      <c r="K981" s="3"/>
      <c r="L981" s="19"/>
    </row>
    <row r="982" spans="1:12">
      <c r="A982" s="3" t="s">
        <v>825</v>
      </c>
      <c r="B982" t="str">
        <f>IF(_xlfn.XLOOKUP(A982,PARAMETROS!A:A,PARAMETROS!B:B)=0,"",_xlfn.XLOOKUP(A982,PARAMETROS!A:A,PARAMETROS!B:B))</f>
        <v>012009007280</v>
      </c>
      <c r="C982">
        <f>IF(_xlfn.XLOOKUP(A982,PARAMETROS!A:A,PARAMETROS!C:C)=0,"",_xlfn.XLOOKUP(A982,PARAMETROS!A:A,PARAMETROS!C:C))</f>
        <v>12</v>
      </c>
      <c r="D982">
        <f>IF(_xlfn.XLOOKUP(A982,PARAMETROS!A:A,PARAMETROS!D:D)=0,"",_xlfn.XLOOKUP(A982,PARAMETROS!A:A,PARAMETROS!D:D))</f>
        <v>9</v>
      </c>
      <c r="E982" t="str">
        <f>IF(_xlfn.XLOOKUP('PREENCHIMENTO|LETIVAS'!A982,PARAMETROS!A:A,PARAMETROS!I:I)=0,"",_xlfn.XLOOKUP('PREENCHIMENTO|LETIVAS'!A982,PARAMETROS!A:A,PARAMETROS!I:I))</f>
        <v>PROFESSOR REGENTE</v>
      </c>
      <c r="F982" s="3" t="s">
        <v>53</v>
      </c>
      <c r="G982" s="3">
        <v>2</v>
      </c>
      <c r="H982" s="3" t="s">
        <v>39</v>
      </c>
      <c r="I982" s="3" t="s">
        <v>33</v>
      </c>
      <c r="J982" s="3" t="s">
        <v>1139</v>
      </c>
      <c r="K982" s="3"/>
      <c r="L982" s="19"/>
    </row>
    <row r="983" spans="1:12">
      <c r="A983" s="3" t="s">
        <v>825</v>
      </c>
      <c r="B983" t="str">
        <f>IF(_xlfn.XLOOKUP(A983,PARAMETROS!A:A,PARAMETROS!B:B)=0,"",_xlfn.XLOOKUP(A983,PARAMETROS!A:A,PARAMETROS!B:B))</f>
        <v>012009007280</v>
      </c>
      <c r="C983">
        <f>IF(_xlfn.XLOOKUP(A983,PARAMETROS!A:A,PARAMETROS!C:C)=0,"",_xlfn.XLOOKUP(A983,PARAMETROS!A:A,PARAMETROS!C:C))</f>
        <v>12</v>
      </c>
      <c r="D983">
        <f>IF(_xlfn.XLOOKUP(A983,PARAMETROS!A:A,PARAMETROS!D:D)=0,"",_xlfn.XLOOKUP(A983,PARAMETROS!A:A,PARAMETROS!D:D))</f>
        <v>9</v>
      </c>
      <c r="E983" t="str">
        <f>IF(_xlfn.XLOOKUP('PREENCHIMENTO|LETIVAS'!A983,PARAMETROS!A:A,PARAMETROS!I:I)=0,"",_xlfn.XLOOKUP('PREENCHIMENTO|LETIVAS'!A983,PARAMETROS!A:A,PARAMETROS!I:I))</f>
        <v>PROFESSOR REGENTE</v>
      </c>
      <c r="F983" s="3" t="s">
        <v>53</v>
      </c>
      <c r="G983" s="3" t="s">
        <v>54</v>
      </c>
      <c r="H983" s="3" t="s">
        <v>39</v>
      </c>
      <c r="I983" s="3" t="s">
        <v>33</v>
      </c>
      <c r="J983" s="3" t="s">
        <v>1207</v>
      </c>
      <c r="K983" s="3" t="s">
        <v>1552</v>
      </c>
      <c r="L983" s="19"/>
    </row>
    <row r="984" spans="1:12">
      <c r="A984" s="3" t="s">
        <v>825</v>
      </c>
      <c r="B984" t="str">
        <f>IF(_xlfn.XLOOKUP(A984,PARAMETROS!A:A,PARAMETROS!B:B)=0,"",_xlfn.XLOOKUP(A984,PARAMETROS!A:A,PARAMETROS!B:B))</f>
        <v>012009007280</v>
      </c>
      <c r="C984">
        <f>IF(_xlfn.XLOOKUP(A984,PARAMETROS!A:A,PARAMETROS!C:C)=0,"",_xlfn.XLOOKUP(A984,PARAMETROS!A:A,PARAMETROS!C:C))</f>
        <v>12</v>
      </c>
      <c r="D984">
        <f>IF(_xlfn.XLOOKUP(A984,PARAMETROS!A:A,PARAMETROS!D:D)=0,"",_xlfn.XLOOKUP(A984,PARAMETROS!A:A,PARAMETROS!D:D))</f>
        <v>9</v>
      </c>
      <c r="E984" t="str">
        <f>IF(_xlfn.XLOOKUP('PREENCHIMENTO|LETIVAS'!A984,PARAMETROS!A:A,PARAMETROS!I:I)=0,"",_xlfn.XLOOKUP('PREENCHIMENTO|LETIVAS'!A984,PARAMETROS!A:A,PARAMETROS!I:I))</f>
        <v>PROFESSOR REGENTE</v>
      </c>
      <c r="F984" s="3" t="s">
        <v>53</v>
      </c>
      <c r="G984" s="3">
        <v>2</v>
      </c>
      <c r="H984" s="3" t="s">
        <v>39</v>
      </c>
      <c r="I984" s="3" t="s">
        <v>40</v>
      </c>
      <c r="J984" s="3" t="s">
        <v>979</v>
      </c>
      <c r="K984" s="3"/>
      <c r="L984" s="19"/>
    </row>
    <row r="985" spans="1:12">
      <c r="A985" s="3" t="s">
        <v>821</v>
      </c>
      <c r="B985" t="str">
        <f>IF(_xlfn.XLOOKUP(A985,PARAMETROS!A:A,PARAMETROS!B:B)=0,"",_xlfn.XLOOKUP(A985,PARAMETROS!A:A,PARAMETROS!B:B))</f>
        <v>012009007371</v>
      </c>
      <c r="C985">
        <f>IF(_xlfn.XLOOKUP(A985,PARAMETROS!A:A,PARAMETROS!C:C)=0,"",_xlfn.XLOOKUP(A985,PARAMETROS!A:A,PARAMETROS!C:C))</f>
        <v>12</v>
      </c>
      <c r="D985">
        <f>IF(_xlfn.XLOOKUP(A985,PARAMETROS!A:A,PARAMETROS!D:D)=0,"",_xlfn.XLOOKUP(A985,PARAMETROS!A:A,PARAMETROS!D:D))</f>
        <v>9</v>
      </c>
      <c r="E985" t="str">
        <f>IF(_xlfn.XLOOKUP('PREENCHIMENTO|LETIVAS'!A985,PARAMETROS!A:A,PARAMETROS!I:I)=0,"",_xlfn.XLOOKUP('PREENCHIMENTO|LETIVAS'!A985,PARAMETROS!A:A,PARAMETROS!I:I))</f>
        <v>PROFESSOR REGENTE</v>
      </c>
      <c r="F985" s="3" t="s">
        <v>53</v>
      </c>
      <c r="G985" s="3">
        <v>1</v>
      </c>
      <c r="H985" s="3" t="s">
        <v>39</v>
      </c>
      <c r="I985" s="3" t="s">
        <v>40</v>
      </c>
      <c r="J985" s="3" t="s">
        <v>1741</v>
      </c>
      <c r="K985" s="3"/>
      <c r="L985" s="19"/>
    </row>
    <row r="986" spans="1:12">
      <c r="A986" s="3" t="s">
        <v>829</v>
      </c>
      <c r="B986" t="str">
        <f>IF(_xlfn.XLOOKUP(A986,PARAMETROS!A:A,PARAMETROS!B:B)=0,"",_xlfn.XLOOKUP(A986,PARAMETROS!A:A,PARAMETROS!B:B))</f>
        <v>012009006298</v>
      </c>
      <c r="C986" t="str">
        <f>IF(_xlfn.XLOOKUP(A986,PARAMETROS!A:A,PARAMETROS!C:C)=0,"",_xlfn.XLOOKUP(A986,PARAMETROS!A:A,PARAMETROS!C:C))</f>
        <v/>
      </c>
      <c r="D986" t="str">
        <f>IF(_xlfn.XLOOKUP(A986,PARAMETROS!A:A,PARAMETROS!D:D)=0,"",_xlfn.XLOOKUP(A986,PARAMETROS!A:A,PARAMETROS!D:D))</f>
        <v/>
      </c>
      <c r="E986" t="str">
        <f>IF(_xlfn.XLOOKUP('PREENCHIMENTO|LETIVAS'!A986,PARAMETROS!A:A,PARAMETROS!I:I)=0,"",_xlfn.XLOOKUP('PREENCHIMENTO|LETIVAS'!A986,PARAMETROS!A:A,PARAMETROS!I:I))</f>
        <v>PROFESSOR DE ENSINO SUPERIOR PRESENCIAL</v>
      </c>
      <c r="F986" s="3" t="s">
        <v>53</v>
      </c>
      <c r="G986" s="3">
        <v>2</v>
      </c>
      <c r="H986" s="3" t="s">
        <v>39</v>
      </c>
      <c r="I986" s="3" t="s">
        <v>40</v>
      </c>
      <c r="J986" s="3" t="s">
        <v>1742</v>
      </c>
      <c r="K986" s="3"/>
      <c r="L986" s="19"/>
    </row>
    <row r="987" spans="1:12">
      <c r="A987" s="3" t="s">
        <v>856</v>
      </c>
      <c r="B987" t="str">
        <f>IF(_xlfn.XLOOKUP(A987,PARAMETROS!A:A,PARAMETROS!B:B)=0,"",_xlfn.XLOOKUP(A987,PARAMETROS!A:A,PARAMETROS!B:B))</f>
        <v>000000000000</v>
      </c>
      <c r="C987" t="str">
        <f>IF(_xlfn.XLOOKUP(A987,PARAMETROS!A:A,PARAMETROS!C:C)=0,"",_xlfn.XLOOKUP(A987,PARAMETROS!A:A,PARAMETROS!C:C))</f>
        <v/>
      </c>
      <c r="D987" t="str">
        <f>IF(_xlfn.XLOOKUP(A987,PARAMETROS!A:A,PARAMETROS!D:D)=0,"",_xlfn.XLOOKUP(A987,PARAMETROS!A:A,PARAMETROS!D:D))</f>
        <v/>
      </c>
      <c r="E987" t="str">
        <f>IF(_xlfn.XLOOKUP('PREENCHIMENTO|LETIVAS'!A987,PARAMETROS!A:A,PARAMETROS!I:I)=0,"",_xlfn.XLOOKUP('PREENCHIMENTO|LETIVAS'!A987,PARAMETROS!A:A,PARAMETROS!I:I))</f>
        <v>RPA</v>
      </c>
      <c r="F987" s="3" t="s">
        <v>53</v>
      </c>
      <c r="G987" s="3" t="s">
        <v>54</v>
      </c>
      <c r="H987" s="3" t="s">
        <v>32</v>
      </c>
      <c r="I987" s="3" t="s">
        <v>40</v>
      </c>
      <c r="J987" s="3" t="s">
        <v>1743</v>
      </c>
      <c r="K987" s="21" t="s">
        <v>1744</v>
      </c>
      <c r="L987" s="19"/>
    </row>
    <row r="988" spans="1:12">
      <c r="A988" s="3" t="s">
        <v>856</v>
      </c>
      <c r="B988" t="str">
        <f>IF(_xlfn.XLOOKUP(A988,PARAMETROS!A:A,PARAMETROS!B:B)=0,"",_xlfn.XLOOKUP(A988,PARAMETROS!A:A,PARAMETROS!B:B))</f>
        <v>000000000000</v>
      </c>
      <c r="C988" t="str">
        <f>IF(_xlfn.XLOOKUP(A988,PARAMETROS!A:A,PARAMETROS!C:C)=0,"",_xlfn.XLOOKUP(A988,PARAMETROS!A:A,PARAMETROS!C:C))</f>
        <v/>
      </c>
      <c r="D988" t="str">
        <f>IF(_xlfn.XLOOKUP(A988,PARAMETROS!A:A,PARAMETROS!D:D)=0,"",_xlfn.XLOOKUP(A988,PARAMETROS!A:A,PARAMETROS!D:D))</f>
        <v/>
      </c>
      <c r="E988" t="str">
        <f>IF(_xlfn.XLOOKUP('PREENCHIMENTO|LETIVAS'!A988,PARAMETROS!A:A,PARAMETROS!I:I)=0,"",_xlfn.XLOOKUP('PREENCHIMENTO|LETIVAS'!A988,PARAMETROS!A:A,PARAMETROS!I:I))</f>
        <v>RPA</v>
      </c>
      <c r="F988" s="3" t="s">
        <v>53</v>
      </c>
      <c r="G988" s="3">
        <v>2</v>
      </c>
      <c r="H988" s="3" t="s">
        <v>63</v>
      </c>
      <c r="I988" s="3" t="s">
        <v>40</v>
      </c>
      <c r="J988" s="3" t="s">
        <v>1745</v>
      </c>
      <c r="K988" s="3" t="s">
        <v>1744</v>
      </c>
      <c r="L988" s="19" t="s">
        <v>1171</v>
      </c>
    </row>
    <row r="989" spans="1:12">
      <c r="A989" s="3" t="s">
        <v>856</v>
      </c>
      <c r="B989" t="str">
        <f>IF(_xlfn.XLOOKUP(A989,PARAMETROS!A:A,PARAMETROS!B:B)=0,"",_xlfn.XLOOKUP(A989,PARAMETROS!A:A,PARAMETROS!B:B))</f>
        <v>000000000000</v>
      </c>
      <c r="C989" t="str">
        <f>IF(_xlfn.XLOOKUP(A989,PARAMETROS!A:A,PARAMETROS!C:C)=0,"",_xlfn.XLOOKUP(A989,PARAMETROS!A:A,PARAMETROS!C:C))</f>
        <v/>
      </c>
      <c r="D989" t="str">
        <f>IF(_xlfn.XLOOKUP(A989,PARAMETROS!A:A,PARAMETROS!D:D)=0,"",_xlfn.XLOOKUP(A989,PARAMETROS!A:A,PARAMETROS!D:D))</f>
        <v/>
      </c>
      <c r="E989" t="str">
        <f>IF(_xlfn.XLOOKUP('PREENCHIMENTO|LETIVAS'!A989,PARAMETROS!A:A,PARAMETROS!I:I)=0,"",_xlfn.XLOOKUP('PREENCHIMENTO|LETIVAS'!A989,PARAMETROS!A:A,PARAMETROS!I:I))</f>
        <v>RPA</v>
      </c>
      <c r="F989" s="3" t="s">
        <v>53</v>
      </c>
      <c r="G989" s="3" t="s">
        <v>54</v>
      </c>
      <c r="H989" s="3" t="s">
        <v>32</v>
      </c>
      <c r="I989" s="3" t="s">
        <v>33</v>
      </c>
      <c r="J989" s="3" t="s">
        <v>1746</v>
      </c>
      <c r="K989" s="3" t="s">
        <v>1747</v>
      </c>
      <c r="L989" s="19"/>
    </row>
    <row r="990" spans="1:12">
      <c r="A990" s="3" t="s">
        <v>856</v>
      </c>
      <c r="B990" t="str">
        <f>IF(_xlfn.XLOOKUP(A990,PARAMETROS!A:A,PARAMETROS!B:B)=0,"",_xlfn.XLOOKUP(A990,PARAMETROS!A:A,PARAMETROS!B:B))</f>
        <v>000000000000</v>
      </c>
      <c r="C990" t="str">
        <f>IF(_xlfn.XLOOKUP(A990,PARAMETROS!A:A,PARAMETROS!C:C)=0,"",_xlfn.XLOOKUP(A990,PARAMETROS!A:A,PARAMETROS!C:C))</f>
        <v/>
      </c>
      <c r="D990" t="str">
        <f>IF(_xlfn.XLOOKUP(A990,PARAMETROS!A:A,PARAMETROS!D:D)=0,"",_xlfn.XLOOKUP(A990,PARAMETROS!A:A,PARAMETROS!D:D))</f>
        <v/>
      </c>
      <c r="E990" t="str">
        <f>IF(_xlfn.XLOOKUP('PREENCHIMENTO|LETIVAS'!A990,PARAMETROS!A:A,PARAMETROS!I:I)=0,"",_xlfn.XLOOKUP('PREENCHIMENTO|LETIVAS'!A990,PARAMETROS!A:A,PARAMETROS!I:I))</f>
        <v>RPA</v>
      </c>
      <c r="F990" s="3" t="s">
        <v>53</v>
      </c>
      <c r="G990" s="3" t="s">
        <v>54</v>
      </c>
      <c r="H990" s="3" t="s">
        <v>55</v>
      </c>
      <c r="I990" s="3" t="s">
        <v>40</v>
      </c>
      <c r="J990" s="3" t="s">
        <v>1748</v>
      </c>
      <c r="K990" s="3" t="s">
        <v>1749</v>
      </c>
      <c r="L990" s="19" t="s">
        <v>1037</v>
      </c>
    </row>
    <row r="991" spans="1:12">
      <c r="A991" s="3" t="s">
        <v>856</v>
      </c>
      <c r="B991" t="str">
        <f>IF(_xlfn.XLOOKUP(A991,PARAMETROS!A:A,PARAMETROS!B:B)=0,"",_xlfn.XLOOKUP(A991,PARAMETROS!A:A,PARAMETROS!B:B))</f>
        <v>000000000000</v>
      </c>
      <c r="C991" t="str">
        <f>IF(_xlfn.XLOOKUP(A991,PARAMETROS!A:A,PARAMETROS!C:C)=0,"",_xlfn.XLOOKUP(A991,PARAMETROS!A:A,PARAMETROS!C:C))</f>
        <v/>
      </c>
      <c r="D991" t="str">
        <f>IF(_xlfn.XLOOKUP(A991,PARAMETROS!A:A,PARAMETROS!D:D)=0,"",_xlfn.XLOOKUP(A991,PARAMETROS!A:A,PARAMETROS!D:D))</f>
        <v/>
      </c>
      <c r="E991" t="str">
        <f>IF(_xlfn.XLOOKUP('PREENCHIMENTO|LETIVAS'!A991,PARAMETROS!A:A,PARAMETROS!I:I)=0,"",_xlfn.XLOOKUP('PREENCHIMENTO|LETIVAS'!A991,PARAMETROS!A:A,PARAMETROS!I:I))</f>
        <v>RPA</v>
      </c>
      <c r="F991" s="3" t="s">
        <v>53</v>
      </c>
      <c r="G991" s="3" t="s">
        <v>54</v>
      </c>
      <c r="H991" s="3" t="s">
        <v>39</v>
      </c>
      <c r="I991" s="3" t="s">
        <v>40</v>
      </c>
      <c r="J991" s="3" t="s">
        <v>1750</v>
      </c>
      <c r="K991" s="3" t="s">
        <v>1751</v>
      </c>
      <c r="L991" s="19" t="s">
        <v>1162</v>
      </c>
    </row>
    <row r="992" spans="1:12">
      <c r="A992" s="3" t="s">
        <v>856</v>
      </c>
      <c r="B992" t="str">
        <f>IF(_xlfn.XLOOKUP(A992,PARAMETROS!A:A,PARAMETROS!B:B)=0,"",_xlfn.XLOOKUP(A992,PARAMETROS!A:A,PARAMETROS!B:B))</f>
        <v>000000000000</v>
      </c>
      <c r="C992" t="str">
        <f>IF(_xlfn.XLOOKUP(A992,PARAMETROS!A:A,PARAMETROS!C:C)=0,"",_xlfn.XLOOKUP(A992,PARAMETROS!A:A,PARAMETROS!C:C))</f>
        <v/>
      </c>
      <c r="D992" t="str">
        <f>IF(_xlfn.XLOOKUP(A992,PARAMETROS!A:A,PARAMETROS!D:D)=0,"",_xlfn.XLOOKUP(A992,PARAMETROS!A:A,PARAMETROS!D:D))</f>
        <v/>
      </c>
      <c r="E992" t="str">
        <f>IF(_xlfn.XLOOKUP('PREENCHIMENTO|LETIVAS'!A992,PARAMETROS!A:A,PARAMETROS!I:I)=0,"",_xlfn.XLOOKUP('PREENCHIMENTO|LETIVAS'!A992,PARAMETROS!A:A,PARAMETROS!I:I))</f>
        <v>RPA</v>
      </c>
      <c r="F992" s="3" t="s">
        <v>53</v>
      </c>
      <c r="G992" s="3" t="s">
        <v>54</v>
      </c>
      <c r="H992" s="3" t="s">
        <v>32</v>
      </c>
      <c r="I992" s="3" t="s">
        <v>40</v>
      </c>
      <c r="J992" s="3" t="s">
        <v>1752</v>
      </c>
      <c r="K992" s="3" t="s">
        <v>1753</v>
      </c>
      <c r="L992" s="19"/>
    </row>
    <row r="993" spans="1:12">
      <c r="A993" s="3" t="s">
        <v>856</v>
      </c>
      <c r="B993" t="str">
        <f>IF(_xlfn.XLOOKUP(A993,PARAMETROS!A:A,PARAMETROS!B:B)=0,"",_xlfn.XLOOKUP(A993,PARAMETROS!A:A,PARAMETROS!B:B))</f>
        <v>000000000000</v>
      </c>
      <c r="C993" t="str">
        <f>IF(_xlfn.XLOOKUP(A993,PARAMETROS!A:A,PARAMETROS!C:C)=0,"",_xlfn.XLOOKUP(A993,PARAMETROS!A:A,PARAMETROS!C:C))</f>
        <v/>
      </c>
      <c r="D993" t="str">
        <f>IF(_xlfn.XLOOKUP(A993,PARAMETROS!A:A,PARAMETROS!D:D)=0,"",_xlfn.XLOOKUP(A993,PARAMETROS!A:A,PARAMETROS!D:D))</f>
        <v/>
      </c>
      <c r="E993" t="str">
        <f>IF(_xlfn.XLOOKUP('PREENCHIMENTO|LETIVAS'!A993,PARAMETROS!A:A,PARAMETROS!I:I)=0,"",_xlfn.XLOOKUP('PREENCHIMENTO|LETIVAS'!A993,PARAMETROS!A:A,PARAMETROS!I:I))</f>
        <v>RPA</v>
      </c>
      <c r="F993" s="3" t="s">
        <v>53</v>
      </c>
      <c r="G993" s="3" t="s">
        <v>54</v>
      </c>
      <c r="H993" s="3" t="s">
        <v>32</v>
      </c>
      <c r="I993" s="3" t="s">
        <v>33</v>
      </c>
      <c r="J993" s="3" t="s">
        <v>1754</v>
      </c>
      <c r="K993" s="3" t="s">
        <v>1755</v>
      </c>
      <c r="L993" s="19"/>
    </row>
    <row r="994" spans="1:12">
      <c r="A994" s="3" t="s">
        <v>856</v>
      </c>
      <c r="B994" t="str">
        <f>IF(_xlfn.XLOOKUP(A994,PARAMETROS!A:A,PARAMETROS!B:B)=0,"",_xlfn.XLOOKUP(A994,PARAMETROS!A:A,PARAMETROS!B:B))</f>
        <v>000000000000</v>
      </c>
      <c r="C994" t="str">
        <f>IF(_xlfn.XLOOKUP(A994,PARAMETROS!A:A,PARAMETROS!C:C)=0,"",_xlfn.XLOOKUP(A994,PARAMETROS!A:A,PARAMETROS!C:C))</f>
        <v/>
      </c>
      <c r="D994" t="str">
        <f>IF(_xlfn.XLOOKUP(A994,PARAMETROS!A:A,PARAMETROS!D:D)=0,"",_xlfn.XLOOKUP(A994,PARAMETROS!A:A,PARAMETROS!D:D))</f>
        <v/>
      </c>
      <c r="E994" t="str">
        <f>IF(_xlfn.XLOOKUP('PREENCHIMENTO|LETIVAS'!A994,PARAMETROS!A:A,PARAMETROS!I:I)=0,"",_xlfn.XLOOKUP('PREENCHIMENTO|LETIVAS'!A994,PARAMETROS!A:A,PARAMETROS!I:I))</f>
        <v>RPA</v>
      </c>
      <c r="F994" s="3" t="s">
        <v>53</v>
      </c>
      <c r="G994" s="3" t="s">
        <v>54</v>
      </c>
      <c r="H994" s="3" t="s">
        <v>32</v>
      </c>
      <c r="I994" s="3" t="s">
        <v>40</v>
      </c>
      <c r="J994" s="3" t="s">
        <v>1756</v>
      </c>
      <c r="K994" s="3" t="s">
        <v>1757</v>
      </c>
      <c r="L994" s="19"/>
    </row>
    <row r="995" spans="1:12">
      <c r="A995" s="3" t="s">
        <v>856</v>
      </c>
      <c r="B995" t="str">
        <f>IF(_xlfn.XLOOKUP(A995,PARAMETROS!A:A,PARAMETROS!B:B)=0,"",_xlfn.XLOOKUP(A995,PARAMETROS!A:A,PARAMETROS!B:B))</f>
        <v>000000000000</v>
      </c>
      <c r="C995" t="str">
        <f>IF(_xlfn.XLOOKUP(A995,PARAMETROS!A:A,PARAMETROS!C:C)=0,"",_xlfn.XLOOKUP(A995,PARAMETROS!A:A,PARAMETROS!C:C))</f>
        <v/>
      </c>
      <c r="D995" t="str">
        <f>IF(_xlfn.XLOOKUP(A995,PARAMETROS!A:A,PARAMETROS!D:D)=0,"",_xlfn.XLOOKUP(A995,PARAMETROS!A:A,PARAMETROS!D:D))</f>
        <v/>
      </c>
      <c r="E995" t="str">
        <f>IF(_xlfn.XLOOKUP('PREENCHIMENTO|LETIVAS'!A995,PARAMETROS!A:A,PARAMETROS!I:I)=0,"",_xlfn.XLOOKUP('PREENCHIMENTO|LETIVAS'!A995,PARAMETROS!A:A,PARAMETROS!I:I))</f>
        <v>RPA</v>
      </c>
      <c r="F995" s="3" t="s">
        <v>53</v>
      </c>
      <c r="G995" s="3">
        <v>1</v>
      </c>
      <c r="H995" s="3" t="s">
        <v>32</v>
      </c>
      <c r="I995" s="3" t="s">
        <v>40</v>
      </c>
      <c r="J995" s="3" t="s">
        <v>1758</v>
      </c>
      <c r="K995" s="3" t="s">
        <v>1759</v>
      </c>
      <c r="L995" s="19"/>
    </row>
    <row r="996" spans="1:12">
      <c r="A996" s="3" t="s">
        <v>856</v>
      </c>
      <c r="B996" t="str">
        <f>IF(_xlfn.XLOOKUP(A996,PARAMETROS!A:A,PARAMETROS!B:B)=0,"",_xlfn.XLOOKUP(A996,PARAMETROS!A:A,PARAMETROS!B:B))</f>
        <v>000000000000</v>
      </c>
      <c r="C996" t="str">
        <f>IF(_xlfn.XLOOKUP(A996,PARAMETROS!A:A,PARAMETROS!C:C)=0,"",_xlfn.XLOOKUP(A996,PARAMETROS!A:A,PARAMETROS!C:C))</f>
        <v/>
      </c>
      <c r="D996" t="str">
        <f>IF(_xlfn.XLOOKUP(A996,PARAMETROS!A:A,PARAMETROS!D:D)=0,"",_xlfn.XLOOKUP(A996,PARAMETROS!A:A,PARAMETROS!D:D))</f>
        <v/>
      </c>
      <c r="E996" t="str">
        <f>IF(_xlfn.XLOOKUP('PREENCHIMENTO|LETIVAS'!A996,PARAMETROS!A:A,PARAMETROS!I:I)=0,"",_xlfn.XLOOKUP('PREENCHIMENTO|LETIVAS'!A996,PARAMETROS!A:A,PARAMETROS!I:I))</f>
        <v>RPA</v>
      </c>
      <c r="F996" s="3" t="s">
        <v>53</v>
      </c>
      <c r="G996" s="3">
        <v>2</v>
      </c>
      <c r="H996" s="3" t="s">
        <v>39</v>
      </c>
      <c r="I996" s="3" t="s">
        <v>40</v>
      </c>
      <c r="J996" s="3" t="s">
        <v>1760</v>
      </c>
      <c r="K996" s="3" t="s">
        <v>1761</v>
      </c>
      <c r="L996" s="19"/>
    </row>
    <row r="997" spans="1:12">
      <c r="A997" s="3" t="s">
        <v>856</v>
      </c>
      <c r="B997" t="str">
        <f>IF(_xlfn.XLOOKUP(A997,PARAMETROS!A:A,PARAMETROS!B:B)=0,"",_xlfn.XLOOKUP(A997,PARAMETROS!A:A,PARAMETROS!B:B))</f>
        <v>000000000000</v>
      </c>
      <c r="C997" t="str">
        <f>IF(_xlfn.XLOOKUP(A997,PARAMETROS!A:A,PARAMETROS!C:C)=0,"",_xlfn.XLOOKUP(A997,PARAMETROS!A:A,PARAMETROS!C:C))</f>
        <v/>
      </c>
      <c r="D997" t="str">
        <f>IF(_xlfn.XLOOKUP(A997,PARAMETROS!A:A,PARAMETROS!D:D)=0,"",_xlfn.XLOOKUP(A997,PARAMETROS!A:A,PARAMETROS!D:D))</f>
        <v/>
      </c>
      <c r="E997" t="str">
        <f>IF(_xlfn.XLOOKUP('PREENCHIMENTO|LETIVAS'!A997,PARAMETROS!A:A,PARAMETROS!I:I)=0,"",_xlfn.XLOOKUP('PREENCHIMENTO|LETIVAS'!A997,PARAMETROS!A:A,PARAMETROS!I:I))</f>
        <v>RPA</v>
      </c>
      <c r="F997" s="3" t="s">
        <v>53</v>
      </c>
      <c r="G997" s="3">
        <v>1</v>
      </c>
      <c r="H997" s="3" t="s">
        <v>63</v>
      </c>
      <c r="I997" s="3" t="s">
        <v>40</v>
      </c>
      <c r="J997" s="3" t="s">
        <v>1762</v>
      </c>
      <c r="K997" s="3" t="s">
        <v>1763</v>
      </c>
      <c r="L997" s="19"/>
    </row>
    <row r="998" spans="1:12">
      <c r="A998" s="3" t="s">
        <v>856</v>
      </c>
      <c r="B998" t="str">
        <f>IF(_xlfn.XLOOKUP(A998,PARAMETROS!A:A,PARAMETROS!B:B)=0,"",_xlfn.XLOOKUP(A998,PARAMETROS!A:A,PARAMETROS!B:B))</f>
        <v>000000000000</v>
      </c>
      <c r="C998" t="str">
        <f>IF(_xlfn.XLOOKUP(A998,PARAMETROS!A:A,PARAMETROS!C:C)=0,"",_xlfn.XLOOKUP(A998,PARAMETROS!A:A,PARAMETROS!C:C))</f>
        <v/>
      </c>
      <c r="D998" t="str">
        <f>IF(_xlfn.XLOOKUP(A998,PARAMETROS!A:A,PARAMETROS!D:D)=0,"",_xlfn.XLOOKUP(A998,PARAMETROS!A:A,PARAMETROS!D:D))</f>
        <v/>
      </c>
      <c r="E998" t="str">
        <f>IF(_xlfn.XLOOKUP('PREENCHIMENTO|LETIVAS'!A998,PARAMETROS!A:A,PARAMETROS!I:I)=0,"",_xlfn.XLOOKUP('PREENCHIMENTO|LETIVAS'!A998,PARAMETROS!A:A,PARAMETROS!I:I))</f>
        <v>RPA</v>
      </c>
      <c r="F998" s="3" t="s">
        <v>53</v>
      </c>
      <c r="G998" s="3">
        <v>2</v>
      </c>
      <c r="H998" s="3" t="s">
        <v>39</v>
      </c>
      <c r="I998" s="3" t="s">
        <v>40</v>
      </c>
      <c r="J998" s="3" t="s">
        <v>1764</v>
      </c>
      <c r="K998" s="3" t="s">
        <v>1763</v>
      </c>
      <c r="L998" s="19"/>
    </row>
    <row r="999" spans="1:12">
      <c r="A999" s="3" t="s">
        <v>856</v>
      </c>
      <c r="B999" t="str">
        <f>IF(_xlfn.XLOOKUP(A999,PARAMETROS!A:A,PARAMETROS!B:B)=0,"",_xlfn.XLOOKUP(A999,PARAMETROS!A:A,PARAMETROS!B:B))</f>
        <v>000000000000</v>
      </c>
      <c r="C999" t="str">
        <f>IF(_xlfn.XLOOKUP(A999,PARAMETROS!A:A,PARAMETROS!C:C)=0,"",_xlfn.XLOOKUP(A999,PARAMETROS!A:A,PARAMETROS!C:C))</f>
        <v/>
      </c>
      <c r="D999" t="str">
        <f>IF(_xlfn.XLOOKUP(A999,PARAMETROS!A:A,PARAMETROS!D:D)=0,"",_xlfn.XLOOKUP(A999,PARAMETROS!A:A,PARAMETROS!D:D))</f>
        <v/>
      </c>
      <c r="E999" t="str">
        <f>IF(_xlfn.XLOOKUP('PREENCHIMENTO|LETIVAS'!A999,PARAMETROS!A:A,PARAMETROS!I:I)=0,"",_xlfn.XLOOKUP('PREENCHIMENTO|LETIVAS'!A999,PARAMETROS!A:A,PARAMETROS!I:I))</f>
        <v>RPA</v>
      </c>
      <c r="F999" s="3" t="s">
        <v>53</v>
      </c>
      <c r="G999" s="3">
        <v>2</v>
      </c>
      <c r="H999" s="3" t="s">
        <v>63</v>
      </c>
      <c r="I999" s="3" t="s">
        <v>40</v>
      </c>
      <c r="J999" s="3" t="s">
        <v>1765</v>
      </c>
      <c r="K999" s="3" t="s">
        <v>1763</v>
      </c>
      <c r="L999" s="19"/>
    </row>
    <row r="1000" spans="1:12">
      <c r="A1000" s="3" t="s">
        <v>856</v>
      </c>
      <c r="B1000" t="str">
        <f>IF(_xlfn.XLOOKUP(A1000,PARAMETROS!A:A,PARAMETROS!B:B)=0,"",_xlfn.XLOOKUP(A1000,PARAMETROS!A:A,PARAMETROS!B:B))</f>
        <v>000000000000</v>
      </c>
      <c r="C1000" t="str">
        <f>IF(_xlfn.XLOOKUP(A1000,PARAMETROS!A:A,PARAMETROS!C:C)=0,"",_xlfn.XLOOKUP(A1000,PARAMETROS!A:A,PARAMETROS!C:C))</f>
        <v/>
      </c>
      <c r="D1000" t="str">
        <f>IF(_xlfn.XLOOKUP(A1000,PARAMETROS!A:A,PARAMETROS!D:D)=0,"",_xlfn.XLOOKUP(A1000,PARAMETROS!A:A,PARAMETROS!D:D))</f>
        <v/>
      </c>
      <c r="E1000" t="str">
        <f>IF(_xlfn.XLOOKUP('PREENCHIMENTO|LETIVAS'!A1000,PARAMETROS!A:A,PARAMETROS!I:I)=0,"",_xlfn.XLOOKUP('PREENCHIMENTO|LETIVAS'!A1000,PARAMETROS!A:A,PARAMETROS!I:I))</f>
        <v>RPA</v>
      </c>
      <c r="F1000" s="3" t="s">
        <v>53</v>
      </c>
      <c r="G1000" s="3" t="s">
        <v>54</v>
      </c>
      <c r="H1000" s="3" t="s">
        <v>32</v>
      </c>
      <c r="I1000" s="3" t="s">
        <v>33</v>
      </c>
      <c r="J1000" s="3" t="s">
        <v>1091</v>
      </c>
      <c r="K1000" s="3" t="s">
        <v>1766</v>
      </c>
      <c r="L1000" s="19"/>
    </row>
    <row r="1001" spans="1:12">
      <c r="A1001" s="3" t="s">
        <v>856</v>
      </c>
      <c r="B1001" t="str">
        <f>IF(_xlfn.XLOOKUP(A1001,PARAMETROS!A:A,PARAMETROS!B:B)=0,"",_xlfn.XLOOKUP(A1001,PARAMETROS!A:A,PARAMETROS!B:B))</f>
        <v>000000000000</v>
      </c>
      <c r="C1001" t="str">
        <f>IF(_xlfn.XLOOKUP(A1001,PARAMETROS!A:A,PARAMETROS!C:C)=0,"",_xlfn.XLOOKUP(A1001,PARAMETROS!A:A,PARAMETROS!C:C))</f>
        <v/>
      </c>
      <c r="D1001" t="str">
        <f>IF(_xlfn.XLOOKUP(A1001,PARAMETROS!A:A,PARAMETROS!D:D)=0,"",_xlfn.XLOOKUP(A1001,PARAMETROS!A:A,PARAMETROS!D:D))</f>
        <v/>
      </c>
      <c r="E1001" t="str">
        <f>IF(_xlfn.XLOOKUP('PREENCHIMENTO|LETIVAS'!A1001,PARAMETROS!A:A,PARAMETROS!I:I)=0,"",_xlfn.XLOOKUP('PREENCHIMENTO|LETIVAS'!A1001,PARAMETROS!A:A,PARAMETROS!I:I))</f>
        <v>RPA</v>
      </c>
      <c r="F1001" s="3" t="s">
        <v>53</v>
      </c>
      <c r="G1001" s="3">
        <v>2</v>
      </c>
      <c r="H1001" s="3" t="s">
        <v>39</v>
      </c>
      <c r="I1001" s="3" t="s">
        <v>33</v>
      </c>
      <c r="J1001" s="3" t="s">
        <v>1178</v>
      </c>
      <c r="K1001" s="3" t="s">
        <v>1767</v>
      </c>
      <c r="L1001" s="19"/>
    </row>
    <row r="1002" spans="1:12">
      <c r="A1002" s="3" t="s">
        <v>856</v>
      </c>
      <c r="B1002" t="str">
        <f>IF(_xlfn.XLOOKUP(A1002,PARAMETROS!A:A,PARAMETROS!B:B)=0,"",_xlfn.XLOOKUP(A1002,PARAMETROS!A:A,PARAMETROS!B:B))</f>
        <v>000000000000</v>
      </c>
      <c r="C1002" t="str">
        <f>IF(_xlfn.XLOOKUP(A1002,PARAMETROS!A:A,PARAMETROS!C:C)=0,"",_xlfn.XLOOKUP(A1002,PARAMETROS!A:A,PARAMETROS!C:C))</f>
        <v/>
      </c>
      <c r="D1002" t="str">
        <f>IF(_xlfn.XLOOKUP(A1002,PARAMETROS!A:A,PARAMETROS!D:D)=0,"",_xlfn.XLOOKUP(A1002,PARAMETROS!A:A,PARAMETROS!D:D))</f>
        <v/>
      </c>
      <c r="E1002" t="str">
        <f>IF(_xlfn.XLOOKUP('PREENCHIMENTO|LETIVAS'!A1002,PARAMETROS!A:A,PARAMETROS!I:I)=0,"",_xlfn.XLOOKUP('PREENCHIMENTO|LETIVAS'!A1002,PARAMETROS!A:A,PARAMETROS!I:I))</f>
        <v>RPA</v>
      </c>
      <c r="F1002" s="3" t="s">
        <v>53</v>
      </c>
      <c r="G1002" s="3">
        <v>1</v>
      </c>
      <c r="H1002" s="3" t="s">
        <v>39</v>
      </c>
      <c r="I1002" s="3" t="s">
        <v>33</v>
      </c>
      <c r="J1002" s="3" t="s">
        <v>1180</v>
      </c>
      <c r="K1002" s="3" t="s">
        <v>1768</v>
      </c>
      <c r="L1002" s="19"/>
    </row>
    <row r="1003" spans="1:12">
      <c r="A1003" s="3" t="s">
        <v>856</v>
      </c>
      <c r="B1003" t="str">
        <f>IF(_xlfn.XLOOKUP(A1003,PARAMETROS!A:A,PARAMETROS!B:B)=0,"",_xlfn.XLOOKUP(A1003,PARAMETROS!A:A,PARAMETROS!B:B))</f>
        <v>000000000000</v>
      </c>
      <c r="C1003" t="str">
        <f>IF(_xlfn.XLOOKUP(A1003,PARAMETROS!A:A,PARAMETROS!C:C)=0,"",_xlfn.XLOOKUP(A1003,PARAMETROS!A:A,PARAMETROS!C:C))</f>
        <v/>
      </c>
      <c r="D1003" t="str">
        <f>IF(_xlfn.XLOOKUP(A1003,PARAMETROS!A:A,PARAMETROS!D:D)=0,"",_xlfn.XLOOKUP(A1003,PARAMETROS!A:A,PARAMETROS!D:D))</f>
        <v/>
      </c>
      <c r="E1003" t="str">
        <f>IF(_xlfn.XLOOKUP('PREENCHIMENTO|LETIVAS'!A1003,PARAMETROS!A:A,PARAMETROS!I:I)=0,"",_xlfn.XLOOKUP('PREENCHIMENTO|LETIVAS'!A1003,PARAMETROS!A:A,PARAMETROS!I:I))</f>
        <v>RPA</v>
      </c>
      <c r="F1003" s="3" t="s">
        <v>53</v>
      </c>
      <c r="G1003" s="3">
        <v>2</v>
      </c>
      <c r="H1003" s="3" t="s">
        <v>63</v>
      </c>
      <c r="I1003" s="3" t="s">
        <v>40</v>
      </c>
      <c r="J1003" s="3" t="s">
        <v>1769</v>
      </c>
      <c r="K1003" s="3" t="s">
        <v>1770</v>
      </c>
      <c r="L1003" s="19"/>
    </row>
    <row r="1004" spans="1:12">
      <c r="A1004" s="3" t="s">
        <v>856</v>
      </c>
      <c r="B1004" t="str">
        <f>IF(_xlfn.XLOOKUP(A1004,PARAMETROS!A:A,PARAMETROS!B:B)=0,"",_xlfn.XLOOKUP(A1004,PARAMETROS!A:A,PARAMETROS!B:B))</f>
        <v>000000000000</v>
      </c>
      <c r="C1004" t="str">
        <f>IF(_xlfn.XLOOKUP(A1004,PARAMETROS!A:A,PARAMETROS!C:C)=0,"",_xlfn.XLOOKUP(A1004,PARAMETROS!A:A,PARAMETROS!C:C))</f>
        <v/>
      </c>
      <c r="D1004" t="str">
        <f>IF(_xlfn.XLOOKUP(A1004,PARAMETROS!A:A,PARAMETROS!D:D)=0,"",_xlfn.XLOOKUP(A1004,PARAMETROS!A:A,PARAMETROS!D:D))</f>
        <v/>
      </c>
      <c r="E1004" t="str">
        <f>IF(_xlfn.XLOOKUP('PREENCHIMENTO|LETIVAS'!A1004,PARAMETROS!A:A,PARAMETROS!I:I)=0,"",_xlfn.XLOOKUP('PREENCHIMENTO|LETIVAS'!A1004,PARAMETROS!A:A,PARAMETROS!I:I))</f>
        <v>RPA</v>
      </c>
      <c r="F1004" s="3" t="s">
        <v>53</v>
      </c>
      <c r="G1004" s="3" t="s">
        <v>54</v>
      </c>
      <c r="H1004" s="3" t="s">
        <v>55</v>
      </c>
      <c r="I1004" s="3" t="s">
        <v>40</v>
      </c>
      <c r="J1004" s="3" t="s">
        <v>1136</v>
      </c>
      <c r="K1004" s="3" t="s">
        <v>1724</v>
      </c>
      <c r="L1004" s="19" t="s">
        <v>1771</v>
      </c>
    </row>
    <row r="1005" spans="1:12">
      <c r="A1005" s="3" t="s">
        <v>856</v>
      </c>
      <c r="B1005" t="str">
        <f>IF(_xlfn.XLOOKUP(A1005,PARAMETROS!A:A,PARAMETROS!B:B)=0,"",_xlfn.XLOOKUP(A1005,PARAMETROS!A:A,PARAMETROS!B:B))</f>
        <v>000000000000</v>
      </c>
      <c r="C1005" t="str">
        <f>IF(_xlfn.XLOOKUP(A1005,PARAMETROS!A:A,PARAMETROS!C:C)=0,"",_xlfn.XLOOKUP(A1005,PARAMETROS!A:A,PARAMETROS!C:C))</f>
        <v/>
      </c>
      <c r="D1005" t="str">
        <f>IF(_xlfn.XLOOKUP(A1005,PARAMETROS!A:A,PARAMETROS!D:D)=0,"",_xlfn.XLOOKUP(A1005,PARAMETROS!A:A,PARAMETROS!D:D))</f>
        <v/>
      </c>
      <c r="E1005" t="str">
        <f>IF(_xlfn.XLOOKUP('PREENCHIMENTO|LETIVAS'!A1005,PARAMETROS!A:A,PARAMETROS!I:I)=0,"",_xlfn.XLOOKUP('PREENCHIMENTO|LETIVAS'!A1005,PARAMETROS!A:A,PARAMETROS!I:I))</f>
        <v>RPA</v>
      </c>
      <c r="F1005" s="3" t="s">
        <v>53</v>
      </c>
      <c r="G1005" s="3" t="s">
        <v>54</v>
      </c>
      <c r="H1005" s="3" t="s">
        <v>55</v>
      </c>
      <c r="I1005" s="3" t="s">
        <v>33</v>
      </c>
      <c r="J1005" s="3" t="s">
        <v>1772</v>
      </c>
      <c r="K1005" s="3" t="s">
        <v>1773</v>
      </c>
      <c r="L1005" s="19"/>
    </row>
    <row r="1006" spans="1:12">
      <c r="A1006" s="3" t="s">
        <v>856</v>
      </c>
      <c r="B1006" t="str">
        <f>IF(_xlfn.XLOOKUP(A1006,PARAMETROS!A:A,PARAMETROS!B:B)=0,"",_xlfn.XLOOKUP(A1006,PARAMETROS!A:A,PARAMETROS!B:B))</f>
        <v>000000000000</v>
      </c>
      <c r="C1006" t="str">
        <f>IF(_xlfn.XLOOKUP(A1006,PARAMETROS!A:A,PARAMETROS!C:C)=0,"",_xlfn.XLOOKUP(A1006,PARAMETROS!A:A,PARAMETROS!C:C))</f>
        <v/>
      </c>
      <c r="D1006" t="str">
        <f>IF(_xlfn.XLOOKUP(A1006,PARAMETROS!A:A,PARAMETROS!D:D)=0,"",_xlfn.XLOOKUP(A1006,PARAMETROS!A:A,PARAMETROS!D:D))</f>
        <v/>
      </c>
      <c r="E1006" t="str">
        <f>IF(_xlfn.XLOOKUP('PREENCHIMENTO|LETIVAS'!A1006,PARAMETROS!A:A,PARAMETROS!I:I)=0,"",_xlfn.XLOOKUP('PREENCHIMENTO|LETIVAS'!A1006,PARAMETROS!A:A,PARAMETROS!I:I))</f>
        <v>RPA</v>
      </c>
      <c r="F1006" s="3" t="s">
        <v>53</v>
      </c>
      <c r="G1006" s="3">
        <v>2</v>
      </c>
      <c r="H1006" s="3" t="s">
        <v>55</v>
      </c>
      <c r="I1006" s="3" t="s">
        <v>33</v>
      </c>
      <c r="J1006" s="3" t="s">
        <v>1774</v>
      </c>
      <c r="K1006" s="3" t="s">
        <v>1775</v>
      </c>
      <c r="L1006" s="19"/>
    </row>
    <row r="1007" spans="1:12">
      <c r="A1007" s="3" t="s">
        <v>856</v>
      </c>
      <c r="B1007" t="str">
        <f>IF(_xlfn.XLOOKUP(A1007,PARAMETROS!A:A,PARAMETROS!B:B)=0,"",_xlfn.XLOOKUP(A1007,PARAMETROS!A:A,PARAMETROS!B:B))</f>
        <v>000000000000</v>
      </c>
      <c r="C1007" t="str">
        <f>IF(_xlfn.XLOOKUP(A1007,PARAMETROS!A:A,PARAMETROS!C:C)=0,"",_xlfn.XLOOKUP(A1007,PARAMETROS!A:A,PARAMETROS!C:C))</f>
        <v/>
      </c>
      <c r="D1007" t="str">
        <f>IF(_xlfn.XLOOKUP(A1007,PARAMETROS!A:A,PARAMETROS!D:D)=0,"",_xlfn.XLOOKUP(A1007,PARAMETROS!A:A,PARAMETROS!D:D))</f>
        <v/>
      </c>
      <c r="E1007" t="str">
        <f>IF(_xlfn.XLOOKUP('PREENCHIMENTO|LETIVAS'!A1007,PARAMETROS!A:A,PARAMETROS!I:I)=0,"",_xlfn.XLOOKUP('PREENCHIMENTO|LETIVAS'!A1007,PARAMETROS!A:A,PARAMETROS!I:I))</f>
        <v>RPA</v>
      </c>
      <c r="F1007" s="3" t="s">
        <v>53</v>
      </c>
      <c r="G1007" s="3">
        <v>1</v>
      </c>
      <c r="H1007" s="3" t="s">
        <v>55</v>
      </c>
      <c r="I1007" s="3" t="s">
        <v>40</v>
      </c>
      <c r="J1007" s="3" t="s">
        <v>1776</v>
      </c>
      <c r="K1007" s="3" t="s">
        <v>1775</v>
      </c>
      <c r="L1007" s="19"/>
    </row>
    <row r="1008" spans="1:12">
      <c r="A1008" s="3" t="s">
        <v>856</v>
      </c>
      <c r="B1008" t="str">
        <f>IF(_xlfn.XLOOKUP(A1008,PARAMETROS!A:A,PARAMETROS!B:B)=0,"",_xlfn.XLOOKUP(A1008,PARAMETROS!A:A,PARAMETROS!B:B))</f>
        <v>000000000000</v>
      </c>
      <c r="C1008" t="str">
        <f>IF(_xlfn.XLOOKUP(A1008,PARAMETROS!A:A,PARAMETROS!C:C)=0,"",_xlfn.XLOOKUP(A1008,PARAMETROS!A:A,PARAMETROS!C:C))</f>
        <v/>
      </c>
      <c r="D1008" t="str">
        <f>IF(_xlfn.XLOOKUP(A1008,PARAMETROS!A:A,PARAMETROS!D:D)=0,"",_xlfn.XLOOKUP(A1008,PARAMETROS!A:A,PARAMETROS!D:D))</f>
        <v/>
      </c>
      <c r="E1008" t="str">
        <f>IF(_xlfn.XLOOKUP('PREENCHIMENTO|LETIVAS'!A1008,PARAMETROS!A:A,PARAMETROS!I:I)=0,"",_xlfn.XLOOKUP('PREENCHIMENTO|LETIVAS'!A1008,PARAMETROS!A:A,PARAMETROS!I:I))</f>
        <v>RPA</v>
      </c>
      <c r="F1008" s="3" t="s">
        <v>53</v>
      </c>
      <c r="G1008" s="3">
        <v>1</v>
      </c>
      <c r="H1008" s="3" t="s">
        <v>39</v>
      </c>
      <c r="I1008" s="3" t="s">
        <v>40</v>
      </c>
      <c r="J1008" s="3" t="s">
        <v>1777</v>
      </c>
      <c r="K1008" s="3" t="s">
        <v>1778</v>
      </c>
      <c r="L1008" s="19"/>
    </row>
    <row r="1009" spans="1:12">
      <c r="A1009" s="3" t="s">
        <v>334</v>
      </c>
      <c r="B1009" t="str">
        <f>IF(_xlfn.XLOOKUP(A1009,PARAMETROS!A:A,PARAMETROS!B:B)=0,"",_xlfn.XLOOKUP(A1009,PARAMETROS!A:A,PARAMETROS!B:B))</f>
        <v>012009003968</v>
      </c>
      <c r="C1009">
        <f>IF(_xlfn.XLOOKUP(A1009,PARAMETROS!A:A,PARAMETROS!C:C)=0,"",_xlfn.XLOOKUP(A1009,PARAMETROS!A:A,PARAMETROS!C:C))</f>
        <v>40</v>
      </c>
      <c r="D1009">
        <f>IF(_xlfn.XLOOKUP(A1009,PARAMETROS!A:A,PARAMETROS!D:D)=0,"",_xlfn.XLOOKUP(A1009,PARAMETROS!A:A,PARAMETROS!D:D))</f>
        <v>4</v>
      </c>
      <c r="E1009" t="str">
        <f>IF(_xlfn.XLOOKUP('PREENCHIMENTO|LETIVAS'!A1009,PARAMETROS!A:A,PARAMETROS!I:I)=0,"",_xlfn.XLOOKUP('PREENCHIMENTO|LETIVAS'!A1009,PARAMETROS!A:A,PARAMETROS!I:I))</f>
        <v>PROFESSOR DE ENSINO SUPERIOR EAD</v>
      </c>
      <c r="F1009" s="3" t="s">
        <v>53</v>
      </c>
      <c r="G1009" s="3">
        <v>2</v>
      </c>
      <c r="H1009" s="3" t="s">
        <v>32</v>
      </c>
      <c r="I1009" s="3" t="s">
        <v>33</v>
      </c>
      <c r="J1009" s="3" t="s">
        <v>1563</v>
      </c>
      <c r="K1009" s="3"/>
      <c r="L1009" s="19"/>
    </row>
    <row r="1010" spans="1:12">
      <c r="A1010" s="3" t="s">
        <v>481</v>
      </c>
      <c r="B1010" t="str">
        <f>IF(_xlfn.XLOOKUP(A1010,PARAMETROS!A:A,PARAMETROS!B:B)=0,"",_xlfn.XLOOKUP(A1010,PARAMETROS!A:A,PARAMETROS!B:B))</f>
        <v>012009003816</v>
      </c>
      <c r="C1010">
        <f>IF(_xlfn.XLOOKUP(A1010,PARAMETROS!A:A,PARAMETROS!C:C)=0,"",_xlfn.XLOOKUP(A1010,PARAMETROS!A:A,PARAMETROS!C:C))</f>
        <v>40</v>
      </c>
      <c r="D1010">
        <f>IF(_xlfn.XLOOKUP(A1010,PARAMETROS!A:A,PARAMETROS!D:D)=0,"",_xlfn.XLOOKUP(A1010,PARAMETROS!A:A,PARAMETROS!D:D))</f>
        <v>4</v>
      </c>
      <c r="E1010" t="str">
        <f>IF(_xlfn.XLOOKUP('PREENCHIMENTO|LETIVAS'!A1010,PARAMETROS!A:A,PARAMETROS!I:I)=0,"",_xlfn.XLOOKUP('PREENCHIMENTO|LETIVAS'!A1010,PARAMETROS!A:A,PARAMETROS!I:I))</f>
        <v>PROFESSOR DE ENSINO SUPERIOR EAD</v>
      </c>
      <c r="F1010" s="3" t="s">
        <v>53</v>
      </c>
      <c r="G1010" s="3">
        <v>1</v>
      </c>
      <c r="H1010" s="3" t="s">
        <v>55</v>
      </c>
      <c r="I1010" s="3" t="s">
        <v>40</v>
      </c>
      <c r="J1010" s="3" t="s">
        <v>1779</v>
      </c>
      <c r="K1010" s="3"/>
      <c r="L1010" s="19"/>
    </row>
    <row r="1011" spans="1:12">
      <c r="A1011" s="3" t="s">
        <v>679</v>
      </c>
      <c r="B1011" t="str">
        <f>IF(_xlfn.XLOOKUP(A1011,PARAMETROS!A:A,PARAMETROS!B:B)=0,"",_xlfn.XLOOKUP(A1011,PARAMETROS!A:A,PARAMETROS!B:B))</f>
        <v>012009005440</v>
      </c>
      <c r="C1011" t="str">
        <f>IF(_xlfn.XLOOKUP(A1011,PARAMETROS!A:A,PARAMETROS!C:C)=0,"",_xlfn.XLOOKUP(A1011,PARAMETROS!A:A,PARAMETROS!C:C))</f>
        <v/>
      </c>
      <c r="D1011" t="str">
        <f>IF(_xlfn.XLOOKUP(A1011,PARAMETROS!A:A,PARAMETROS!D:D)=0,"",_xlfn.XLOOKUP(A1011,PARAMETROS!A:A,PARAMETROS!D:D))</f>
        <v/>
      </c>
      <c r="E1011" t="str">
        <f>IF(_xlfn.XLOOKUP('PREENCHIMENTO|LETIVAS'!A1011,PARAMETROS!A:A,PARAMETROS!I:I)=0,"",_xlfn.XLOOKUP('PREENCHIMENTO|LETIVAS'!A1011,PARAMETROS!A:A,PARAMETROS!I:I))</f>
        <v>PROFESSOR DE ENSINO SUPERIOR PRESENCIAL</v>
      </c>
      <c r="F1011" s="3" t="s">
        <v>53</v>
      </c>
      <c r="G1011" s="3">
        <v>2</v>
      </c>
      <c r="H1011" s="3" t="s">
        <v>55</v>
      </c>
      <c r="I1011" s="3" t="s">
        <v>40</v>
      </c>
      <c r="J1011" s="3" t="s">
        <v>1780</v>
      </c>
      <c r="K1011" s="3"/>
      <c r="L1011" s="19"/>
    </row>
    <row r="1012" spans="1:12">
      <c r="A1012" s="3" t="s">
        <v>778</v>
      </c>
      <c r="B1012" t="str">
        <f>IF(_xlfn.XLOOKUP(A1012,PARAMETROS!A:A,PARAMETROS!B:B)=0,"",_xlfn.XLOOKUP(A1012,PARAMETROS!A:A,PARAMETROS!B:B))</f>
        <v>012009006162</v>
      </c>
      <c r="C1012">
        <f>IF(_xlfn.XLOOKUP(A1012,PARAMETROS!A:A,PARAMETROS!C:C)=0,"",_xlfn.XLOOKUP(A1012,PARAMETROS!A:A,PARAMETROS!C:C))</f>
        <v>40</v>
      </c>
      <c r="D1012" t="str">
        <f>IF(_xlfn.XLOOKUP(A1012,PARAMETROS!A:A,PARAMETROS!D:D)=0,"",_xlfn.XLOOKUP(A1012,PARAMETROS!A:A,PARAMETROS!D:D))</f>
        <v/>
      </c>
      <c r="E1012" t="str">
        <f>IF(_xlfn.XLOOKUP('PREENCHIMENTO|LETIVAS'!A1012,PARAMETROS!A:A,PARAMETROS!I:I)=0,"",_xlfn.XLOOKUP('PREENCHIMENTO|LETIVAS'!A1012,PARAMETROS!A:A,PARAMETROS!I:I))</f>
        <v>TUTOR FACILITADOR ONLINE</v>
      </c>
      <c r="F1012" s="3" t="s">
        <v>53</v>
      </c>
      <c r="G1012" s="3" t="s">
        <v>54</v>
      </c>
      <c r="H1012" s="3" t="s">
        <v>32</v>
      </c>
      <c r="I1012" s="3" t="s">
        <v>40</v>
      </c>
      <c r="J1012" s="3" t="s">
        <v>1781</v>
      </c>
      <c r="K1012" s="3"/>
      <c r="L1012" s="19"/>
    </row>
    <row r="1013" spans="1:12">
      <c r="A1013" s="3" t="s">
        <v>815</v>
      </c>
      <c r="B1013" t="str">
        <f>IF(_xlfn.XLOOKUP(A1013,PARAMETROS!A:A,PARAMETROS!B:B)=0,"",_xlfn.XLOOKUP(A1013,PARAMETROS!A:A,PARAMETROS!B:B))</f>
        <v>012009004266</v>
      </c>
      <c r="C1013">
        <f>IF(_xlfn.XLOOKUP(A1013,PARAMETROS!A:A,PARAMETROS!C:C)=0,"",_xlfn.XLOOKUP(A1013,PARAMETROS!A:A,PARAMETROS!C:C))</f>
        <v>40</v>
      </c>
      <c r="D1013" t="str">
        <f>IF(_xlfn.XLOOKUP(A1013,PARAMETROS!A:A,PARAMETROS!D:D)=0,"",_xlfn.XLOOKUP(A1013,PARAMETROS!A:A,PARAMETROS!D:D))</f>
        <v/>
      </c>
      <c r="E1013" t="str">
        <f>IF(_xlfn.XLOOKUP('PREENCHIMENTO|LETIVAS'!A1013,PARAMETROS!A:A,PARAMETROS!I:I)=0,"",_xlfn.XLOOKUP('PREENCHIMENTO|LETIVAS'!A1013,PARAMETROS!A:A,PARAMETROS!I:I))</f>
        <v>TUTOR FACILITADOR ONLINE</v>
      </c>
      <c r="F1013" s="3" t="s">
        <v>53</v>
      </c>
      <c r="G1013" s="3" t="s">
        <v>54</v>
      </c>
      <c r="H1013" s="3" t="s">
        <v>32</v>
      </c>
      <c r="I1013" s="3" t="s">
        <v>40</v>
      </c>
      <c r="J1013" s="3" t="s">
        <v>1782</v>
      </c>
      <c r="K1013" s="3"/>
      <c r="L1013" s="19"/>
    </row>
    <row r="1014" spans="1:12">
      <c r="A1014" s="3" t="s">
        <v>815</v>
      </c>
      <c r="B1014" t="str">
        <f>IF(_xlfn.XLOOKUP(A1014,PARAMETROS!A:A,PARAMETROS!B:B)=0,"",_xlfn.XLOOKUP(A1014,PARAMETROS!A:A,PARAMETROS!B:B))</f>
        <v>012009004266</v>
      </c>
      <c r="C1014">
        <f>IF(_xlfn.XLOOKUP(A1014,PARAMETROS!A:A,PARAMETROS!C:C)=0,"",_xlfn.XLOOKUP(A1014,PARAMETROS!A:A,PARAMETROS!C:C))</f>
        <v>40</v>
      </c>
      <c r="D1014" t="str">
        <f>IF(_xlfn.XLOOKUP(A1014,PARAMETROS!A:A,PARAMETROS!D:D)=0,"",_xlfn.XLOOKUP(A1014,PARAMETROS!A:A,PARAMETROS!D:D))</f>
        <v/>
      </c>
      <c r="E1014" t="str">
        <f>IF(_xlfn.XLOOKUP('PREENCHIMENTO|LETIVAS'!A1014,PARAMETROS!A:A,PARAMETROS!I:I)=0,"",_xlfn.XLOOKUP('PREENCHIMENTO|LETIVAS'!A1014,PARAMETROS!A:A,PARAMETROS!I:I))</f>
        <v>TUTOR FACILITADOR ONLINE</v>
      </c>
      <c r="F1014" s="3" t="s">
        <v>53</v>
      </c>
      <c r="G1014" s="3" t="s">
        <v>54</v>
      </c>
      <c r="H1014" s="3" t="s">
        <v>55</v>
      </c>
      <c r="I1014" s="3" t="s">
        <v>33</v>
      </c>
      <c r="J1014" s="3" t="s">
        <v>1783</v>
      </c>
      <c r="K1014" s="3"/>
      <c r="L1014" s="19"/>
    </row>
    <row r="1015" spans="1:12">
      <c r="A1015" s="3" t="s">
        <v>632</v>
      </c>
      <c r="B1015" t="str">
        <f>IF(_xlfn.XLOOKUP(A1015,PARAMETROS!A:A,PARAMETROS!B:B)=0,"",_xlfn.XLOOKUP(A1015,PARAMETROS!A:A,PARAMETROS!B:B))</f>
        <v>012009006265</v>
      </c>
      <c r="C1015">
        <f>IF(_xlfn.XLOOKUP(A1015,PARAMETROS!A:A,PARAMETROS!C:C)=0,"",_xlfn.XLOOKUP(A1015,PARAMETROS!A:A,PARAMETROS!C:C))</f>
        <v>12</v>
      </c>
      <c r="D1015">
        <f>IF(_xlfn.XLOOKUP(A1015,PARAMETROS!A:A,PARAMETROS!D:D)=0,"",_xlfn.XLOOKUP(A1015,PARAMETROS!A:A,PARAMETROS!D:D))</f>
        <v>9</v>
      </c>
      <c r="E1015" t="str">
        <f>IF(_xlfn.XLOOKUP('PREENCHIMENTO|LETIVAS'!A1015,PARAMETROS!A:A,PARAMETROS!I:I)=0,"",_xlfn.XLOOKUP('PREENCHIMENTO|LETIVAS'!A1015,PARAMETROS!A:A,PARAMETROS!I:I))</f>
        <v>PROFESSOR REGENTE</v>
      </c>
      <c r="F1015" s="3" t="s">
        <v>53</v>
      </c>
      <c r="G1015" s="3" t="s">
        <v>54</v>
      </c>
      <c r="H1015" s="3" t="s">
        <v>32</v>
      </c>
      <c r="I1015" s="3" t="s">
        <v>40</v>
      </c>
      <c r="J1015" s="3" t="s">
        <v>1784</v>
      </c>
      <c r="K1015" s="3"/>
      <c r="L1015" s="19"/>
    </row>
    <row r="1016" spans="1:12">
      <c r="A1016" s="3" t="s">
        <v>438</v>
      </c>
      <c r="B1016" t="str">
        <f>IF(_xlfn.XLOOKUP(A1016,PARAMETROS!A:A,PARAMETROS!B:B)=0,"",_xlfn.XLOOKUP(A1016,PARAMETROS!A:A,PARAMETROS!B:B))</f>
        <v>012009005913</v>
      </c>
      <c r="C1016">
        <f>IF(_xlfn.XLOOKUP(A1016,PARAMETROS!A:A,PARAMETROS!C:C)=0,"",_xlfn.XLOOKUP(A1016,PARAMETROS!A:A,PARAMETROS!C:C))</f>
        <v>20</v>
      </c>
      <c r="D1016">
        <f>IF(_xlfn.XLOOKUP(A1016,PARAMETROS!A:A,PARAMETROS!D:D)=0,"",_xlfn.XLOOKUP(A1016,PARAMETROS!A:A,PARAMETROS!D:D))</f>
        <v>2</v>
      </c>
      <c r="E1016" t="str">
        <f>IF(_xlfn.XLOOKUP('PREENCHIMENTO|LETIVAS'!A1016,PARAMETROS!A:A,PARAMETROS!I:I)=0,"",_xlfn.XLOOKUP('PREENCHIMENTO|LETIVAS'!A1016,PARAMETROS!A:A,PARAMETROS!I:I))</f>
        <v>PROFESSOR DE ENSINO SUPERIOR EAD</v>
      </c>
      <c r="F1016" s="3" t="s">
        <v>53</v>
      </c>
      <c r="G1016" s="3" t="s">
        <v>54</v>
      </c>
      <c r="H1016" s="3" t="s">
        <v>32</v>
      </c>
      <c r="I1016" s="3" t="s">
        <v>33</v>
      </c>
      <c r="J1016" s="20" t="s">
        <v>1785</v>
      </c>
      <c r="K1016" s="3"/>
      <c r="L1016" s="19"/>
    </row>
    <row r="1017" spans="1:12">
      <c r="A1017" s="3" t="s">
        <v>526</v>
      </c>
      <c r="B1017" t="str">
        <f>IF(_xlfn.XLOOKUP(A1017,PARAMETROS!A:A,PARAMETROS!B:B)=0,"",_xlfn.XLOOKUP(A1017,PARAMETROS!A:A,PARAMETROS!B:B))</f>
        <v>012009006226</v>
      </c>
      <c r="C1017">
        <f>IF(_xlfn.XLOOKUP(A1017,PARAMETROS!A:A,PARAMETROS!C:C)=0,"",_xlfn.XLOOKUP(A1017,PARAMETROS!A:A,PARAMETROS!C:C))</f>
        <v>40</v>
      </c>
      <c r="D1017">
        <f>IF(_xlfn.XLOOKUP(A1017,PARAMETROS!A:A,PARAMETROS!D:D)=0,"",_xlfn.XLOOKUP(A1017,PARAMETROS!A:A,PARAMETROS!D:D))</f>
        <v>20</v>
      </c>
      <c r="E1017" t="str">
        <f>IF(_xlfn.XLOOKUP('PREENCHIMENTO|LETIVAS'!A1017,PARAMETROS!A:A,PARAMETROS!I:I)=0,"",_xlfn.XLOOKUP('PREENCHIMENTO|LETIVAS'!A1017,PARAMETROS!A:A,PARAMETROS!I:I))</f>
        <v>PROFESSOR REGENTE</v>
      </c>
      <c r="F1017" s="3" t="s">
        <v>53</v>
      </c>
      <c r="G1017" s="3" t="s">
        <v>54</v>
      </c>
      <c r="H1017" s="3" t="s">
        <v>55</v>
      </c>
      <c r="I1017" s="3" t="s">
        <v>33</v>
      </c>
      <c r="J1017" s="3" t="s">
        <v>1556</v>
      </c>
      <c r="K1017" s="3"/>
      <c r="L1017" s="19"/>
    </row>
    <row r="1018" spans="1:12">
      <c r="A1018" s="3" t="s">
        <v>526</v>
      </c>
      <c r="B1018" t="str">
        <f>IF(_xlfn.XLOOKUP(A1018,PARAMETROS!A:A,PARAMETROS!B:B)=0,"",_xlfn.XLOOKUP(A1018,PARAMETROS!A:A,PARAMETROS!B:B))</f>
        <v>012009006226</v>
      </c>
      <c r="C1018">
        <f>IF(_xlfn.XLOOKUP(A1018,PARAMETROS!A:A,PARAMETROS!C:C)=0,"",_xlfn.XLOOKUP(A1018,PARAMETROS!A:A,PARAMETROS!C:C))</f>
        <v>40</v>
      </c>
      <c r="D1018">
        <f>IF(_xlfn.XLOOKUP(A1018,PARAMETROS!A:A,PARAMETROS!D:D)=0,"",_xlfn.XLOOKUP(A1018,PARAMETROS!A:A,PARAMETROS!D:D))</f>
        <v>20</v>
      </c>
      <c r="E1018" t="str">
        <f>IF(_xlfn.XLOOKUP('PREENCHIMENTO|LETIVAS'!A1018,PARAMETROS!A:A,PARAMETROS!I:I)=0,"",_xlfn.XLOOKUP('PREENCHIMENTO|LETIVAS'!A1018,PARAMETROS!A:A,PARAMETROS!I:I))</f>
        <v>PROFESSOR REGENTE</v>
      </c>
      <c r="F1018" s="3" t="s">
        <v>53</v>
      </c>
      <c r="G1018" s="3" t="s">
        <v>54</v>
      </c>
      <c r="H1018" s="3" t="s">
        <v>39</v>
      </c>
      <c r="I1018" s="3" t="s">
        <v>40</v>
      </c>
      <c r="J1018" s="3" t="s">
        <v>1786</v>
      </c>
      <c r="K1018" s="3"/>
      <c r="L1018" s="19"/>
    </row>
    <row r="1019" spans="1:12">
      <c r="A1019" s="3" t="s">
        <v>832</v>
      </c>
      <c r="B1019" t="str">
        <f>IF(_xlfn.XLOOKUP(A1019,PARAMETROS!A:A,PARAMETROS!B:B)=0,"",_xlfn.XLOOKUP(A1019,PARAMETROS!A:A,PARAMETROS!B:B))</f>
        <v>012009007261</v>
      </c>
      <c r="C1019">
        <f>IF(_xlfn.XLOOKUP(A1019,PARAMETROS!A:A,PARAMETROS!C:C)=0,"",_xlfn.XLOOKUP(A1019,PARAMETROS!A:A,PARAMETROS!C:C))</f>
        <v>12</v>
      </c>
      <c r="D1019">
        <f>IF(_xlfn.XLOOKUP(A1019,PARAMETROS!A:A,PARAMETROS!D:D)=0,"",_xlfn.XLOOKUP(A1019,PARAMETROS!A:A,PARAMETROS!D:D))</f>
        <v>9</v>
      </c>
      <c r="E1019" t="str">
        <f>IF(_xlfn.XLOOKUP('PREENCHIMENTO|LETIVAS'!A1019,PARAMETROS!A:A,PARAMETROS!I:I)=0,"",_xlfn.XLOOKUP('PREENCHIMENTO|LETIVAS'!A1019,PARAMETROS!A:A,PARAMETROS!I:I))</f>
        <v>PROFESSOR REGENTE</v>
      </c>
      <c r="F1019" s="3" t="s">
        <v>53</v>
      </c>
      <c r="G1019" s="3" t="s">
        <v>54</v>
      </c>
      <c r="H1019" s="3" t="s">
        <v>32</v>
      </c>
      <c r="I1019" s="3" t="s">
        <v>33</v>
      </c>
      <c r="J1019" s="3" t="s">
        <v>1787</v>
      </c>
      <c r="K1019" s="3"/>
      <c r="L1019" s="19"/>
    </row>
    <row r="1020" spans="1:12">
      <c r="A1020" s="3" t="s">
        <v>832</v>
      </c>
      <c r="B1020" t="str">
        <f>IF(_xlfn.XLOOKUP(A1020,PARAMETROS!A:A,PARAMETROS!B:B)=0,"",_xlfn.XLOOKUP(A1020,PARAMETROS!A:A,PARAMETROS!B:B))</f>
        <v>012009007261</v>
      </c>
      <c r="C1020">
        <f>IF(_xlfn.XLOOKUP(A1020,PARAMETROS!A:A,PARAMETROS!C:C)=0,"",_xlfn.XLOOKUP(A1020,PARAMETROS!A:A,PARAMETROS!C:C))</f>
        <v>12</v>
      </c>
      <c r="D1020">
        <f>IF(_xlfn.XLOOKUP(A1020,PARAMETROS!A:A,PARAMETROS!D:D)=0,"",_xlfn.XLOOKUP(A1020,PARAMETROS!A:A,PARAMETROS!D:D))</f>
        <v>9</v>
      </c>
      <c r="E1020" t="str">
        <f>IF(_xlfn.XLOOKUP('PREENCHIMENTO|LETIVAS'!A1020,PARAMETROS!A:A,PARAMETROS!I:I)=0,"",_xlfn.XLOOKUP('PREENCHIMENTO|LETIVAS'!A1020,PARAMETROS!A:A,PARAMETROS!I:I))</f>
        <v>PROFESSOR REGENTE</v>
      </c>
      <c r="F1020" s="3" t="s">
        <v>53</v>
      </c>
      <c r="G1020" s="3" t="s">
        <v>54</v>
      </c>
      <c r="H1020" s="3" t="s">
        <v>32</v>
      </c>
      <c r="I1020" s="3" t="s">
        <v>40</v>
      </c>
      <c r="J1020" s="3" t="s">
        <v>1525</v>
      </c>
      <c r="K1020" s="3"/>
      <c r="L1020" s="19"/>
    </row>
    <row r="1021" spans="1:12">
      <c r="A1021" s="3" t="s">
        <v>590</v>
      </c>
      <c r="B1021" t="str">
        <f>IF(_xlfn.XLOOKUP(A1021,PARAMETROS!A:A,PARAMETROS!B:B)=0,"",_xlfn.XLOOKUP(A1021,PARAMETROS!A:A,PARAMETROS!B:B))</f>
        <v>012009006311</v>
      </c>
      <c r="C1021">
        <f>IF(_xlfn.XLOOKUP(A1021,PARAMETROS!A:A,PARAMETROS!C:C)=0,"",_xlfn.XLOOKUP(A1021,PARAMETROS!A:A,PARAMETROS!C:C))</f>
        <v>12</v>
      </c>
      <c r="D1021">
        <f>IF(_xlfn.XLOOKUP(A1021,PARAMETROS!A:A,PARAMETROS!D:D)=0,"",_xlfn.XLOOKUP(A1021,PARAMETROS!A:A,PARAMETROS!D:D))</f>
        <v>9</v>
      </c>
      <c r="E1021" t="str">
        <f>IF(_xlfn.XLOOKUP('PREENCHIMENTO|LETIVAS'!A1021,PARAMETROS!A:A,PARAMETROS!I:I)=0,"",_xlfn.XLOOKUP('PREENCHIMENTO|LETIVAS'!A1021,PARAMETROS!A:A,PARAMETROS!I:I))</f>
        <v>PROFESSOR REGENTE</v>
      </c>
      <c r="F1021" s="3" t="s">
        <v>53</v>
      </c>
      <c r="G1021" s="3" t="s">
        <v>54</v>
      </c>
      <c r="H1021" s="3" t="s">
        <v>55</v>
      </c>
      <c r="I1021" s="3" t="s">
        <v>40</v>
      </c>
      <c r="J1021" s="3" t="s">
        <v>1788</v>
      </c>
      <c r="K1021" s="3"/>
      <c r="L1021" s="19"/>
    </row>
    <row r="1022" spans="1:12">
      <c r="A1022" s="3" t="s">
        <v>508</v>
      </c>
      <c r="B1022" t="str">
        <f>IF(_xlfn.XLOOKUP(A1022,PARAMETROS!A:A,PARAMETROS!B:B)=0,"",_xlfn.XLOOKUP(A1022,PARAMETROS!A:A,PARAMETROS!B:B))</f>
        <v>012009003575</v>
      </c>
      <c r="C1022">
        <f>IF(_xlfn.XLOOKUP(A1022,PARAMETROS!A:A,PARAMETROS!C:C)=0,"",_xlfn.XLOOKUP(A1022,PARAMETROS!A:A,PARAMETROS!C:C))</f>
        <v>20</v>
      </c>
      <c r="D1022">
        <f>IF(_xlfn.XLOOKUP(A1022,PARAMETROS!A:A,PARAMETROS!D:D)=0,"",_xlfn.XLOOKUP(A1022,PARAMETROS!A:A,PARAMETROS!D:D))</f>
        <v>2</v>
      </c>
      <c r="E1022" t="str">
        <f>IF(_xlfn.XLOOKUP('PREENCHIMENTO|LETIVAS'!A1022,PARAMETROS!A:A,PARAMETROS!I:I)=0,"",_xlfn.XLOOKUP('PREENCHIMENTO|LETIVAS'!A1022,PARAMETROS!A:A,PARAMETROS!I:I))</f>
        <v>PROFESSOR DE ENSINO SUPERIOR EAD</v>
      </c>
      <c r="F1022" s="3" t="s">
        <v>53</v>
      </c>
      <c r="G1022" s="3">
        <v>2</v>
      </c>
      <c r="H1022" s="3" t="s">
        <v>63</v>
      </c>
      <c r="I1022" s="3" t="s">
        <v>40</v>
      </c>
      <c r="J1022" s="3" t="s">
        <v>1789</v>
      </c>
      <c r="K1022" s="3"/>
      <c r="L1022" s="19"/>
    </row>
    <row r="1023" spans="1:12">
      <c r="A1023" s="3" t="s">
        <v>650</v>
      </c>
      <c r="B1023" t="str">
        <f>IF(_xlfn.XLOOKUP(A1023,PARAMETROS!A:A,PARAMETROS!B:B)=0,"",_xlfn.XLOOKUP(A1023,PARAMETROS!A:A,PARAMETROS!B:B))</f>
        <v>012009004339</v>
      </c>
      <c r="C1023">
        <f>IF(_xlfn.XLOOKUP(A1023,PARAMETROS!A:A,PARAMETROS!C:C)=0,"",_xlfn.XLOOKUP(A1023,PARAMETROS!A:A,PARAMETROS!C:C))</f>
        <v>40</v>
      </c>
      <c r="D1023">
        <f>IF(_xlfn.XLOOKUP(A1023,PARAMETROS!A:A,PARAMETROS!D:D)=0,"",_xlfn.XLOOKUP(A1023,PARAMETROS!A:A,PARAMETROS!D:D))</f>
        <v>20</v>
      </c>
      <c r="E1023" t="str">
        <f>IF(_xlfn.XLOOKUP('PREENCHIMENTO|LETIVAS'!A1023,PARAMETROS!A:A,PARAMETROS!I:I)=0,"",_xlfn.XLOOKUP('PREENCHIMENTO|LETIVAS'!A1023,PARAMETROS!A:A,PARAMETROS!I:I))</f>
        <v>PROFESSOR REGENTE</v>
      </c>
      <c r="F1023" s="3" t="s">
        <v>53</v>
      </c>
      <c r="G1023" s="3" t="s">
        <v>54</v>
      </c>
      <c r="H1023" s="3" t="s">
        <v>32</v>
      </c>
      <c r="I1023" s="3" t="s">
        <v>40</v>
      </c>
      <c r="J1023" s="3" t="s">
        <v>1790</v>
      </c>
      <c r="K1023" s="3"/>
      <c r="L1023" s="19"/>
    </row>
    <row r="1024" spans="1:12">
      <c r="A1024" s="3" t="s">
        <v>553</v>
      </c>
      <c r="B1024" t="str">
        <f>IF(_xlfn.XLOOKUP(A1024,PARAMETROS!A:A,PARAMETROS!B:B)=0,"",_xlfn.XLOOKUP(A1024,PARAMETROS!A:A,PARAMETROS!B:B))</f>
        <v>012009005501</v>
      </c>
      <c r="C1024">
        <f>IF(_xlfn.XLOOKUP(A1024,PARAMETROS!A:A,PARAMETROS!C:C)=0,"",_xlfn.XLOOKUP(A1024,PARAMETROS!A:A,PARAMETROS!C:C))</f>
        <v>40</v>
      </c>
      <c r="D1024">
        <f>IF(_xlfn.XLOOKUP(A1024,PARAMETROS!A:A,PARAMETROS!D:D)=0,"",_xlfn.XLOOKUP(A1024,PARAMETROS!A:A,PARAMETROS!D:D))</f>
        <v>4</v>
      </c>
      <c r="E1024" t="str">
        <f>IF(_xlfn.XLOOKUP('PREENCHIMENTO|LETIVAS'!A1024,PARAMETROS!A:A,PARAMETROS!I:I)=0,"",_xlfn.XLOOKUP('PREENCHIMENTO|LETIVAS'!A1024,PARAMETROS!A:A,PARAMETROS!I:I))</f>
        <v>PROFESSOR DE ENSINO SUPERIOR EAD</v>
      </c>
      <c r="F1024" s="3" t="s">
        <v>53</v>
      </c>
      <c r="G1024" s="3">
        <v>2</v>
      </c>
      <c r="H1024" s="3" t="s">
        <v>39</v>
      </c>
      <c r="I1024" s="3" t="s">
        <v>33</v>
      </c>
      <c r="J1024" s="3" t="s">
        <v>1545</v>
      </c>
      <c r="K1024" s="3"/>
      <c r="L1024" s="19"/>
    </row>
    <row r="1025" spans="1:12">
      <c r="A1025" s="3" t="s">
        <v>709</v>
      </c>
      <c r="B1025" t="str">
        <f>IF(_xlfn.XLOOKUP(A1025,PARAMETROS!A:A,PARAMETROS!B:B)=0,"",_xlfn.XLOOKUP(A1025,PARAMETROS!A:A,PARAMETROS!B:B))</f>
        <v>012009006366</v>
      </c>
      <c r="C1025">
        <f>IF(_xlfn.XLOOKUP(A1025,PARAMETROS!A:A,PARAMETROS!C:C)=0,"",_xlfn.XLOOKUP(A1025,PARAMETROS!A:A,PARAMETROS!C:C))</f>
        <v>12</v>
      </c>
      <c r="D1025">
        <f>IF(_xlfn.XLOOKUP(A1025,PARAMETROS!A:A,PARAMETROS!D:D)=0,"",_xlfn.XLOOKUP(A1025,PARAMETROS!A:A,PARAMETROS!D:D))</f>
        <v>9</v>
      </c>
      <c r="E1025" t="str">
        <f>IF(_xlfn.XLOOKUP('PREENCHIMENTO|LETIVAS'!A1025,PARAMETROS!A:A,PARAMETROS!I:I)=0,"",_xlfn.XLOOKUP('PREENCHIMENTO|LETIVAS'!A1025,PARAMETROS!A:A,PARAMETROS!I:I))</f>
        <v>PROFESSOR REGENTE</v>
      </c>
      <c r="F1025" s="3" t="s">
        <v>53</v>
      </c>
      <c r="G1025" s="3" t="s">
        <v>54</v>
      </c>
      <c r="H1025" s="3" t="s">
        <v>39</v>
      </c>
      <c r="I1025" s="3" t="s">
        <v>33</v>
      </c>
      <c r="J1025" s="3" t="s">
        <v>1791</v>
      </c>
      <c r="K1025" s="3"/>
      <c r="L1025" s="19"/>
    </row>
    <row r="1026" spans="1:12">
      <c r="A1026" s="3" t="s">
        <v>709</v>
      </c>
      <c r="B1026" t="str">
        <f>IF(_xlfn.XLOOKUP(A1026,PARAMETROS!A:A,PARAMETROS!B:B)=0,"",_xlfn.XLOOKUP(A1026,PARAMETROS!A:A,PARAMETROS!B:B))</f>
        <v>012009006366</v>
      </c>
      <c r="C1026">
        <f>IF(_xlfn.XLOOKUP(A1026,PARAMETROS!A:A,PARAMETROS!C:C)=0,"",_xlfn.XLOOKUP(A1026,PARAMETROS!A:A,PARAMETROS!C:C))</f>
        <v>12</v>
      </c>
      <c r="D1026">
        <f>IF(_xlfn.XLOOKUP(A1026,PARAMETROS!A:A,PARAMETROS!D:D)=0,"",_xlfn.XLOOKUP(A1026,PARAMETROS!A:A,PARAMETROS!D:D))</f>
        <v>9</v>
      </c>
      <c r="E1026" t="str">
        <f>IF(_xlfn.XLOOKUP('PREENCHIMENTO|LETIVAS'!A1026,PARAMETROS!A:A,PARAMETROS!I:I)=0,"",_xlfn.XLOOKUP('PREENCHIMENTO|LETIVAS'!A1026,PARAMETROS!A:A,PARAMETROS!I:I))</f>
        <v>PROFESSOR REGENTE</v>
      </c>
      <c r="F1026" s="3" t="s">
        <v>53</v>
      </c>
      <c r="G1026" s="3">
        <v>1</v>
      </c>
      <c r="H1026" s="3" t="s">
        <v>39</v>
      </c>
      <c r="I1026" s="3" t="s">
        <v>40</v>
      </c>
      <c r="J1026" s="3" t="s">
        <v>1792</v>
      </c>
      <c r="K1026" s="3"/>
      <c r="L1026" s="19"/>
    </row>
    <row r="1027" spans="1:12">
      <c r="A1027" s="3" t="s">
        <v>724</v>
      </c>
      <c r="B1027" t="str">
        <f>IF(_xlfn.XLOOKUP(A1027,PARAMETROS!A:A,PARAMETROS!B:B)=0,"",_xlfn.XLOOKUP(A1027,PARAMETROS!A:A,PARAMETROS!B:B))</f>
        <v>012009006369</v>
      </c>
      <c r="C1027">
        <f>IF(_xlfn.XLOOKUP(A1027,PARAMETROS!A:A,PARAMETROS!C:C)=0,"",_xlfn.XLOOKUP(A1027,PARAMETROS!A:A,PARAMETROS!C:C))</f>
        <v>12</v>
      </c>
      <c r="D1027">
        <f>IF(_xlfn.XLOOKUP(A1027,PARAMETROS!A:A,PARAMETROS!D:D)=0,"",_xlfn.XLOOKUP(A1027,PARAMETROS!A:A,PARAMETROS!D:D))</f>
        <v>9</v>
      </c>
      <c r="E1027" t="str">
        <f>IF(_xlfn.XLOOKUP('PREENCHIMENTO|LETIVAS'!A1027,PARAMETROS!A:A,PARAMETROS!I:I)=0,"",_xlfn.XLOOKUP('PREENCHIMENTO|LETIVAS'!A1027,PARAMETROS!A:A,PARAMETROS!I:I))</f>
        <v>PROFESSOR REGENTE</v>
      </c>
      <c r="F1027" s="3" t="s">
        <v>53</v>
      </c>
      <c r="G1027" s="3">
        <v>2</v>
      </c>
      <c r="H1027" s="3" t="s">
        <v>39</v>
      </c>
      <c r="I1027" s="3" t="s">
        <v>40</v>
      </c>
      <c r="J1027" s="3" t="s">
        <v>1551</v>
      </c>
      <c r="K1027" s="3"/>
      <c r="L1027" s="19"/>
    </row>
    <row r="1028" spans="1:12">
      <c r="A1028" s="3" t="s">
        <v>724</v>
      </c>
      <c r="B1028" t="str">
        <f>IF(_xlfn.XLOOKUP(A1028,PARAMETROS!A:A,PARAMETROS!B:B)=0,"",_xlfn.XLOOKUP(A1028,PARAMETROS!A:A,PARAMETROS!B:B))</f>
        <v>012009006369</v>
      </c>
      <c r="C1028">
        <f>IF(_xlfn.XLOOKUP(A1028,PARAMETROS!A:A,PARAMETROS!C:C)=0,"",_xlfn.XLOOKUP(A1028,PARAMETROS!A:A,PARAMETROS!C:C))</f>
        <v>12</v>
      </c>
      <c r="D1028">
        <f>IF(_xlfn.XLOOKUP(A1028,PARAMETROS!A:A,PARAMETROS!D:D)=0,"",_xlfn.XLOOKUP(A1028,PARAMETROS!A:A,PARAMETROS!D:D))</f>
        <v>9</v>
      </c>
      <c r="E1028" t="str">
        <f>IF(_xlfn.XLOOKUP('PREENCHIMENTO|LETIVAS'!A1028,PARAMETROS!A:A,PARAMETROS!I:I)=0,"",_xlfn.XLOOKUP('PREENCHIMENTO|LETIVAS'!A1028,PARAMETROS!A:A,PARAMETROS!I:I))</f>
        <v>PROFESSOR REGENTE</v>
      </c>
      <c r="F1028" s="3" t="s">
        <v>53</v>
      </c>
      <c r="G1028" s="3" t="s">
        <v>54</v>
      </c>
      <c r="H1028" s="3" t="s">
        <v>39</v>
      </c>
      <c r="I1028" s="3" t="s">
        <v>33</v>
      </c>
      <c r="J1028" s="3" t="s">
        <v>1793</v>
      </c>
      <c r="K1028" s="3" t="s">
        <v>1552</v>
      </c>
      <c r="L1028" s="19"/>
    </row>
    <row r="1029" spans="1:12">
      <c r="A1029" s="3" t="s">
        <v>50</v>
      </c>
      <c r="B1029" t="str">
        <f>IF(_xlfn.XLOOKUP(A1029,PARAMETROS!A:A,PARAMETROS!B:B)=0,"",_xlfn.XLOOKUP(A1029,PARAMETROS!A:A,PARAMETROS!B:B))</f>
        <v>012009003801</v>
      </c>
      <c r="C1029">
        <f>IF(_xlfn.XLOOKUP(A1029,PARAMETROS!A:A,PARAMETROS!C:C)=0,"",_xlfn.XLOOKUP(A1029,PARAMETROS!A:A,PARAMETROS!C:C))</f>
        <v>40</v>
      </c>
      <c r="D1029">
        <f>IF(_xlfn.XLOOKUP(A1029,PARAMETROS!A:A,PARAMETROS!D:D)=0,"",_xlfn.XLOOKUP(A1029,PARAMETROS!A:A,PARAMETROS!D:D))</f>
        <v>4</v>
      </c>
      <c r="E1029" t="str">
        <f>IF(_xlfn.XLOOKUP('PREENCHIMENTO|LETIVAS'!A1029,PARAMETROS!A:A,PARAMETROS!I:I)=0,"",_xlfn.XLOOKUP('PREENCHIMENTO|LETIVAS'!A1029,PARAMETROS!A:A,PARAMETROS!I:I))</f>
        <v>PROFESSOR DE ENSINO SUPERIOR EAD</v>
      </c>
      <c r="F1029" s="3" t="s">
        <v>53</v>
      </c>
      <c r="G1029" s="3">
        <v>1</v>
      </c>
      <c r="H1029" s="3" t="s">
        <v>39</v>
      </c>
      <c r="I1029" s="3" t="s">
        <v>40</v>
      </c>
      <c r="J1029" s="3" t="s">
        <v>1794</v>
      </c>
      <c r="K1029" s="3"/>
      <c r="L1029" s="19"/>
    </row>
    <row r="1030" spans="1:12">
      <c r="A1030" s="3" t="s">
        <v>50</v>
      </c>
      <c r="B1030" t="str">
        <f>IF(_xlfn.XLOOKUP(A1030,PARAMETROS!A:A,PARAMETROS!B:B)=0,"",_xlfn.XLOOKUP(A1030,PARAMETROS!A:A,PARAMETROS!B:B))</f>
        <v>012009003801</v>
      </c>
      <c r="C1030">
        <f>IF(_xlfn.XLOOKUP(A1030,PARAMETROS!A:A,PARAMETROS!C:C)=0,"",_xlfn.XLOOKUP(A1030,PARAMETROS!A:A,PARAMETROS!C:C))</f>
        <v>40</v>
      </c>
      <c r="D1030">
        <f>IF(_xlfn.XLOOKUP(A1030,PARAMETROS!A:A,PARAMETROS!D:D)=0,"",_xlfn.XLOOKUP(A1030,PARAMETROS!A:A,PARAMETROS!D:D))</f>
        <v>4</v>
      </c>
      <c r="E1030" t="str">
        <f>IF(_xlfn.XLOOKUP('PREENCHIMENTO|LETIVAS'!A1030,PARAMETROS!A:A,PARAMETROS!I:I)=0,"",_xlfn.XLOOKUP('PREENCHIMENTO|LETIVAS'!A1030,PARAMETROS!A:A,PARAMETROS!I:I))</f>
        <v>PROFESSOR DE ENSINO SUPERIOR EAD</v>
      </c>
      <c r="F1030" s="3" t="s">
        <v>53</v>
      </c>
      <c r="G1030" s="3">
        <v>1</v>
      </c>
      <c r="H1030" s="3" t="s">
        <v>39</v>
      </c>
      <c r="I1030" s="3" t="s">
        <v>33</v>
      </c>
      <c r="J1030" s="3" t="s">
        <v>1795</v>
      </c>
      <c r="K1030" s="3"/>
      <c r="L1030" s="19"/>
    </row>
    <row r="1031" spans="1:12">
      <c r="A1031" s="3" t="s">
        <v>755</v>
      </c>
      <c r="B1031" t="str">
        <f>IF(_xlfn.XLOOKUP(A1031,PARAMETROS!A:A,PARAMETROS!B:B)=0,"",_xlfn.XLOOKUP(A1031,PARAMETROS!A:A,PARAMETROS!B:B))</f>
        <v>012009006535</v>
      </c>
      <c r="C1031">
        <f>IF(_xlfn.XLOOKUP(A1031,PARAMETROS!A:A,PARAMETROS!C:C)=0,"",_xlfn.XLOOKUP(A1031,PARAMETROS!A:A,PARAMETROS!C:C))</f>
        <v>12</v>
      </c>
      <c r="D1031">
        <f>IF(_xlfn.XLOOKUP(A1031,PARAMETROS!A:A,PARAMETROS!D:D)=0,"",_xlfn.XLOOKUP(A1031,PARAMETROS!A:A,PARAMETROS!D:D))</f>
        <v>9</v>
      </c>
      <c r="E1031" t="str">
        <f>IF(_xlfn.XLOOKUP('PREENCHIMENTO|LETIVAS'!A1031,PARAMETROS!A:A,PARAMETROS!I:I)=0,"",_xlfn.XLOOKUP('PREENCHIMENTO|LETIVAS'!A1031,PARAMETROS!A:A,PARAMETROS!I:I))</f>
        <v>PROFESSOR REGENTE</v>
      </c>
      <c r="F1031" s="3" t="s">
        <v>53</v>
      </c>
      <c r="G1031" s="3">
        <v>1</v>
      </c>
      <c r="H1031" s="3" t="s">
        <v>39</v>
      </c>
      <c r="I1031" s="3" t="s">
        <v>40</v>
      </c>
      <c r="J1031" s="3" t="s">
        <v>1796</v>
      </c>
      <c r="K1031" s="3"/>
      <c r="L1031" s="19"/>
    </row>
    <row r="1032" spans="1:12">
      <c r="A1032" s="3" t="s">
        <v>401</v>
      </c>
      <c r="B1032" t="str">
        <f>IF(_xlfn.XLOOKUP(A1032,PARAMETROS!A:A,PARAMETROS!B:B)=0,"",_xlfn.XLOOKUP(A1032,PARAMETROS!A:A,PARAMETROS!B:B))</f>
        <v>012009004121</v>
      </c>
      <c r="C1032">
        <f>IF(_xlfn.XLOOKUP(A1032,PARAMETROS!A:A,PARAMETROS!C:C)=0,"",_xlfn.XLOOKUP(A1032,PARAMETROS!A:A,PARAMETROS!C:C))</f>
        <v>20</v>
      </c>
      <c r="D1032">
        <f>IF(_xlfn.XLOOKUP(A1032,PARAMETROS!A:A,PARAMETROS!D:D)=0,"",_xlfn.XLOOKUP(A1032,PARAMETROS!A:A,PARAMETROS!D:D))</f>
        <v>2</v>
      </c>
      <c r="E1032" t="str">
        <f>IF(_xlfn.XLOOKUP('PREENCHIMENTO|LETIVAS'!A1032,PARAMETROS!A:A,PARAMETROS!I:I)=0,"",_xlfn.XLOOKUP('PREENCHIMENTO|LETIVAS'!A1032,PARAMETROS!A:A,PARAMETROS!I:I))</f>
        <v>PROFESSOR DE ENSINO SUPERIOR EAD</v>
      </c>
      <c r="F1032" s="3" t="s">
        <v>53</v>
      </c>
      <c r="G1032" s="3">
        <v>2</v>
      </c>
      <c r="H1032" s="3" t="s">
        <v>39</v>
      </c>
      <c r="I1032" s="3" t="s">
        <v>33</v>
      </c>
      <c r="J1032" s="3" t="s">
        <v>1797</v>
      </c>
      <c r="K1032" s="3"/>
      <c r="L1032" s="19"/>
    </row>
    <row r="1033" spans="1:12">
      <c r="A1033" s="3" t="s">
        <v>234</v>
      </c>
      <c r="B1033" t="str">
        <f>IF(_xlfn.XLOOKUP(A1033,PARAMETROS!A:A,PARAMETROS!B:B)=0,"",_xlfn.XLOOKUP(A1033,PARAMETROS!A:A,PARAMETROS!B:B))</f>
        <v>012009006141</v>
      </c>
      <c r="C1033">
        <f>IF(_xlfn.XLOOKUP(A1033,PARAMETROS!A:A,PARAMETROS!C:C)=0,"",_xlfn.XLOOKUP(A1033,PARAMETROS!A:A,PARAMETROS!C:C))</f>
        <v>20</v>
      </c>
      <c r="D1033">
        <f>IF(_xlfn.XLOOKUP(A1033,PARAMETROS!A:A,PARAMETROS!D:D)=0,"",_xlfn.XLOOKUP(A1033,PARAMETROS!A:A,PARAMETROS!D:D))</f>
        <v>2</v>
      </c>
      <c r="E1033" t="str">
        <f>IF(_xlfn.XLOOKUP('PREENCHIMENTO|LETIVAS'!A1033,PARAMETROS!A:A,PARAMETROS!I:I)=0,"",_xlfn.XLOOKUP('PREENCHIMENTO|LETIVAS'!A1033,PARAMETROS!A:A,PARAMETROS!I:I))</f>
        <v>PROFESSOR DE ENSINO SUPERIOR EAD</v>
      </c>
      <c r="F1033" s="3" t="s">
        <v>53</v>
      </c>
      <c r="G1033" s="3">
        <v>2</v>
      </c>
      <c r="H1033" s="3" t="s">
        <v>39</v>
      </c>
      <c r="I1033" s="3" t="s">
        <v>40</v>
      </c>
      <c r="J1033" s="3" t="s">
        <v>1798</v>
      </c>
      <c r="K1033" s="3"/>
      <c r="L1033" s="19"/>
    </row>
    <row r="1034" spans="1:12">
      <c r="A1034" s="3" t="s">
        <v>234</v>
      </c>
      <c r="B1034" t="str">
        <f>IF(_xlfn.XLOOKUP(A1034,PARAMETROS!A:A,PARAMETROS!B:B)=0,"",_xlfn.XLOOKUP(A1034,PARAMETROS!A:A,PARAMETROS!B:B))</f>
        <v>012009006141</v>
      </c>
      <c r="C1034">
        <f>IF(_xlfn.XLOOKUP(A1034,PARAMETROS!A:A,PARAMETROS!C:C)=0,"",_xlfn.XLOOKUP(A1034,PARAMETROS!A:A,PARAMETROS!C:C))</f>
        <v>20</v>
      </c>
      <c r="D1034">
        <f>IF(_xlfn.XLOOKUP(A1034,PARAMETROS!A:A,PARAMETROS!D:D)=0,"",_xlfn.XLOOKUP(A1034,PARAMETROS!A:A,PARAMETROS!D:D))</f>
        <v>2</v>
      </c>
      <c r="E1034" t="str">
        <f>IF(_xlfn.XLOOKUP('PREENCHIMENTO|LETIVAS'!A1034,PARAMETROS!A:A,PARAMETROS!I:I)=0,"",_xlfn.XLOOKUP('PREENCHIMENTO|LETIVAS'!A1034,PARAMETROS!A:A,PARAMETROS!I:I))</f>
        <v>PROFESSOR DE ENSINO SUPERIOR EAD</v>
      </c>
      <c r="F1034" s="3" t="s">
        <v>53</v>
      </c>
      <c r="G1034" s="3">
        <v>1</v>
      </c>
      <c r="H1034" s="3" t="s">
        <v>39</v>
      </c>
      <c r="I1034" s="3" t="s">
        <v>40</v>
      </c>
      <c r="J1034" s="3" t="s">
        <v>1799</v>
      </c>
      <c r="K1034" s="3"/>
      <c r="L1034" s="19"/>
    </row>
    <row r="1035" spans="1:12">
      <c r="A1035" s="3" t="s">
        <v>653</v>
      </c>
      <c r="B1035" t="str">
        <f>IF(_xlfn.XLOOKUP(A1035,PARAMETROS!A:A,PARAMETROS!B:B)=0,"",_xlfn.XLOOKUP(A1035,PARAMETROS!A:A,PARAMETROS!B:B))</f>
        <v>012009002882</v>
      </c>
      <c r="C1035">
        <f>IF(_xlfn.XLOOKUP(A1035,PARAMETROS!A:A,PARAMETROS!C:C)=0,"",_xlfn.XLOOKUP(A1035,PARAMETROS!A:A,PARAMETROS!C:C))</f>
        <v>24</v>
      </c>
      <c r="D1035">
        <f>IF(_xlfn.XLOOKUP(A1035,PARAMETROS!A:A,PARAMETROS!D:D)=0,"",_xlfn.XLOOKUP(A1035,PARAMETROS!A:A,PARAMETROS!D:D))</f>
        <v>18</v>
      </c>
      <c r="E1035" t="str">
        <f>IF(_xlfn.XLOOKUP('PREENCHIMENTO|LETIVAS'!A1035,PARAMETROS!A:A,PARAMETROS!I:I)=0,"",_xlfn.XLOOKUP('PREENCHIMENTO|LETIVAS'!A1035,PARAMETROS!A:A,PARAMETROS!I:I))</f>
        <v>PROFESSOR REGENTE</v>
      </c>
      <c r="F1035" s="3" t="s">
        <v>53</v>
      </c>
      <c r="G1035" s="3" t="s">
        <v>54</v>
      </c>
      <c r="H1035" s="3" t="s">
        <v>39</v>
      </c>
      <c r="I1035" s="3" t="s">
        <v>40</v>
      </c>
      <c r="J1035" s="3" t="s">
        <v>1800</v>
      </c>
      <c r="K1035" s="3" t="s">
        <v>1801</v>
      </c>
      <c r="L1035" s="19"/>
    </row>
    <row r="1036" spans="1:12">
      <c r="A1036" s="3" t="s">
        <v>653</v>
      </c>
      <c r="B1036" t="str">
        <f>IF(_xlfn.XLOOKUP(A1036,PARAMETROS!A:A,PARAMETROS!B:B)=0,"",_xlfn.XLOOKUP(A1036,PARAMETROS!A:A,PARAMETROS!B:B))</f>
        <v>012009002882</v>
      </c>
      <c r="C1036">
        <f>IF(_xlfn.XLOOKUP(A1036,PARAMETROS!A:A,PARAMETROS!C:C)=0,"",_xlfn.XLOOKUP(A1036,PARAMETROS!A:A,PARAMETROS!C:C))</f>
        <v>24</v>
      </c>
      <c r="D1036">
        <f>IF(_xlfn.XLOOKUP(A1036,PARAMETROS!A:A,PARAMETROS!D:D)=0,"",_xlfn.XLOOKUP(A1036,PARAMETROS!A:A,PARAMETROS!D:D))</f>
        <v>18</v>
      </c>
      <c r="E1036" t="str">
        <f>IF(_xlfn.XLOOKUP('PREENCHIMENTO|LETIVAS'!A1036,PARAMETROS!A:A,PARAMETROS!I:I)=0,"",_xlfn.XLOOKUP('PREENCHIMENTO|LETIVAS'!A1036,PARAMETROS!A:A,PARAMETROS!I:I))</f>
        <v>PROFESSOR REGENTE</v>
      </c>
      <c r="F1036" s="3" t="s">
        <v>53</v>
      </c>
      <c r="G1036" s="3">
        <v>2</v>
      </c>
      <c r="H1036" s="3" t="s">
        <v>39</v>
      </c>
      <c r="I1036" s="3" t="s">
        <v>40</v>
      </c>
      <c r="J1036" s="3" t="s">
        <v>1802</v>
      </c>
      <c r="K1036" s="3"/>
      <c r="L1036" s="19"/>
    </row>
    <row r="1037" spans="1:12">
      <c r="A1037" s="3" t="s">
        <v>721</v>
      </c>
      <c r="B1037" t="str">
        <f>IF(_xlfn.XLOOKUP(A1037,PARAMETROS!A:A,PARAMETROS!B:B)=0,"",_xlfn.XLOOKUP(A1037,PARAMETROS!A:A,PARAMETROS!B:B))</f>
        <v>012009006374</v>
      </c>
      <c r="C1037">
        <f>IF(_xlfn.XLOOKUP(A1037,PARAMETROS!A:A,PARAMETROS!C:C)=0,"",_xlfn.XLOOKUP(A1037,PARAMETROS!A:A,PARAMETROS!C:C))</f>
        <v>12</v>
      </c>
      <c r="D1037">
        <f>IF(_xlfn.XLOOKUP(A1037,PARAMETROS!A:A,PARAMETROS!D:D)=0,"",_xlfn.XLOOKUP(A1037,PARAMETROS!A:A,PARAMETROS!D:D))</f>
        <v>9</v>
      </c>
      <c r="E1037" t="str">
        <f>IF(_xlfn.XLOOKUP('PREENCHIMENTO|LETIVAS'!A1037,PARAMETROS!A:A,PARAMETROS!I:I)=0,"",_xlfn.XLOOKUP('PREENCHIMENTO|LETIVAS'!A1037,PARAMETROS!A:A,PARAMETROS!I:I))</f>
        <v>PROFESSOR REGENTE</v>
      </c>
      <c r="F1037" s="3" t="s">
        <v>53</v>
      </c>
      <c r="G1037" s="3">
        <v>1</v>
      </c>
      <c r="H1037" s="3" t="s">
        <v>39</v>
      </c>
      <c r="I1037" s="3" t="s">
        <v>33</v>
      </c>
      <c r="J1037" s="3" t="s">
        <v>1779</v>
      </c>
      <c r="K1037" s="3"/>
      <c r="L1037" s="19"/>
    </row>
    <row r="1038" spans="1:12">
      <c r="A1038" s="3" t="s">
        <v>721</v>
      </c>
      <c r="B1038" t="str">
        <f>IF(_xlfn.XLOOKUP(A1038,PARAMETROS!A:A,PARAMETROS!B:B)=0,"",_xlfn.XLOOKUP(A1038,PARAMETROS!A:A,PARAMETROS!B:B))</f>
        <v>012009006374</v>
      </c>
      <c r="C1038">
        <f>IF(_xlfn.XLOOKUP(A1038,PARAMETROS!A:A,PARAMETROS!C:C)=0,"",_xlfn.XLOOKUP(A1038,PARAMETROS!A:A,PARAMETROS!C:C))</f>
        <v>12</v>
      </c>
      <c r="D1038">
        <f>IF(_xlfn.XLOOKUP(A1038,PARAMETROS!A:A,PARAMETROS!D:D)=0,"",_xlfn.XLOOKUP(A1038,PARAMETROS!A:A,PARAMETROS!D:D))</f>
        <v>9</v>
      </c>
      <c r="E1038" t="str">
        <f>IF(_xlfn.XLOOKUP('PREENCHIMENTO|LETIVAS'!A1038,PARAMETROS!A:A,PARAMETROS!I:I)=0,"",_xlfn.XLOOKUP('PREENCHIMENTO|LETIVAS'!A1038,PARAMETROS!A:A,PARAMETROS!I:I))</f>
        <v>PROFESSOR REGENTE</v>
      </c>
      <c r="F1038" s="3" t="s">
        <v>53</v>
      </c>
      <c r="G1038" s="3">
        <v>2</v>
      </c>
      <c r="H1038" s="3" t="s">
        <v>39</v>
      </c>
      <c r="I1038" s="3" t="s">
        <v>40</v>
      </c>
      <c r="J1038" s="3" t="s">
        <v>1803</v>
      </c>
      <c r="K1038" s="3"/>
      <c r="L1038" s="19"/>
    </row>
    <row r="1039" spans="1:12">
      <c r="A1039" s="3" t="s">
        <v>297</v>
      </c>
      <c r="B1039" t="str">
        <f>IF(_xlfn.XLOOKUP(A1039,PARAMETROS!A:A,PARAMETROS!B:B)=0,"",_xlfn.XLOOKUP(A1039,PARAMETROS!A:A,PARAMETROS!B:B))</f>
        <v>012009005858</v>
      </c>
      <c r="C1039">
        <f>IF(_xlfn.XLOOKUP(A1039,PARAMETROS!A:A,PARAMETROS!C:C)=0,"",_xlfn.XLOOKUP(A1039,PARAMETROS!A:A,PARAMETROS!C:C))</f>
        <v>40</v>
      </c>
      <c r="D1039">
        <f>IF(_xlfn.XLOOKUP(A1039,PARAMETROS!A:A,PARAMETROS!D:D)=0,"",_xlfn.XLOOKUP(A1039,PARAMETROS!A:A,PARAMETROS!D:D))</f>
        <v>4</v>
      </c>
      <c r="E1039" t="str">
        <f>IF(_xlfn.XLOOKUP('PREENCHIMENTO|LETIVAS'!A1039,PARAMETROS!A:A,PARAMETROS!I:I)=0,"",_xlfn.XLOOKUP('PREENCHIMENTO|LETIVAS'!A1039,PARAMETROS!A:A,PARAMETROS!I:I))</f>
        <v>PROFESSOR DE ENSINO SUPERIOR EAD</v>
      </c>
      <c r="F1039" s="3" t="s">
        <v>53</v>
      </c>
      <c r="G1039" s="3">
        <v>2</v>
      </c>
      <c r="H1039" s="3" t="s">
        <v>39</v>
      </c>
      <c r="I1039" s="3" t="s">
        <v>40</v>
      </c>
      <c r="J1039" s="3" t="s">
        <v>1804</v>
      </c>
      <c r="K1039" s="3"/>
      <c r="L1039" s="19"/>
    </row>
    <row r="1040" spans="1:12">
      <c r="A1040" s="3" t="s">
        <v>297</v>
      </c>
      <c r="B1040" t="str">
        <f>IF(_xlfn.XLOOKUP(A1040,PARAMETROS!A:A,PARAMETROS!B:B)=0,"",_xlfn.XLOOKUP(A1040,PARAMETROS!A:A,PARAMETROS!B:B))</f>
        <v>012009005858</v>
      </c>
      <c r="C1040">
        <f>IF(_xlfn.XLOOKUP(A1040,PARAMETROS!A:A,PARAMETROS!C:C)=0,"",_xlfn.XLOOKUP(A1040,PARAMETROS!A:A,PARAMETROS!C:C))</f>
        <v>40</v>
      </c>
      <c r="D1040">
        <f>IF(_xlfn.XLOOKUP(A1040,PARAMETROS!A:A,PARAMETROS!D:D)=0,"",_xlfn.XLOOKUP(A1040,PARAMETROS!A:A,PARAMETROS!D:D))</f>
        <v>4</v>
      </c>
      <c r="E1040" t="str">
        <f>IF(_xlfn.XLOOKUP('PREENCHIMENTO|LETIVAS'!A1040,PARAMETROS!A:A,PARAMETROS!I:I)=0,"",_xlfn.XLOOKUP('PREENCHIMENTO|LETIVAS'!A1040,PARAMETROS!A:A,PARAMETROS!I:I))</f>
        <v>PROFESSOR DE ENSINO SUPERIOR EAD</v>
      </c>
      <c r="F1040" s="3" t="s">
        <v>53</v>
      </c>
      <c r="G1040" s="3">
        <v>2</v>
      </c>
      <c r="H1040" s="3" t="s">
        <v>39</v>
      </c>
      <c r="I1040" s="3" t="s">
        <v>33</v>
      </c>
      <c r="J1040" s="3" t="s">
        <v>1805</v>
      </c>
      <c r="K1040" s="3"/>
      <c r="L1040" s="19"/>
    </row>
    <row r="1041" spans="1:12">
      <c r="A1041" s="3" t="s">
        <v>389</v>
      </c>
      <c r="B1041" t="str">
        <f>IF(_xlfn.XLOOKUP(A1041,PARAMETROS!A:A,PARAMETROS!B:B)=0,"",_xlfn.XLOOKUP(A1041,PARAMETROS!A:A,PARAMETROS!B:B))</f>
        <v>012009005713</v>
      </c>
      <c r="C1041">
        <f>IF(_xlfn.XLOOKUP(A1041,PARAMETROS!A:A,PARAMETROS!C:C)=0,"",_xlfn.XLOOKUP(A1041,PARAMETROS!A:A,PARAMETROS!C:C))</f>
        <v>20</v>
      </c>
      <c r="D1041">
        <f>IF(_xlfn.XLOOKUP(A1041,PARAMETROS!A:A,PARAMETROS!D:D)=0,"",_xlfn.XLOOKUP(A1041,PARAMETROS!A:A,PARAMETROS!D:D))</f>
        <v>2</v>
      </c>
      <c r="E1041" t="str">
        <f>IF(_xlfn.XLOOKUP('PREENCHIMENTO|LETIVAS'!A1041,PARAMETROS!A:A,PARAMETROS!I:I)=0,"",_xlfn.XLOOKUP('PREENCHIMENTO|LETIVAS'!A1041,PARAMETROS!A:A,PARAMETROS!I:I))</f>
        <v>PROFESSOR DE ENSINO SUPERIOR EAD</v>
      </c>
      <c r="F1041" s="3" t="s">
        <v>53</v>
      </c>
      <c r="G1041" s="3">
        <v>1</v>
      </c>
      <c r="H1041" s="3" t="s">
        <v>39</v>
      </c>
      <c r="I1041" s="3" t="s">
        <v>40</v>
      </c>
      <c r="J1041" s="3" t="s">
        <v>1806</v>
      </c>
      <c r="K1041" s="3"/>
      <c r="L1041" s="19"/>
    </row>
    <row r="1042" spans="1:12">
      <c r="A1042" s="3" t="s">
        <v>346</v>
      </c>
      <c r="B1042" t="str">
        <f>IF(_xlfn.XLOOKUP(A1042,PARAMETROS!A:A,PARAMETROS!B:B)=0,"",_xlfn.XLOOKUP(A1042,PARAMETROS!A:A,PARAMETROS!B:B))</f>
        <v>012009005223</v>
      </c>
      <c r="C1042">
        <f>IF(_xlfn.XLOOKUP(A1042,PARAMETROS!A:A,PARAMETROS!C:C)=0,"",_xlfn.XLOOKUP(A1042,PARAMETROS!A:A,PARAMETROS!C:C))</f>
        <v>20</v>
      </c>
      <c r="D1042">
        <f>IF(_xlfn.XLOOKUP(A1042,PARAMETROS!A:A,PARAMETROS!D:D)=0,"",_xlfn.XLOOKUP(A1042,PARAMETROS!A:A,PARAMETROS!D:D))</f>
        <v>2</v>
      </c>
      <c r="E1042" t="str">
        <f>IF(_xlfn.XLOOKUP('PREENCHIMENTO|LETIVAS'!A1042,PARAMETROS!A:A,PARAMETROS!I:I)=0,"",_xlfn.XLOOKUP('PREENCHIMENTO|LETIVAS'!A1042,PARAMETROS!A:A,PARAMETROS!I:I))</f>
        <v>PROFESSOR DE ENSINO SUPERIOR EAD</v>
      </c>
      <c r="F1042" s="3" t="s">
        <v>53</v>
      </c>
      <c r="G1042" s="3" t="s">
        <v>54</v>
      </c>
      <c r="H1042" s="3" t="s">
        <v>55</v>
      </c>
      <c r="I1042" s="3" t="s">
        <v>40</v>
      </c>
      <c r="J1042" s="3" t="s">
        <v>1807</v>
      </c>
      <c r="K1042" s="3" t="s">
        <v>1808</v>
      </c>
      <c r="L1042" s="19"/>
    </row>
    <row r="1043" spans="1:12">
      <c r="A1043" s="3" t="s">
        <v>346</v>
      </c>
      <c r="B1043" t="str">
        <f>IF(_xlfn.XLOOKUP(A1043,PARAMETROS!A:A,PARAMETROS!B:B)=0,"",_xlfn.XLOOKUP(A1043,PARAMETROS!A:A,PARAMETROS!B:B))</f>
        <v>012009005223</v>
      </c>
      <c r="C1043">
        <f>IF(_xlfn.XLOOKUP(A1043,PARAMETROS!A:A,PARAMETROS!C:C)=0,"",_xlfn.XLOOKUP(A1043,PARAMETROS!A:A,PARAMETROS!C:C))</f>
        <v>20</v>
      </c>
      <c r="D1043">
        <f>IF(_xlfn.XLOOKUP(A1043,PARAMETROS!A:A,PARAMETROS!D:D)=0,"",_xlfn.XLOOKUP(A1043,PARAMETROS!A:A,PARAMETROS!D:D))</f>
        <v>2</v>
      </c>
      <c r="E1043" t="str">
        <f>IF(_xlfn.XLOOKUP('PREENCHIMENTO|LETIVAS'!A1043,PARAMETROS!A:A,PARAMETROS!I:I)=0,"",_xlfn.XLOOKUP('PREENCHIMENTO|LETIVAS'!A1043,PARAMETROS!A:A,PARAMETROS!I:I))</f>
        <v>PROFESSOR DE ENSINO SUPERIOR EAD</v>
      </c>
      <c r="F1043" s="3" t="s">
        <v>53</v>
      </c>
      <c r="G1043" s="3" t="s">
        <v>54</v>
      </c>
      <c r="H1043" s="3" t="s">
        <v>55</v>
      </c>
      <c r="I1043" s="3" t="s">
        <v>40</v>
      </c>
      <c r="J1043" s="3" t="s">
        <v>1809</v>
      </c>
      <c r="K1043" s="3"/>
      <c r="L1043" s="19"/>
    </row>
    <row r="1044" spans="1:12">
      <c r="A1044" s="3" t="s">
        <v>659</v>
      </c>
      <c r="B1044" t="str">
        <f>IF(_xlfn.XLOOKUP(A1044,PARAMETROS!A:A,PARAMETROS!B:B)=0,"",_xlfn.XLOOKUP(A1044,PARAMETROS!A:A,PARAMETROS!B:B))</f>
        <v>012009002566</v>
      </c>
      <c r="C1044">
        <f>IF(_xlfn.XLOOKUP(A1044,PARAMETROS!A:A,PARAMETROS!C:C)=0,"",_xlfn.XLOOKUP(A1044,PARAMETROS!A:A,PARAMETROS!C:C))</f>
        <v>40</v>
      </c>
      <c r="D1044">
        <f>IF(_xlfn.XLOOKUP(A1044,PARAMETROS!A:A,PARAMETROS!D:D)=0,"",_xlfn.XLOOKUP(A1044,PARAMETROS!A:A,PARAMETROS!D:D))</f>
        <v>20</v>
      </c>
      <c r="E1044" t="str">
        <f>IF(_xlfn.XLOOKUP('PREENCHIMENTO|LETIVAS'!A1044,PARAMETROS!A:A,PARAMETROS!I:I)=0,"",_xlfn.XLOOKUP('PREENCHIMENTO|LETIVAS'!A1044,PARAMETROS!A:A,PARAMETROS!I:I))</f>
        <v>PROFESSOR REGENTE</v>
      </c>
      <c r="F1044" s="3" t="s">
        <v>53</v>
      </c>
      <c r="G1044" s="3" t="s">
        <v>54</v>
      </c>
      <c r="H1044" s="3" t="s">
        <v>55</v>
      </c>
      <c r="I1044" s="3" t="s">
        <v>33</v>
      </c>
      <c r="J1044" s="3" t="s">
        <v>1810</v>
      </c>
      <c r="K1044" s="3"/>
      <c r="L1044" s="19"/>
    </row>
    <row r="1045" spans="1:12">
      <c r="A1045" s="3" t="s">
        <v>659</v>
      </c>
      <c r="B1045" t="str">
        <f>IF(_xlfn.XLOOKUP(A1045,PARAMETROS!A:A,PARAMETROS!B:B)=0,"",_xlfn.XLOOKUP(A1045,PARAMETROS!A:A,PARAMETROS!B:B))</f>
        <v>012009002566</v>
      </c>
      <c r="C1045">
        <f>IF(_xlfn.XLOOKUP(A1045,PARAMETROS!A:A,PARAMETROS!C:C)=0,"",_xlfn.XLOOKUP(A1045,PARAMETROS!A:A,PARAMETROS!C:C))</f>
        <v>40</v>
      </c>
      <c r="D1045">
        <f>IF(_xlfn.XLOOKUP(A1045,PARAMETROS!A:A,PARAMETROS!D:D)=0,"",_xlfn.XLOOKUP(A1045,PARAMETROS!A:A,PARAMETROS!D:D))</f>
        <v>20</v>
      </c>
      <c r="E1045" t="str">
        <f>IF(_xlfn.XLOOKUP('PREENCHIMENTO|LETIVAS'!A1045,PARAMETROS!A:A,PARAMETROS!I:I)=0,"",_xlfn.XLOOKUP('PREENCHIMENTO|LETIVAS'!A1045,PARAMETROS!A:A,PARAMETROS!I:I))</f>
        <v>PROFESSOR REGENTE</v>
      </c>
      <c r="F1045" s="3" t="s">
        <v>53</v>
      </c>
      <c r="G1045" s="3">
        <v>1</v>
      </c>
      <c r="H1045" s="3" t="s">
        <v>32</v>
      </c>
      <c r="I1045" s="3" t="s">
        <v>33</v>
      </c>
      <c r="J1045" s="20" t="s">
        <v>1136</v>
      </c>
      <c r="K1045" s="3"/>
      <c r="L1045" s="19"/>
    </row>
    <row r="1046" spans="1:12">
      <c r="A1046" s="3" t="s">
        <v>659</v>
      </c>
      <c r="B1046" t="str">
        <f>IF(_xlfn.XLOOKUP(A1046,PARAMETROS!A:A,PARAMETROS!B:B)=0,"",_xlfn.XLOOKUP(A1046,PARAMETROS!A:A,PARAMETROS!B:B))</f>
        <v>012009002566</v>
      </c>
      <c r="C1046">
        <f>IF(_xlfn.XLOOKUP(A1046,PARAMETROS!A:A,PARAMETROS!C:C)=0,"",_xlfn.XLOOKUP(A1046,PARAMETROS!A:A,PARAMETROS!C:C))</f>
        <v>40</v>
      </c>
      <c r="D1046">
        <f>IF(_xlfn.XLOOKUP(A1046,PARAMETROS!A:A,PARAMETROS!D:D)=0,"",_xlfn.XLOOKUP(A1046,PARAMETROS!A:A,PARAMETROS!D:D))</f>
        <v>20</v>
      </c>
      <c r="E1046" t="str">
        <f>IF(_xlfn.XLOOKUP('PREENCHIMENTO|LETIVAS'!A1046,PARAMETROS!A:A,PARAMETROS!I:I)=0,"",_xlfn.XLOOKUP('PREENCHIMENTO|LETIVAS'!A1046,PARAMETROS!A:A,PARAMETROS!I:I))</f>
        <v>PROFESSOR REGENTE</v>
      </c>
      <c r="F1046" s="3" t="s">
        <v>53</v>
      </c>
      <c r="G1046" s="3">
        <v>2</v>
      </c>
      <c r="H1046" s="3" t="s">
        <v>32</v>
      </c>
      <c r="I1046" s="3" t="s">
        <v>33</v>
      </c>
      <c r="J1046" s="3" t="s">
        <v>1811</v>
      </c>
      <c r="K1046" s="3"/>
      <c r="L1046" s="19"/>
    </row>
    <row r="1047" spans="1:12">
      <c r="A1047" s="3" t="s">
        <v>818</v>
      </c>
      <c r="B1047" t="str">
        <f>IF(_xlfn.XLOOKUP(A1047,PARAMETROS!A:A,PARAMETROS!B:B)=0,"",_xlfn.XLOOKUP(A1047,PARAMETROS!A:A,PARAMETROS!B:B))</f>
        <v>012009007352</v>
      </c>
      <c r="C1047">
        <f>IF(_xlfn.XLOOKUP(A1047,PARAMETROS!A:A,PARAMETROS!C:C)=0,"",_xlfn.XLOOKUP(A1047,PARAMETROS!A:A,PARAMETROS!C:C))</f>
        <v>12</v>
      </c>
      <c r="D1047">
        <f>IF(_xlfn.XLOOKUP(A1047,PARAMETROS!A:A,PARAMETROS!D:D)=0,"",_xlfn.XLOOKUP(A1047,PARAMETROS!A:A,PARAMETROS!D:D))</f>
        <v>9</v>
      </c>
      <c r="E1047" t="str">
        <f>IF(_xlfn.XLOOKUP('PREENCHIMENTO|LETIVAS'!A1047,PARAMETROS!A:A,PARAMETROS!I:I)=0,"",_xlfn.XLOOKUP('PREENCHIMENTO|LETIVAS'!A1047,PARAMETROS!A:A,PARAMETROS!I:I))</f>
        <v>PROFESSOR REGENTE</v>
      </c>
      <c r="F1047" s="3" t="s">
        <v>53</v>
      </c>
      <c r="G1047" s="3" t="s">
        <v>54</v>
      </c>
      <c r="H1047" s="3" t="s">
        <v>55</v>
      </c>
      <c r="I1047" s="3" t="s">
        <v>33</v>
      </c>
      <c r="J1047" s="3" t="s">
        <v>1038</v>
      </c>
      <c r="K1047" s="3"/>
      <c r="L1047" s="19"/>
    </row>
    <row r="1048" spans="1:12">
      <c r="A1048" s="3" t="s">
        <v>577</v>
      </c>
      <c r="B1048" t="str">
        <f>IF(_xlfn.XLOOKUP(A1048,PARAMETROS!A:A,PARAMETROS!B:B)=0,"",_xlfn.XLOOKUP(A1048,PARAMETROS!A:A,PARAMETROS!B:B))</f>
        <v>012009006248</v>
      </c>
      <c r="C1048">
        <f>IF(_xlfn.XLOOKUP(A1048,PARAMETROS!A:A,PARAMETROS!C:C)=0,"",_xlfn.XLOOKUP(A1048,PARAMETROS!A:A,PARAMETROS!C:C))</f>
        <v>12</v>
      </c>
      <c r="D1048">
        <f>IF(_xlfn.XLOOKUP(A1048,PARAMETROS!A:A,PARAMETROS!D:D)=0,"",_xlfn.XLOOKUP(A1048,PARAMETROS!A:A,PARAMETROS!D:D))</f>
        <v>9</v>
      </c>
      <c r="E1048" t="str">
        <f>IF(_xlfn.XLOOKUP('PREENCHIMENTO|LETIVAS'!A1048,PARAMETROS!A:A,PARAMETROS!I:I)=0,"",_xlfn.XLOOKUP('PREENCHIMENTO|LETIVAS'!A1048,PARAMETROS!A:A,PARAMETROS!I:I))</f>
        <v>PROFESSOR REGENTE</v>
      </c>
      <c r="F1048" s="3" t="s">
        <v>53</v>
      </c>
      <c r="G1048" s="3" t="s">
        <v>54</v>
      </c>
      <c r="H1048" s="3" t="s">
        <v>55</v>
      </c>
      <c r="I1048" s="3" t="s">
        <v>33</v>
      </c>
      <c r="J1048" s="3" t="s">
        <v>1812</v>
      </c>
      <c r="K1048" s="3"/>
      <c r="L1048" s="19"/>
    </row>
    <row r="1049" spans="1:12">
      <c r="A1049" s="3" t="s">
        <v>294</v>
      </c>
      <c r="B1049" t="str">
        <f>IF(_xlfn.XLOOKUP(A1049,PARAMETROS!A:A,PARAMETROS!B:B)=0,"",_xlfn.XLOOKUP(A1049,PARAMETROS!A:A,PARAMETROS!B:B))</f>
        <v>012009006191</v>
      </c>
      <c r="C1049">
        <f>IF(_xlfn.XLOOKUP(A1049,PARAMETROS!A:A,PARAMETROS!C:C)=0,"",_xlfn.XLOOKUP(A1049,PARAMETROS!A:A,PARAMETROS!C:C))</f>
        <v>40</v>
      </c>
      <c r="D1049">
        <f>IF(_xlfn.XLOOKUP(A1049,PARAMETROS!A:A,PARAMETROS!D:D)=0,"",_xlfn.XLOOKUP(A1049,PARAMETROS!A:A,PARAMETROS!D:D))</f>
        <v>20</v>
      </c>
      <c r="E1049" t="str">
        <f>IF(_xlfn.XLOOKUP('PREENCHIMENTO|LETIVAS'!A1049,PARAMETROS!A:A,PARAMETROS!I:I)=0,"",_xlfn.XLOOKUP('PREENCHIMENTO|LETIVAS'!A1049,PARAMETROS!A:A,PARAMETROS!I:I))</f>
        <v>PROFESSOR REGENTE</v>
      </c>
      <c r="F1049" s="3" t="s">
        <v>53</v>
      </c>
      <c r="G1049" s="3" t="s">
        <v>54</v>
      </c>
      <c r="H1049" s="3" t="s">
        <v>55</v>
      </c>
      <c r="I1049" s="3" t="s">
        <v>40</v>
      </c>
      <c r="J1049" s="3" t="s">
        <v>1132</v>
      </c>
      <c r="K1049" s="3"/>
      <c r="L1049" s="19"/>
    </row>
    <row r="1050" spans="1:12">
      <c r="A1050" s="3" t="s">
        <v>502</v>
      </c>
      <c r="B1050" t="str">
        <f>IF(_xlfn.XLOOKUP(A1050,PARAMETROS!A:A,PARAMETROS!B:B)=0,"",_xlfn.XLOOKUP(A1050,PARAMETROS!A:A,PARAMETROS!B:B))</f>
        <v>012009003760</v>
      </c>
      <c r="C1050">
        <f>IF(_xlfn.XLOOKUP(A1050,PARAMETROS!A:A,PARAMETROS!C:C)=0,"",_xlfn.XLOOKUP(A1050,PARAMETROS!A:A,PARAMETROS!C:C))</f>
        <v>20</v>
      </c>
      <c r="D1050">
        <f>IF(_xlfn.XLOOKUP(A1050,PARAMETROS!A:A,PARAMETROS!D:D)=0,"",_xlfn.XLOOKUP(A1050,PARAMETROS!A:A,PARAMETROS!D:D))</f>
        <v>2</v>
      </c>
      <c r="E1050" t="str">
        <f>IF(_xlfn.XLOOKUP('PREENCHIMENTO|LETIVAS'!A1050,PARAMETROS!A:A,PARAMETROS!I:I)=0,"",_xlfn.XLOOKUP('PREENCHIMENTO|LETIVAS'!A1050,PARAMETROS!A:A,PARAMETROS!I:I))</f>
        <v>PROFESSOR DE ENSINO SUPERIOR EAD</v>
      </c>
      <c r="F1050" s="3" t="s">
        <v>53</v>
      </c>
      <c r="G1050" s="3">
        <v>1</v>
      </c>
      <c r="H1050" s="3" t="s">
        <v>32</v>
      </c>
      <c r="I1050" s="3" t="s">
        <v>40</v>
      </c>
      <c r="J1050" s="3" t="s">
        <v>1568</v>
      </c>
      <c r="K1050" s="3"/>
      <c r="L1050" s="19"/>
    </row>
    <row r="1051" spans="1:12">
      <c r="A1051" s="3" t="s">
        <v>787</v>
      </c>
      <c r="B1051" t="str">
        <f>IF(_xlfn.XLOOKUP(A1051,PARAMETROS!A:A,PARAMETROS!B:B)=0,"",_xlfn.XLOOKUP(A1051,PARAMETROS!A:A,PARAMETROS!B:B))</f>
        <v>012009007021</v>
      </c>
      <c r="C1051">
        <f>IF(_xlfn.XLOOKUP(A1051,PARAMETROS!A:A,PARAMETROS!C:C)=0,"",_xlfn.XLOOKUP(A1051,PARAMETROS!A:A,PARAMETROS!C:C))</f>
        <v>40</v>
      </c>
      <c r="D1051">
        <f>IF(_xlfn.XLOOKUP(A1051,PARAMETROS!A:A,PARAMETROS!D:D)=0,"",_xlfn.XLOOKUP(A1051,PARAMETROS!A:A,PARAMETROS!D:D))</f>
        <v>20</v>
      </c>
      <c r="E1051" t="str">
        <f>IF(_xlfn.XLOOKUP('PREENCHIMENTO|LETIVAS'!A1051,PARAMETROS!A:A,PARAMETROS!I:I)=0,"",_xlfn.XLOOKUP('PREENCHIMENTO|LETIVAS'!A1051,PARAMETROS!A:A,PARAMETROS!I:I))</f>
        <v>PROFESSOR REGENTE</v>
      </c>
      <c r="F1051" s="3" t="s">
        <v>53</v>
      </c>
      <c r="G1051" s="3" t="s">
        <v>54</v>
      </c>
      <c r="H1051" s="3" t="s">
        <v>39</v>
      </c>
      <c r="I1051" s="3" t="s">
        <v>40</v>
      </c>
      <c r="J1051" s="3" t="s">
        <v>1813</v>
      </c>
      <c r="K1051" s="3" t="s">
        <v>1544</v>
      </c>
      <c r="L1051" s="19"/>
    </row>
    <row r="1052" spans="1:12">
      <c r="A1052" s="3" t="s">
        <v>787</v>
      </c>
      <c r="B1052" t="str">
        <f>IF(_xlfn.XLOOKUP(A1052,PARAMETROS!A:A,PARAMETROS!B:B)=0,"",_xlfn.XLOOKUP(A1052,PARAMETROS!A:A,PARAMETROS!B:B))</f>
        <v>012009007021</v>
      </c>
      <c r="C1052">
        <f>IF(_xlfn.XLOOKUP(A1052,PARAMETROS!A:A,PARAMETROS!C:C)=0,"",_xlfn.XLOOKUP(A1052,PARAMETROS!A:A,PARAMETROS!C:C))</f>
        <v>40</v>
      </c>
      <c r="D1052">
        <f>IF(_xlfn.XLOOKUP(A1052,PARAMETROS!A:A,PARAMETROS!D:D)=0,"",_xlfn.XLOOKUP(A1052,PARAMETROS!A:A,PARAMETROS!D:D))</f>
        <v>20</v>
      </c>
      <c r="E1052" t="str">
        <f>IF(_xlfn.XLOOKUP('PREENCHIMENTO|LETIVAS'!A1052,PARAMETROS!A:A,PARAMETROS!I:I)=0,"",_xlfn.XLOOKUP('PREENCHIMENTO|LETIVAS'!A1052,PARAMETROS!A:A,PARAMETROS!I:I))</f>
        <v>PROFESSOR REGENTE</v>
      </c>
      <c r="F1052" s="3" t="s">
        <v>53</v>
      </c>
      <c r="G1052" s="3">
        <v>1</v>
      </c>
      <c r="H1052" s="3" t="s">
        <v>39</v>
      </c>
      <c r="I1052" s="3" t="s">
        <v>40</v>
      </c>
      <c r="J1052" s="3" t="s">
        <v>1814</v>
      </c>
      <c r="K1052" s="3"/>
      <c r="L1052" s="19"/>
    </row>
    <row r="1053" spans="1:12">
      <c r="A1053" s="3" t="s">
        <v>787</v>
      </c>
      <c r="B1053" t="str">
        <f>IF(_xlfn.XLOOKUP(A1053,PARAMETROS!A:A,PARAMETROS!B:B)=0,"",_xlfn.XLOOKUP(A1053,PARAMETROS!A:A,PARAMETROS!B:B))</f>
        <v>012009007021</v>
      </c>
      <c r="C1053">
        <f>IF(_xlfn.XLOOKUP(A1053,PARAMETROS!A:A,PARAMETROS!C:C)=0,"",_xlfn.XLOOKUP(A1053,PARAMETROS!A:A,PARAMETROS!C:C))</f>
        <v>40</v>
      </c>
      <c r="D1053">
        <f>IF(_xlfn.XLOOKUP(A1053,PARAMETROS!A:A,PARAMETROS!D:D)=0,"",_xlfn.XLOOKUP(A1053,PARAMETROS!A:A,PARAMETROS!D:D))</f>
        <v>20</v>
      </c>
      <c r="E1053" t="str">
        <f>IF(_xlfn.XLOOKUP('PREENCHIMENTO|LETIVAS'!A1053,PARAMETROS!A:A,PARAMETROS!I:I)=0,"",_xlfn.XLOOKUP('PREENCHIMENTO|LETIVAS'!A1053,PARAMETROS!A:A,PARAMETROS!I:I))</f>
        <v>PROFESSOR REGENTE</v>
      </c>
      <c r="F1053" s="3" t="s">
        <v>53</v>
      </c>
      <c r="G1053" s="3" t="s">
        <v>54</v>
      </c>
      <c r="H1053" s="3" t="s">
        <v>63</v>
      </c>
      <c r="I1053" s="3" t="s">
        <v>40</v>
      </c>
      <c r="J1053" s="3" t="s">
        <v>1815</v>
      </c>
      <c r="K1053" s="3" t="s">
        <v>1544</v>
      </c>
      <c r="L1053" s="19"/>
    </row>
    <row r="1054" spans="1:12">
      <c r="A1054" s="3" t="s">
        <v>787</v>
      </c>
      <c r="B1054" t="str">
        <f>IF(_xlfn.XLOOKUP(A1054,PARAMETROS!A:A,PARAMETROS!B:B)=0,"",_xlfn.XLOOKUP(A1054,PARAMETROS!A:A,PARAMETROS!B:B))</f>
        <v>012009007021</v>
      </c>
      <c r="C1054">
        <f>IF(_xlfn.XLOOKUP(A1054,PARAMETROS!A:A,PARAMETROS!C:C)=0,"",_xlfn.XLOOKUP(A1054,PARAMETROS!A:A,PARAMETROS!C:C))</f>
        <v>40</v>
      </c>
      <c r="D1054">
        <f>IF(_xlfn.XLOOKUP(A1054,PARAMETROS!A:A,PARAMETROS!D:D)=0,"",_xlfn.XLOOKUP(A1054,PARAMETROS!A:A,PARAMETROS!D:D))</f>
        <v>20</v>
      </c>
      <c r="E1054" t="str">
        <f>IF(_xlfn.XLOOKUP('PREENCHIMENTO|LETIVAS'!A1054,PARAMETROS!A:A,PARAMETROS!I:I)=0,"",_xlfn.XLOOKUP('PREENCHIMENTO|LETIVAS'!A1054,PARAMETROS!A:A,PARAMETROS!I:I))</f>
        <v>PROFESSOR REGENTE</v>
      </c>
      <c r="F1054" s="3" t="s">
        <v>53</v>
      </c>
      <c r="G1054" s="3" t="s">
        <v>54</v>
      </c>
      <c r="H1054" s="3" t="s">
        <v>63</v>
      </c>
      <c r="I1054" s="3" t="s">
        <v>40</v>
      </c>
      <c r="J1054" s="3" t="s">
        <v>1816</v>
      </c>
      <c r="K1054" s="3"/>
      <c r="L1054" s="19"/>
    </row>
    <row r="1055" spans="1:12">
      <c r="A1055" s="3" t="s">
        <v>429</v>
      </c>
      <c r="B1055" t="str">
        <f>IF(_xlfn.XLOOKUP(A1055,PARAMETROS!A:A,PARAMETROS!B:B)=0,"",_xlfn.XLOOKUP(A1055,PARAMETROS!A:A,PARAMETROS!B:B))</f>
        <v>012009004273</v>
      </c>
      <c r="C1055">
        <f>IF(_xlfn.XLOOKUP(A1055,PARAMETROS!A:A,PARAMETROS!C:C)=0,"",_xlfn.XLOOKUP(A1055,PARAMETROS!A:A,PARAMETROS!C:C))</f>
        <v>40</v>
      </c>
      <c r="D1055">
        <f>IF(_xlfn.XLOOKUP(A1055,PARAMETROS!A:A,PARAMETROS!D:D)=0,"",_xlfn.XLOOKUP(A1055,PARAMETROS!A:A,PARAMETROS!D:D))</f>
        <v>4</v>
      </c>
      <c r="E1055" t="str">
        <f>IF(_xlfn.XLOOKUP('PREENCHIMENTO|LETIVAS'!A1055,PARAMETROS!A:A,PARAMETROS!I:I)=0,"",_xlfn.XLOOKUP('PREENCHIMENTO|LETIVAS'!A1055,PARAMETROS!A:A,PARAMETROS!I:I))</f>
        <v>PROFESSOR DE ENSINO SUPERIOR EAD</v>
      </c>
      <c r="F1055" s="3" t="s">
        <v>53</v>
      </c>
      <c r="G1055" s="3">
        <v>1</v>
      </c>
      <c r="H1055" s="3" t="s">
        <v>39</v>
      </c>
      <c r="I1055" s="3" t="s">
        <v>33</v>
      </c>
      <c r="J1055" s="3" t="s">
        <v>1674</v>
      </c>
      <c r="K1055" s="3"/>
      <c r="L1055" s="19"/>
    </row>
    <row r="1056" spans="1:12">
      <c r="A1056" s="3" t="s">
        <v>429</v>
      </c>
      <c r="B1056" t="str">
        <f>IF(_xlfn.XLOOKUP(A1056,PARAMETROS!A:A,PARAMETROS!B:B)=0,"",_xlfn.XLOOKUP(A1056,PARAMETROS!A:A,PARAMETROS!B:B))</f>
        <v>012009004273</v>
      </c>
      <c r="C1056">
        <f>IF(_xlfn.XLOOKUP(A1056,PARAMETROS!A:A,PARAMETROS!C:C)=0,"",_xlfn.XLOOKUP(A1056,PARAMETROS!A:A,PARAMETROS!C:C))</f>
        <v>40</v>
      </c>
      <c r="D1056">
        <f>IF(_xlfn.XLOOKUP(A1056,PARAMETROS!A:A,PARAMETROS!D:D)=0,"",_xlfn.XLOOKUP(A1056,PARAMETROS!A:A,PARAMETROS!D:D))</f>
        <v>4</v>
      </c>
      <c r="E1056" t="str">
        <f>IF(_xlfn.XLOOKUP('PREENCHIMENTO|LETIVAS'!A1056,PARAMETROS!A:A,PARAMETROS!I:I)=0,"",_xlfn.XLOOKUP('PREENCHIMENTO|LETIVAS'!A1056,PARAMETROS!A:A,PARAMETROS!I:I))</f>
        <v>PROFESSOR DE ENSINO SUPERIOR EAD</v>
      </c>
      <c r="F1056" s="3" t="s">
        <v>53</v>
      </c>
      <c r="G1056" s="3">
        <v>1</v>
      </c>
      <c r="H1056" s="3" t="s">
        <v>39</v>
      </c>
      <c r="I1056" s="3" t="s">
        <v>33</v>
      </c>
      <c r="J1056" s="3" t="s">
        <v>1674</v>
      </c>
      <c r="K1056" s="3"/>
      <c r="L1056" s="19"/>
    </row>
    <row r="1057" spans="1:12">
      <c r="A1057" s="3" t="s">
        <v>132</v>
      </c>
      <c r="B1057" t="str">
        <f>IF(_xlfn.XLOOKUP(A1057,PARAMETROS!A:A,PARAMETROS!B:B)=0,"",_xlfn.XLOOKUP(A1057,PARAMETROS!A:A,PARAMETROS!B:B))</f>
        <v>012009003470</v>
      </c>
      <c r="C1057">
        <f>IF(_xlfn.XLOOKUP(A1057,PARAMETROS!A:A,PARAMETROS!C:C)=0,"",_xlfn.XLOOKUP(A1057,PARAMETROS!A:A,PARAMETROS!C:C))</f>
        <v>40</v>
      </c>
      <c r="D1057">
        <f>IF(_xlfn.XLOOKUP(A1057,PARAMETROS!A:A,PARAMETROS!D:D)=0,"",_xlfn.XLOOKUP(A1057,PARAMETROS!A:A,PARAMETROS!D:D))</f>
        <v>4</v>
      </c>
      <c r="E1057" t="str">
        <f>IF(_xlfn.XLOOKUP('PREENCHIMENTO|LETIVAS'!A1057,PARAMETROS!A:A,PARAMETROS!I:I)=0,"",_xlfn.XLOOKUP('PREENCHIMENTO|LETIVAS'!A1057,PARAMETROS!A:A,PARAMETROS!I:I))</f>
        <v>PROFESSOR DE ENSINO SUPERIOR EAD</v>
      </c>
      <c r="F1057" s="3" t="s">
        <v>53</v>
      </c>
      <c r="G1057" s="3">
        <v>2</v>
      </c>
      <c r="H1057" s="3" t="s">
        <v>55</v>
      </c>
      <c r="I1057" s="3" t="s">
        <v>40</v>
      </c>
      <c r="J1057" s="3" t="s">
        <v>1538</v>
      </c>
      <c r="K1057" s="3"/>
      <c r="L1057" s="19"/>
    </row>
    <row r="1058" spans="1:12">
      <c r="A1058" s="3" t="s">
        <v>132</v>
      </c>
      <c r="B1058" t="str">
        <f>IF(_xlfn.XLOOKUP(A1058,PARAMETROS!A:A,PARAMETROS!B:B)=0,"",_xlfn.XLOOKUP(A1058,PARAMETROS!A:A,PARAMETROS!B:B))</f>
        <v>012009003470</v>
      </c>
      <c r="C1058">
        <f>IF(_xlfn.XLOOKUP(A1058,PARAMETROS!A:A,PARAMETROS!C:C)=0,"",_xlfn.XLOOKUP(A1058,PARAMETROS!A:A,PARAMETROS!C:C))</f>
        <v>40</v>
      </c>
      <c r="D1058">
        <f>IF(_xlfn.XLOOKUP(A1058,PARAMETROS!A:A,PARAMETROS!D:D)=0,"",_xlfn.XLOOKUP(A1058,PARAMETROS!A:A,PARAMETROS!D:D))</f>
        <v>4</v>
      </c>
      <c r="E1058" t="str">
        <f>IF(_xlfn.XLOOKUP('PREENCHIMENTO|LETIVAS'!A1058,PARAMETROS!A:A,PARAMETROS!I:I)=0,"",_xlfn.XLOOKUP('PREENCHIMENTO|LETIVAS'!A1058,PARAMETROS!A:A,PARAMETROS!I:I))</f>
        <v>PROFESSOR DE ENSINO SUPERIOR EAD</v>
      </c>
      <c r="F1058" s="3" t="s">
        <v>53</v>
      </c>
      <c r="G1058" s="3">
        <v>2</v>
      </c>
      <c r="H1058" s="3" t="s">
        <v>55</v>
      </c>
      <c r="I1058" s="3" t="s">
        <v>33</v>
      </c>
      <c r="J1058" s="3" t="s">
        <v>1025</v>
      </c>
      <c r="K1058" s="3"/>
      <c r="L1058" s="19"/>
    </row>
    <row r="1059" spans="1:12">
      <c r="A1059" s="3" t="s">
        <v>420</v>
      </c>
      <c r="B1059" t="str">
        <f>IF(_xlfn.XLOOKUP(A1059,PARAMETROS!A:A,PARAMETROS!B:B)=0,"",_xlfn.XLOOKUP(A1059,PARAMETROS!A:A,PARAMETROS!B:B))</f>
        <v>012009006217</v>
      </c>
      <c r="C1059">
        <f>IF(_xlfn.XLOOKUP(A1059,PARAMETROS!A:A,PARAMETROS!C:C)=0,"",_xlfn.XLOOKUP(A1059,PARAMETROS!A:A,PARAMETROS!C:C))</f>
        <v>12</v>
      </c>
      <c r="D1059">
        <f>IF(_xlfn.XLOOKUP(A1059,PARAMETROS!A:A,PARAMETROS!D:D)=0,"",_xlfn.XLOOKUP(A1059,PARAMETROS!A:A,PARAMETROS!D:D))</f>
        <v>9</v>
      </c>
      <c r="E1059" t="str">
        <f>IF(_xlfn.XLOOKUP('PREENCHIMENTO|LETIVAS'!A1059,PARAMETROS!A:A,PARAMETROS!I:I)=0,"",_xlfn.XLOOKUP('PREENCHIMENTO|LETIVAS'!A1059,PARAMETROS!A:A,PARAMETROS!I:I))</f>
        <v>PROFESSOR REGENTE</v>
      </c>
      <c r="F1059" s="3" t="s">
        <v>53</v>
      </c>
      <c r="G1059" s="3">
        <v>1</v>
      </c>
      <c r="H1059" s="3" t="s">
        <v>63</v>
      </c>
      <c r="I1059" s="3" t="s">
        <v>33</v>
      </c>
      <c r="J1059" s="3" t="s">
        <v>1817</v>
      </c>
      <c r="K1059" s="3"/>
      <c r="L1059" s="19"/>
    </row>
    <row r="1060" spans="1:12">
      <c r="A1060" s="3" t="s">
        <v>420</v>
      </c>
      <c r="B1060" t="str">
        <f>IF(_xlfn.XLOOKUP(A1060,PARAMETROS!A:A,PARAMETROS!B:B)=0,"",_xlfn.XLOOKUP(A1060,PARAMETROS!A:A,PARAMETROS!B:B))</f>
        <v>012009006217</v>
      </c>
      <c r="C1060">
        <f>IF(_xlfn.XLOOKUP(A1060,PARAMETROS!A:A,PARAMETROS!C:C)=0,"",_xlfn.XLOOKUP(A1060,PARAMETROS!A:A,PARAMETROS!C:C))</f>
        <v>12</v>
      </c>
      <c r="D1060">
        <f>IF(_xlfn.XLOOKUP(A1060,PARAMETROS!A:A,PARAMETROS!D:D)=0,"",_xlfn.XLOOKUP(A1060,PARAMETROS!A:A,PARAMETROS!D:D))</f>
        <v>9</v>
      </c>
      <c r="E1060" t="str">
        <f>IF(_xlfn.XLOOKUP('PREENCHIMENTO|LETIVAS'!A1060,PARAMETROS!A:A,PARAMETROS!I:I)=0,"",_xlfn.XLOOKUP('PREENCHIMENTO|LETIVAS'!A1060,PARAMETROS!A:A,PARAMETROS!I:I))</f>
        <v>PROFESSOR REGENTE</v>
      </c>
      <c r="F1060" s="3" t="s">
        <v>53</v>
      </c>
      <c r="G1060" s="3">
        <v>2</v>
      </c>
      <c r="H1060" s="3" t="s">
        <v>63</v>
      </c>
      <c r="I1060" s="3" t="s">
        <v>33</v>
      </c>
      <c r="J1060" s="3" t="s">
        <v>1818</v>
      </c>
      <c r="K1060" s="3"/>
      <c r="L1060" s="19"/>
    </row>
    <row r="1061" spans="1:12">
      <c r="A1061" s="3" t="s">
        <v>420</v>
      </c>
      <c r="B1061" t="str">
        <f>IF(_xlfn.XLOOKUP(A1061,PARAMETROS!A:A,PARAMETROS!B:B)=0,"",_xlfn.XLOOKUP(A1061,PARAMETROS!A:A,PARAMETROS!B:B))</f>
        <v>012009006217</v>
      </c>
      <c r="C1061">
        <f>IF(_xlfn.XLOOKUP(A1061,PARAMETROS!A:A,PARAMETROS!C:C)=0,"",_xlfn.XLOOKUP(A1061,PARAMETROS!A:A,PARAMETROS!C:C))</f>
        <v>12</v>
      </c>
      <c r="D1061">
        <f>IF(_xlfn.XLOOKUP(A1061,PARAMETROS!A:A,PARAMETROS!D:D)=0,"",_xlfn.XLOOKUP(A1061,PARAMETROS!A:A,PARAMETROS!D:D))</f>
        <v>9</v>
      </c>
      <c r="E1061" t="str">
        <f>IF(_xlfn.XLOOKUP('PREENCHIMENTO|LETIVAS'!A1061,PARAMETROS!A:A,PARAMETROS!I:I)=0,"",_xlfn.XLOOKUP('PREENCHIMENTO|LETIVAS'!A1061,PARAMETROS!A:A,PARAMETROS!I:I))</f>
        <v>PROFESSOR REGENTE</v>
      </c>
      <c r="F1061" s="3" t="s">
        <v>53</v>
      </c>
      <c r="G1061" s="3">
        <v>2</v>
      </c>
      <c r="H1061" s="3" t="s">
        <v>63</v>
      </c>
      <c r="I1061" s="3" t="s">
        <v>40</v>
      </c>
      <c r="J1061" s="3" t="s">
        <v>1401</v>
      </c>
      <c r="K1061" s="3"/>
      <c r="L1061" s="19"/>
    </row>
    <row r="1062" spans="1:12">
      <c r="A1062" s="3" t="s">
        <v>420</v>
      </c>
      <c r="B1062" t="str">
        <f>IF(_xlfn.XLOOKUP(A1062,PARAMETROS!A:A,PARAMETROS!B:B)=0,"",_xlfn.XLOOKUP(A1062,PARAMETROS!A:A,PARAMETROS!B:B))</f>
        <v>012009006217</v>
      </c>
      <c r="C1062">
        <f>IF(_xlfn.XLOOKUP(A1062,PARAMETROS!A:A,PARAMETROS!C:C)=0,"",_xlfn.XLOOKUP(A1062,PARAMETROS!A:A,PARAMETROS!C:C))</f>
        <v>12</v>
      </c>
      <c r="D1062">
        <f>IF(_xlfn.XLOOKUP(A1062,PARAMETROS!A:A,PARAMETROS!D:D)=0,"",_xlfn.XLOOKUP(A1062,PARAMETROS!A:A,PARAMETROS!D:D))</f>
        <v>9</v>
      </c>
      <c r="E1062" t="str">
        <f>IF(_xlfn.XLOOKUP('PREENCHIMENTO|LETIVAS'!A1062,PARAMETROS!A:A,PARAMETROS!I:I)=0,"",_xlfn.XLOOKUP('PREENCHIMENTO|LETIVAS'!A1062,PARAMETROS!A:A,PARAMETROS!I:I))</f>
        <v>PROFESSOR REGENTE</v>
      </c>
      <c r="F1062" s="3" t="s">
        <v>53</v>
      </c>
      <c r="G1062" s="3">
        <v>1</v>
      </c>
      <c r="H1062" s="3" t="s">
        <v>63</v>
      </c>
      <c r="I1062" s="3" t="s">
        <v>40</v>
      </c>
      <c r="J1062" s="3" t="s">
        <v>1736</v>
      </c>
      <c r="K1062" s="3"/>
      <c r="L1062" s="19"/>
    </row>
    <row r="1063" spans="1:12">
      <c r="A1063" s="3" t="s">
        <v>559</v>
      </c>
      <c r="B1063" t="str">
        <f>IF(_xlfn.XLOOKUP(A1063,PARAMETROS!A:A,PARAMETROS!B:B)=0,"",_xlfn.XLOOKUP(A1063,PARAMETROS!A:A,PARAMETROS!B:B))</f>
        <v>012009006260</v>
      </c>
      <c r="C1063">
        <f>IF(_xlfn.XLOOKUP(A1063,PARAMETROS!A:A,PARAMETROS!C:C)=0,"",_xlfn.XLOOKUP(A1063,PARAMETROS!A:A,PARAMETROS!C:C))</f>
        <v>12</v>
      </c>
      <c r="D1063">
        <f>IF(_xlfn.XLOOKUP(A1063,PARAMETROS!A:A,PARAMETROS!D:D)=0,"",_xlfn.XLOOKUP(A1063,PARAMETROS!A:A,PARAMETROS!D:D))</f>
        <v>9</v>
      </c>
      <c r="E1063" t="str">
        <f>IF(_xlfn.XLOOKUP('PREENCHIMENTO|LETIVAS'!A1063,PARAMETROS!A:A,PARAMETROS!I:I)=0,"",_xlfn.XLOOKUP('PREENCHIMENTO|LETIVAS'!A1063,PARAMETROS!A:A,PARAMETROS!I:I))</f>
        <v>PROFESSOR REGENTE</v>
      </c>
      <c r="F1063" s="3" t="s">
        <v>53</v>
      </c>
      <c r="G1063" s="3">
        <v>2</v>
      </c>
      <c r="H1063" s="3" t="s">
        <v>63</v>
      </c>
      <c r="I1063" s="3" t="s">
        <v>33</v>
      </c>
      <c r="J1063" s="3" t="s">
        <v>1274</v>
      </c>
      <c r="K1063" s="3"/>
      <c r="L1063" s="19"/>
    </row>
    <row r="1064" spans="1:12">
      <c r="A1064" s="3"/>
      <c r="B1064" t="str">
        <f>IF(_xlfn.XLOOKUP(A1064,PARAMETROS!A:A,PARAMETROS!B:B)=0,"",_xlfn.XLOOKUP(A1064,PARAMETROS!A:A,PARAMETROS!B:B))</f>
        <v/>
      </c>
      <c r="C1064" t="str">
        <f>IF(_xlfn.XLOOKUP(A1064,PARAMETROS!A:A,PARAMETROS!C:C)=0,"",_xlfn.XLOOKUP(A1064,PARAMETROS!A:A,PARAMETROS!C:C))</f>
        <v/>
      </c>
      <c r="D1064" t="str">
        <f>IF(_xlfn.XLOOKUP(A1064,PARAMETROS!A:A,PARAMETROS!D:D)=0,"",_xlfn.XLOOKUP(A1064,PARAMETROS!A:A,PARAMETROS!D:D))</f>
        <v/>
      </c>
      <c r="E1064" t="str">
        <f>IF(_xlfn.XLOOKUP('PREENCHIMENTO|LETIVAS'!A1064,PARAMETROS!A:A,PARAMETROS!I:I)=0,"",_xlfn.XLOOKUP('PREENCHIMENTO|LETIVAS'!A1064,PARAMETROS!A:A,PARAMETROS!I:I))</f>
        <v/>
      </c>
      <c r="F1064" s="3"/>
      <c r="G1064" s="3"/>
      <c r="H1064" s="3"/>
      <c r="I1064" s="3"/>
      <c r="J1064" s="3"/>
      <c r="K1064" s="3"/>
      <c r="L1064" s="19"/>
    </row>
    <row r="1065" spans="1:12">
      <c r="A1065" s="3" t="s">
        <v>665</v>
      </c>
      <c r="B1065" t="str">
        <f>IF(_xlfn.XLOOKUP(A1065,PARAMETROS!A:A,PARAMETROS!B:B)=0,"",_xlfn.XLOOKUP(A1065,PARAMETROS!A:A,PARAMETROS!B:B))</f>
        <v>012009002461</v>
      </c>
      <c r="C1065">
        <f>IF(_xlfn.XLOOKUP(A1065,PARAMETROS!A:A,PARAMETROS!C:C)=0,"",_xlfn.XLOOKUP(A1065,PARAMETROS!A:A,PARAMETROS!C:C))</f>
        <v>40</v>
      </c>
      <c r="D1065">
        <f>IF(_xlfn.XLOOKUP(A1065,PARAMETROS!A:A,PARAMETROS!D:D)=0,"",_xlfn.XLOOKUP(A1065,PARAMETROS!A:A,PARAMETROS!D:D))</f>
        <v>20</v>
      </c>
      <c r="E1065" t="str">
        <f>IF(_xlfn.XLOOKUP('PREENCHIMENTO|LETIVAS'!A1065,PARAMETROS!A:A,PARAMETROS!I:I)=0,"",_xlfn.XLOOKUP('PREENCHIMENTO|LETIVAS'!A1065,PARAMETROS!A:A,PARAMETROS!I:I))</f>
        <v>PROFESSOR REGENTE</v>
      </c>
      <c r="F1065" s="3" t="s">
        <v>53</v>
      </c>
      <c r="G1065" s="3">
        <v>2</v>
      </c>
      <c r="H1065" s="3" t="s">
        <v>39</v>
      </c>
      <c r="I1065" s="3" t="s">
        <v>33</v>
      </c>
      <c r="J1065" s="3" t="s">
        <v>1819</v>
      </c>
      <c r="K1065" s="3"/>
      <c r="L1065" s="19"/>
    </row>
    <row r="1066" spans="1:12">
      <c r="A1066" s="3" t="s">
        <v>665</v>
      </c>
      <c r="B1066" t="str">
        <f>IF(_xlfn.XLOOKUP(A1066,PARAMETROS!A:A,PARAMETROS!B:B)=0,"",_xlfn.XLOOKUP(A1066,PARAMETROS!A:A,PARAMETROS!B:B))</f>
        <v>012009002461</v>
      </c>
      <c r="C1066">
        <f>IF(_xlfn.XLOOKUP(A1066,PARAMETROS!A:A,PARAMETROS!C:C)=0,"",_xlfn.XLOOKUP(A1066,PARAMETROS!A:A,PARAMETROS!C:C))</f>
        <v>40</v>
      </c>
      <c r="D1066">
        <f>IF(_xlfn.XLOOKUP(A1066,PARAMETROS!A:A,PARAMETROS!D:D)=0,"",_xlfn.XLOOKUP(A1066,PARAMETROS!A:A,PARAMETROS!D:D))</f>
        <v>20</v>
      </c>
      <c r="E1066" t="str">
        <f>IF(_xlfn.XLOOKUP('PREENCHIMENTO|LETIVAS'!A1066,PARAMETROS!A:A,PARAMETROS!I:I)=0,"",_xlfn.XLOOKUP('PREENCHIMENTO|LETIVAS'!A1066,PARAMETROS!A:A,PARAMETROS!I:I))</f>
        <v>PROFESSOR REGENTE</v>
      </c>
      <c r="F1066" s="3" t="s">
        <v>53</v>
      </c>
      <c r="G1066" s="3">
        <v>2</v>
      </c>
      <c r="H1066" s="3" t="s">
        <v>39</v>
      </c>
      <c r="I1066" s="3" t="s">
        <v>40</v>
      </c>
      <c r="J1066" s="3" t="s">
        <v>1820</v>
      </c>
      <c r="K1066" s="3"/>
      <c r="L1066" s="19"/>
    </row>
    <row r="1067" spans="1:12">
      <c r="A1067" s="3" t="s">
        <v>665</v>
      </c>
      <c r="B1067" t="str">
        <f>IF(_xlfn.XLOOKUP(A1067,PARAMETROS!A:A,PARAMETROS!B:B)=0,"",_xlfn.XLOOKUP(A1067,PARAMETROS!A:A,PARAMETROS!B:B))</f>
        <v>012009002461</v>
      </c>
      <c r="C1067">
        <f>IF(_xlfn.XLOOKUP(A1067,PARAMETROS!A:A,PARAMETROS!C:C)=0,"",_xlfn.XLOOKUP(A1067,PARAMETROS!A:A,PARAMETROS!C:C))</f>
        <v>40</v>
      </c>
      <c r="D1067">
        <f>IF(_xlfn.XLOOKUP(A1067,PARAMETROS!A:A,PARAMETROS!D:D)=0,"",_xlfn.XLOOKUP(A1067,PARAMETROS!A:A,PARAMETROS!D:D))</f>
        <v>20</v>
      </c>
      <c r="E1067" t="str">
        <f>IF(_xlfn.XLOOKUP('PREENCHIMENTO|LETIVAS'!A1067,PARAMETROS!A:A,PARAMETROS!I:I)=0,"",_xlfn.XLOOKUP('PREENCHIMENTO|LETIVAS'!A1067,PARAMETROS!A:A,PARAMETROS!I:I))</f>
        <v>PROFESSOR REGENTE</v>
      </c>
      <c r="F1067" s="3" t="s">
        <v>53</v>
      </c>
      <c r="G1067" s="3">
        <v>1</v>
      </c>
      <c r="H1067" s="3" t="s">
        <v>39</v>
      </c>
      <c r="I1067" s="3" t="s">
        <v>40</v>
      </c>
      <c r="J1067" s="3" t="s">
        <v>1821</v>
      </c>
      <c r="K1067" s="3"/>
      <c r="L1067" s="19"/>
    </row>
    <row r="1068" spans="1:12">
      <c r="A1068" s="3" t="s">
        <v>450</v>
      </c>
      <c r="B1068" t="str">
        <f>IF(_xlfn.XLOOKUP(A1068,PARAMETROS!A:A,PARAMETROS!B:B)=0,"",_xlfn.XLOOKUP(A1068,PARAMETROS!A:A,PARAMETROS!B:B))</f>
        <v>012009006220</v>
      </c>
      <c r="C1068">
        <f>IF(_xlfn.XLOOKUP(A1068,PARAMETROS!A:A,PARAMETROS!C:C)=0,"",_xlfn.XLOOKUP(A1068,PARAMETROS!A:A,PARAMETROS!C:C))</f>
        <v>12</v>
      </c>
      <c r="D1068">
        <f>IF(_xlfn.XLOOKUP(A1068,PARAMETROS!A:A,PARAMETROS!D:D)=0,"",_xlfn.XLOOKUP(A1068,PARAMETROS!A:A,PARAMETROS!D:D))</f>
        <v>9</v>
      </c>
      <c r="E1068" t="str">
        <f>IF(_xlfn.XLOOKUP('PREENCHIMENTO|LETIVAS'!A1068,PARAMETROS!A:A,PARAMETROS!I:I)=0,"",_xlfn.XLOOKUP('PREENCHIMENTO|LETIVAS'!A1068,PARAMETROS!A:A,PARAMETROS!I:I))</f>
        <v>PROFESSOR REGENTE</v>
      </c>
      <c r="F1068" s="3" t="s">
        <v>53</v>
      </c>
      <c r="G1068" s="3">
        <v>2</v>
      </c>
      <c r="H1068" s="3" t="s">
        <v>39</v>
      </c>
      <c r="I1068" s="3" t="s">
        <v>33</v>
      </c>
      <c r="J1068" s="3" t="s">
        <v>1776</v>
      </c>
      <c r="K1068" s="3"/>
      <c r="L1068" s="19"/>
    </row>
    <row r="1069" spans="1:12">
      <c r="A1069" s="3" t="s">
        <v>450</v>
      </c>
      <c r="B1069" t="str">
        <f>IF(_xlfn.XLOOKUP(A1069,PARAMETROS!A:A,PARAMETROS!B:B)=0,"",_xlfn.XLOOKUP(A1069,PARAMETROS!A:A,PARAMETROS!B:B))</f>
        <v>012009006220</v>
      </c>
      <c r="C1069">
        <f>IF(_xlfn.XLOOKUP(A1069,PARAMETROS!A:A,PARAMETROS!C:C)=0,"",_xlfn.XLOOKUP(A1069,PARAMETROS!A:A,PARAMETROS!C:C))</f>
        <v>12</v>
      </c>
      <c r="D1069">
        <f>IF(_xlfn.XLOOKUP(A1069,PARAMETROS!A:A,PARAMETROS!D:D)=0,"",_xlfn.XLOOKUP(A1069,PARAMETROS!A:A,PARAMETROS!D:D))</f>
        <v>9</v>
      </c>
      <c r="E1069" t="str">
        <f>IF(_xlfn.XLOOKUP('PREENCHIMENTO|LETIVAS'!A1069,PARAMETROS!A:A,PARAMETROS!I:I)=0,"",_xlfn.XLOOKUP('PREENCHIMENTO|LETIVAS'!A1069,PARAMETROS!A:A,PARAMETROS!I:I))</f>
        <v>PROFESSOR REGENTE</v>
      </c>
      <c r="F1069" s="3" t="s">
        <v>53</v>
      </c>
      <c r="G1069" s="3">
        <v>2</v>
      </c>
      <c r="H1069" s="3" t="s">
        <v>39</v>
      </c>
      <c r="I1069" s="3" t="s">
        <v>40</v>
      </c>
      <c r="J1069" s="3" t="s">
        <v>1822</v>
      </c>
      <c r="K1069" s="3"/>
      <c r="L1069" s="19"/>
    </row>
    <row r="1070" spans="1:12">
      <c r="A1070" s="3" t="s">
        <v>450</v>
      </c>
      <c r="B1070" t="str">
        <f>IF(_xlfn.XLOOKUP(A1070,PARAMETROS!A:A,PARAMETROS!B:B)=0,"",_xlfn.XLOOKUP(A1070,PARAMETROS!A:A,PARAMETROS!B:B))</f>
        <v>012009006220</v>
      </c>
      <c r="C1070">
        <f>IF(_xlfn.XLOOKUP(A1070,PARAMETROS!A:A,PARAMETROS!C:C)=0,"",_xlfn.XLOOKUP(A1070,PARAMETROS!A:A,PARAMETROS!C:C))</f>
        <v>12</v>
      </c>
      <c r="D1070">
        <f>IF(_xlfn.XLOOKUP(A1070,PARAMETROS!A:A,PARAMETROS!D:D)=0,"",_xlfn.XLOOKUP(A1070,PARAMETROS!A:A,PARAMETROS!D:D))</f>
        <v>9</v>
      </c>
      <c r="E1070" t="str">
        <f>IF(_xlfn.XLOOKUP('PREENCHIMENTO|LETIVAS'!A1070,PARAMETROS!A:A,PARAMETROS!I:I)=0,"",_xlfn.XLOOKUP('PREENCHIMENTO|LETIVAS'!A1070,PARAMETROS!A:A,PARAMETROS!I:I))</f>
        <v>PROFESSOR REGENTE</v>
      </c>
      <c r="F1070" s="3" t="s">
        <v>53</v>
      </c>
      <c r="G1070" s="3">
        <v>1</v>
      </c>
      <c r="H1070" s="3" t="s">
        <v>39</v>
      </c>
      <c r="I1070" s="3" t="s">
        <v>33</v>
      </c>
      <c r="J1070" s="3" t="s">
        <v>1823</v>
      </c>
      <c r="K1070" s="3"/>
      <c r="L1070" s="19"/>
    </row>
    <row r="1071" spans="1:12">
      <c r="A1071" s="3" t="s">
        <v>435</v>
      </c>
      <c r="B1071" t="str">
        <f>IF(_xlfn.XLOOKUP(A1071,PARAMETROS!A:A,PARAMETROS!B:B)=0,"",_xlfn.XLOOKUP(A1071,PARAMETROS!A:A,PARAMETROS!B:B))</f>
        <v>012009006219</v>
      </c>
      <c r="C1071">
        <f>IF(_xlfn.XLOOKUP(A1071,PARAMETROS!A:A,PARAMETROS!C:C)=0,"",_xlfn.XLOOKUP(A1071,PARAMETROS!A:A,PARAMETROS!C:C))</f>
        <v>12</v>
      </c>
      <c r="D1071">
        <f>IF(_xlfn.XLOOKUP(A1071,PARAMETROS!A:A,PARAMETROS!D:D)=0,"",_xlfn.XLOOKUP(A1071,PARAMETROS!A:A,PARAMETROS!D:D))</f>
        <v>9</v>
      </c>
      <c r="E1071" t="str">
        <f>IF(_xlfn.XLOOKUP('PREENCHIMENTO|LETIVAS'!A1071,PARAMETROS!A:A,PARAMETROS!I:I)=0,"",_xlfn.XLOOKUP('PREENCHIMENTO|LETIVAS'!A1071,PARAMETROS!A:A,PARAMETROS!I:I))</f>
        <v>PROFESSOR REGENTE</v>
      </c>
      <c r="F1071" s="3" t="s">
        <v>53</v>
      </c>
      <c r="G1071" s="3">
        <v>1</v>
      </c>
      <c r="H1071" s="3" t="s">
        <v>39</v>
      </c>
      <c r="I1071" s="3" t="s">
        <v>33</v>
      </c>
      <c r="J1071" s="3" t="s">
        <v>1824</v>
      </c>
      <c r="K1071" s="3"/>
      <c r="L1071" s="19"/>
    </row>
    <row r="1072" spans="1:12">
      <c r="A1072" s="3" t="s">
        <v>435</v>
      </c>
      <c r="B1072" t="str">
        <f>IF(_xlfn.XLOOKUP(A1072,PARAMETROS!A:A,PARAMETROS!B:B)=0,"",_xlfn.XLOOKUP(A1072,PARAMETROS!A:A,PARAMETROS!B:B))</f>
        <v>012009006219</v>
      </c>
      <c r="C1072">
        <f>IF(_xlfn.XLOOKUP(A1072,PARAMETROS!A:A,PARAMETROS!C:C)=0,"",_xlfn.XLOOKUP(A1072,PARAMETROS!A:A,PARAMETROS!C:C))</f>
        <v>12</v>
      </c>
      <c r="D1072">
        <f>IF(_xlfn.XLOOKUP(A1072,PARAMETROS!A:A,PARAMETROS!D:D)=0,"",_xlfn.XLOOKUP(A1072,PARAMETROS!A:A,PARAMETROS!D:D))</f>
        <v>9</v>
      </c>
      <c r="E1072" t="str">
        <f>IF(_xlfn.XLOOKUP('PREENCHIMENTO|LETIVAS'!A1072,PARAMETROS!A:A,PARAMETROS!I:I)=0,"",_xlfn.XLOOKUP('PREENCHIMENTO|LETIVAS'!A1072,PARAMETROS!A:A,PARAMETROS!I:I))</f>
        <v>PROFESSOR REGENTE</v>
      </c>
      <c r="F1072" s="3" t="s">
        <v>53</v>
      </c>
      <c r="G1072" s="3">
        <v>2</v>
      </c>
      <c r="H1072" s="3" t="s">
        <v>39</v>
      </c>
      <c r="I1072" s="3" t="s">
        <v>40</v>
      </c>
      <c r="J1072" s="3" t="s">
        <v>1825</v>
      </c>
      <c r="K1072" s="3"/>
      <c r="L1072" s="19"/>
    </row>
    <row r="1073" spans="1:12">
      <c r="A1073" s="3" t="s">
        <v>569</v>
      </c>
      <c r="B1073" t="str">
        <f>IF(_xlfn.XLOOKUP(A1073,PARAMETROS!A:A,PARAMETROS!B:B)=0,"",_xlfn.XLOOKUP(A1073,PARAMETROS!A:A,PARAMETROS!B:B))</f>
        <v>012009006257</v>
      </c>
      <c r="C1073">
        <f>IF(_xlfn.XLOOKUP(A1073,PARAMETROS!A:A,PARAMETROS!C:C)=0,"",_xlfn.XLOOKUP(A1073,PARAMETROS!A:A,PARAMETROS!C:C))</f>
        <v>12</v>
      </c>
      <c r="D1073">
        <f>IF(_xlfn.XLOOKUP(A1073,PARAMETROS!A:A,PARAMETROS!D:D)=0,"",_xlfn.XLOOKUP(A1073,PARAMETROS!A:A,PARAMETROS!D:D))</f>
        <v>9</v>
      </c>
      <c r="E1073" t="str">
        <f>IF(_xlfn.XLOOKUP('PREENCHIMENTO|LETIVAS'!A1073,PARAMETROS!A:A,PARAMETROS!I:I)=0,"",_xlfn.XLOOKUP('PREENCHIMENTO|LETIVAS'!A1073,PARAMETROS!A:A,PARAMETROS!I:I))</f>
        <v>PROFESSOR REGENTE</v>
      </c>
      <c r="F1073" s="3" t="s">
        <v>53</v>
      </c>
      <c r="G1073" s="3">
        <v>2</v>
      </c>
      <c r="H1073" s="3" t="s">
        <v>32</v>
      </c>
      <c r="I1073" s="3" t="s">
        <v>33</v>
      </c>
      <c r="J1073" s="3" t="s">
        <v>1677</v>
      </c>
      <c r="K1073" s="3"/>
      <c r="L1073" s="19"/>
    </row>
    <row r="1074" spans="1:12">
      <c r="A1074" s="3" t="s">
        <v>303</v>
      </c>
      <c r="B1074" t="str">
        <f>IF(_xlfn.XLOOKUP(A1074,PARAMETROS!A:A,PARAMETROS!B:B)=0,"",_xlfn.XLOOKUP(A1074,PARAMETROS!A:A,PARAMETROS!B:B))</f>
        <v>012009006234</v>
      </c>
      <c r="C1074">
        <f>IF(_xlfn.XLOOKUP(A1074,PARAMETROS!A:A,PARAMETROS!C:C)=0,"",_xlfn.XLOOKUP(A1074,PARAMETROS!A:A,PARAMETROS!C:C))</f>
        <v>12</v>
      </c>
      <c r="D1074">
        <f>IF(_xlfn.XLOOKUP(A1074,PARAMETROS!A:A,PARAMETROS!D:D)=0,"",_xlfn.XLOOKUP(A1074,PARAMETROS!A:A,PARAMETROS!D:D))</f>
        <v>9</v>
      </c>
      <c r="E1074" t="str">
        <f>IF(_xlfn.XLOOKUP('PREENCHIMENTO|LETIVAS'!A1074,PARAMETROS!A:A,PARAMETROS!I:I)=0,"",_xlfn.XLOOKUP('PREENCHIMENTO|LETIVAS'!A1074,PARAMETROS!A:A,PARAMETROS!I:I))</f>
        <v>PROFESSOR REGENTE</v>
      </c>
      <c r="F1074" s="3" t="s">
        <v>53</v>
      </c>
      <c r="G1074" s="3">
        <v>2</v>
      </c>
      <c r="H1074" s="3" t="s">
        <v>32</v>
      </c>
      <c r="I1074" s="3" t="s">
        <v>40</v>
      </c>
      <c r="J1074" s="3" t="s">
        <v>960</v>
      </c>
      <c r="K1074" s="3"/>
      <c r="L1074" s="19"/>
    </row>
    <row r="1075" spans="1:12">
      <c r="A1075" s="3" t="s">
        <v>426</v>
      </c>
      <c r="B1075" t="str">
        <f>IF(_xlfn.XLOOKUP(A1075,PARAMETROS!A:A,PARAMETROS!B:B)=0,"",_xlfn.XLOOKUP(A1075,PARAMETROS!A:A,PARAMETROS!B:B))</f>
        <v>012009004311</v>
      </c>
      <c r="C1075">
        <f>IF(_xlfn.XLOOKUP(A1075,PARAMETROS!A:A,PARAMETROS!C:C)=0,"",_xlfn.XLOOKUP(A1075,PARAMETROS!A:A,PARAMETROS!C:C))</f>
        <v>20</v>
      </c>
      <c r="D1075">
        <f>IF(_xlfn.XLOOKUP(A1075,PARAMETROS!A:A,PARAMETROS!D:D)=0,"",_xlfn.XLOOKUP(A1075,PARAMETROS!A:A,PARAMETROS!D:D))</f>
        <v>2</v>
      </c>
      <c r="E1075" t="str">
        <f>IF(_xlfn.XLOOKUP('PREENCHIMENTO|LETIVAS'!A1075,PARAMETROS!A:A,PARAMETROS!I:I)=0,"",_xlfn.XLOOKUP('PREENCHIMENTO|LETIVAS'!A1075,PARAMETROS!A:A,PARAMETROS!I:I))</f>
        <v>PROFESSOR DE ENSINO SUPERIOR EAD</v>
      </c>
      <c r="F1075" s="3" t="s">
        <v>53</v>
      </c>
      <c r="G1075" s="3">
        <v>2</v>
      </c>
      <c r="H1075" s="3" t="s">
        <v>39</v>
      </c>
      <c r="I1075" s="3" t="s">
        <v>33</v>
      </c>
      <c r="J1075" s="3" t="s">
        <v>1664</v>
      </c>
      <c r="K1075" s="3"/>
      <c r="L1075" s="19"/>
    </row>
    <row r="1076" spans="1:12">
      <c r="A1076" s="3" t="s">
        <v>398</v>
      </c>
      <c r="B1076" t="str">
        <f>IF(_xlfn.XLOOKUP(A1076,PARAMETROS!A:A,PARAMETROS!B:B)=0,"",_xlfn.XLOOKUP(A1076,PARAMETROS!A:A,PARAMETROS!B:B))</f>
        <v>012009006236</v>
      </c>
      <c r="C1076">
        <f>IF(_xlfn.XLOOKUP(A1076,PARAMETROS!A:A,PARAMETROS!C:C)=0,"",_xlfn.XLOOKUP(A1076,PARAMETROS!A:A,PARAMETROS!C:C))</f>
        <v>12</v>
      </c>
      <c r="D1076">
        <f>IF(_xlfn.XLOOKUP(A1076,PARAMETROS!A:A,PARAMETROS!D:D)=0,"",_xlfn.XLOOKUP(A1076,PARAMETROS!A:A,PARAMETROS!D:D))</f>
        <v>9</v>
      </c>
      <c r="E1076" t="str">
        <f>IF(_xlfn.XLOOKUP('PREENCHIMENTO|LETIVAS'!A1076,PARAMETROS!A:A,PARAMETROS!I:I)=0,"",_xlfn.XLOOKUP('PREENCHIMENTO|LETIVAS'!A1076,PARAMETROS!A:A,PARAMETROS!I:I))</f>
        <v>PROFESSOR REGENTE</v>
      </c>
      <c r="F1076" s="3" t="s">
        <v>53</v>
      </c>
      <c r="G1076" s="3" t="s">
        <v>54</v>
      </c>
      <c r="H1076" s="3" t="s">
        <v>55</v>
      </c>
      <c r="I1076" s="3" t="s">
        <v>40</v>
      </c>
      <c r="J1076" s="3" t="s">
        <v>1826</v>
      </c>
      <c r="K1076" s="3"/>
      <c r="L1076" s="19"/>
    </row>
    <row r="1077" spans="1:12">
      <c r="A1077" s="3" t="s">
        <v>453</v>
      </c>
      <c r="B1077" t="str">
        <f>IF(_xlfn.XLOOKUP(A1077,PARAMETROS!A:A,PARAMETROS!B:B)=0,"",_xlfn.XLOOKUP(A1077,PARAMETROS!A:A,PARAMETROS!B:B))</f>
        <v>012009004151</v>
      </c>
      <c r="C1077">
        <f>IF(_xlfn.XLOOKUP(A1077,PARAMETROS!A:A,PARAMETROS!C:C)=0,"",_xlfn.XLOOKUP(A1077,PARAMETROS!A:A,PARAMETROS!C:C))</f>
        <v>20</v>
      </c>
      <c r="D1077">
        <f>IF(_xlfn.XLOOKUP(A1077,PARAMETROS!A:A,PARAMETROS!D:D)=0,"",_xlfn.XLOOKUP(A1077,PARAMETROS!A:A,PARAMETROS!D:D))</f>
        <v>2</v>
      </c>
      <c r="E1077" t="str">
        <f>IF(_xlfn.XLOOKUP('PREENCHIMENTO|LETIVAS'!A1077,PARAMETROS!A:A,PARAMETROS!I:I)=0,"",_xlfn.XLOOKUP('PREENCHIMENTO|LETIVAS'!A1077,PARAMETROS!A:A,PARAMETROS!I:I))</f>
        <v>PROFESSOR DE ENSINO SUPERIOR EAD</v>
      </c>
      <c r="F1077" s="3" t="s">
        <v>53</v>
      </c>
      <c r="G1077" s="3">
        <v>2</v>
      </c>
      <c r="H1077" s="3" t="s">
        <v>63</v>
      </c>
      <c r="I1077" s="3" t="s">
        <v>33</v>
      </c>
      <c r="J1077" s="3" t="s">
        <v>1827</v>
      </c>
      <c r="K1077" s="3"/>
      <c r="L1077" s="19"/>
    </row>
    <row r="1078" spans="1:12">
      <c r="A1078" s="3" t="s">
        <v>453</v>
      </c>
      <c r="B1078" t="str">
        <f>IF(_xlfn.XLOOKUP(A1078,PARAMETROS!A:A,PARAMETROS!B:B)=0,"",_xlfn.XLOOKUP(A1078,PARAMETROS!A:A,PARAMETROS!B:B))</f>
        <v>012009004151</v>
      </c>
      <c r="C1078">
        <f>IF(_xlfn.XLOOKUP(A1078,PARAMETROS!A:A,PARAMETROS!C:C)=0,"",_xlfn.XLOOKUP(A1078,PARAMETROS!A:A,PARAMETROS!C:C))</f>
        <v>20</v>
      </c>
      <c r="D1078">
        <f>IF(_xlfn.XLOOKUP(A1078,PARAMETROS!A:A,PARAMETROS!D:D)=0,"",_xlfn.XLOOKUP(A1078,PARAMETROS!A:A,PARAMETROS!D:D))</f>
        <v>2</v>
      </c>
      <c r="E1078" t="str">
        <f>IF(_xlfn.XLOOKUP('PREENCHIMENTO|LETIVAS'!A1078,PARAMETROS!A:A,PARAMETROS!I:I)=0,"",_xlfn.XLOOKUP('PREENCHIMENTO|LETIVAS'!A1078,PARAMETROS!A:A,PARAMETROS!I:I))</f>
        <v>PROFESSOR DE ENSINO SUPERIOR EAD</v>
      </c>
      <c r="F1078" s="3" t="s">
        <v>53</v>
      </c>
      <c r="G1078" s="3">
        <v>1</v>
      </c>
      <c r="H1078" s="3" t="s">
        <v>63</v>
      </c>
      <c r="I1078" s="3" t="s">
        <v>40</v>
      </c>
      <c r="J1078" s="3" t="s">
        <v>1828</v>
      </c>
      <c r="K1078" s="3"/>
      <c r="L1078" s="19"/>
    </row>
    <row r="1079" spans="1:12">
      <c r="A1079" s="3" t="s">
        <v>371</v>
      </c>
      <c r="B1079" t="str">
        <f>IF(_xlfn.XLOOKUP(A1079,PARAMETROS!A:A,PARAMETROS!B:B)=0,"",_xlfn.XLOOKUP(A1079,PARAMETROS!A:A,PARAMETROS!B:B))</f>
        <v>012009003875</v>
      </c>
      <c r="C1079">
        <f>IF(_xlfn.XLOOKUP(A1079,PARAMETROS!A:A,PARAMETROS!C:C)=0,"",_xlfn.XLOOKUP(A1079,PARAMETROS!A:A,PARAMETROS!C:C))</f>
        <v>20</v>
      </c>
      <c r="D1079">
        <f>IF(_xlfn.XLOOKUP(A1079,PARAMETROS!A:A,PARAMETROS!D:D)=0,"",_xlfn.XLOOKUP(A1079,PARAMETROS!A:A,PARAMETROS!D:D))</f>
        <v>2</v>
      </c>
      <c r="E1079" t="str">
        <f>IF(_xlfn.XLOOKUP('PREENCHIMENTO|LETIVAS'!A1079,PARAMETROS!A:A,PARAMETROS!I:I)=0,"",_xlfn.XLOOKUP('PREENCHIMENTO|LETIVAS'!A1079,PARAMETROS!A:A,PARAMETROS!I:I))</f>
        <v>PROFESSOR DE ENSINO SUPERIOR EAD</v>
      </c>
      <c r="F1079" s="3" t="s">
        <v>53</v>
      </c>
      <c r="G1079" s="3">
        <v>2</v>
      </c>
      <c r="H1079" s="3" t="s">
        <v>63</v>
      </c>
      <c r="I1079" s="3" t="s">
        <v>40</v>
      </c>
      <c r="J1079" s="3" t="s">
        <v>1829</v>
      </c>
      <c r="K1079" s="3"/>
      <c r="L1079" s="19"/>
    </row>
    <row r="1080" spans="1:12">
      <c r="A1080" s="3" t="s">
        <v>246</v>
      </c>
      <c r="B1080" t="str">
        <f>IF(_xlfn.XLOOKUP(A1080,PARAMETROS!A:A,PARAMETROS!B:B)=0,"",_xlfn.XLOOKUP(A1080,PARAMETROS!A:A,PARAMETROS!B:B))</f>
        <v>012009003455</v>
      </c>
      <c r="C1080">
        <f>IF(_xlfn.XLOOKUP(A1080,PARAMETROS!A:A,PARAMETROS!C:C)=0,"",_xlfn.XLOOKUP(A1080,PARAMETROS!A:A,PARAMETROS!C:C))</f>
        <v>40</v>
      </c>
      <c r="D1080">
        <f>IF(_xlfn.XLOOKUP(A1080,PARAMETROS!A:A,PARAMETROS!D:D)=0,"",_xlfn.XLOOKUP(A1080,PARAMETROS!A:A,PARAMETROS!D:D))</f>
        <v>4</v>
      </c>
      <c r="E1080" t="str">
        <f>IF(_xlfn.XLOOKUP('PREENCHIMENTO|LETIVAS'!A1080,PARAMETROS!A:A,PARAMETROS!I:I)=0,"",_xlfn.XLOOKUP('PREENCHIMENTO|LETIVAS'!A1080,PARAMETROS!A:A,PARAMETROS!I:I))</f>
        <v>PROFESSOR DE ENSINO SUPERIOR EAD</v>
      </c>
      <c r="F1080" s="3" t="s">
        <v>53</v>
      </c>
      <c r="G1080" s="3">
        <v>2</v>
      </c>
      <c r="H1080" s="3" t="s">
        <v>32</v>
      </c>
      <c r="I1080" s="3" t="s">
        <v>40</v>
      </c>
      <c r="J1080" s="3" t="s">
        <v>1565</v>
      </c>
      <c r="K1080" s="3"/>
      <c r="L1080" s="19"/>
    </row>
    <row r="1081" spans="1:12">
      <c r="A1081" s="3" t="s">
        <v>337</v>
      </c>
      <c r="B1081" t="str">
        <f>IF(_xlfn.XLOOKUP(A1081,PARAMETROS!A:A,PARAMETROS!B:B)=0,"",_xlfn.XLOOKUP(A1081,PARAMETROS!A:A,PARAMETROS!B:B))</f>
        <v>012009006216</v>
      </c>
      <c r="C1081">
        <f>IF(_xlfn.XLOOKUP(A1081,PARAMETROS!A:A,PARAMETROS!C:C)=0,"",_xlfn.XLOOKUP(A1081,PARAMETROS!A:A,PARAMETROS!C:C))</f>
        <v>12</v>
      </c>
      <c r="D1081">
        <f>IF(_xlfn.XLOOKUP(A1081,PARAMETROS!A:A,PARAMETROS!D:D)=0,"",_xlfn.XLOOKUP(A1081,PARAMETROS!A:A,PARAMETROS!D:D))</f>
        <v>9</v>
      </c>
      <c r="E1081" t="str">
        <f>IF(_xlfn.XLOOKUP('PREENCHIMENTO|LETIVAS'!A1081,PARAMETROS!A:A,PARAMETROS!I:I)=0,"",_xlfn.XLOOKUP('PREENCHIMENTO|LETIVAS'!A1081,PARAMETROS!A:A,PARAMETROS!I:I))</f>
        <v>PROFESSOR REGENTE</v>
      </c>
      <c r="F1081" s="3" t="s">
        <v>53</v>
      </c>
      <c r="G1081" s="3">
        <v>1</v>
      </c>
      <c r="H1081" s="3" t="s">
        <v>32</v>
      </c>
      <c r="I1081" s="3" t="s">
        <v>40</v>
      </c>
      <c r="J1081" s="3" t="s">
        <v>1830</v>
      </c>
      <c r="K1081" s="3"/>
      <c r="L1081" s="19"/>
    </row>
    <row r="1082" spans="1:12">
      <c r="A1082" s="3" t="s">
        <v>337</v>
      </c>
      <c r="B1082" t="str">
        <f>IF(_xlfn.XLOOKUP(A1082,PARAMETROS!A:A,PARAMETROS!B:B)=0,"",_xlfn.XLOOKUP(A1082,PARAMETROS!A:A,PARAMETROS!B:B))</f>
        <v>012009006216</v>
      </c>
      <c r="C1082">
        <f>IF(_xlfn.XLOOKUP(A1082,PARAMETROS!A:A,PARAMETROS!C:C)=0,"",_xlfn.XLOOKUP(A1082,PARAMETROS!A:A,PARAMETROS!C:C))</f>
        <v>12</v>
      </c>
      <c r="D1082">
        <f>IF(_xlfn.XLOOKUP(A1082,PARAMETROS!A:A,PARAMETROS!D:D)=0,"",_xlfn.XLOOKUP(A1082,PARAMETROS!A:A,PARAMETROS!D:D))</f>
        <v>9</v>
      </c>
      <c r="E1082" t="str">
        <f>IF(_xlfn.XLOOKUP('PREENCHIMENTO|LETIVAS'!A1082,PARAMETROS!A:A,PARAMETROS!I:I)=0,"",_xlfn.XLOOKUP('PREENCHIMENTO|LETIVAS'!A1082,PARAMETROS!A:A,PARAMETROS!I:I))</f>
        <v>PROFESSOR REGENTE</v>
      </c>
      <c r="F1082" s="3" t="s">
        <v>53</v>
      </c>
      <c r="G1082" s="3">
        <v>2</v>
      </c>
      <c r="H1082" s="3" t="s">
        <v>32</v>
      </c>
      <c r="I1082" s="3" t="s">
        <v>40</v>
      </c>
      <c r="J1082" s="3" t="s">
        <v>1831</v>
      </c>
      <c r="K1082" s="3"/>
      <c r="L1082" s="19"/>
    </row>
    <row r="1083" spans="1:12">
      <c r="A1083" s="3" t="s">
        <v>614</v>
      </c>
      <c r="B1083" t="str">
        <f>IF(_xlfn.XLOOKUP(A1083,PARAMETROS!A:A,PARAMETROS!B:B)=0,"",_xlfn.XLOOKUP(A1083,PARAMETROS!A:A,PARAMETROS!B:B))</f>
        <v>012009006307</v>
      </c>
      <c r="C1083">
        <f>IF(_xlfn.XLOOKUP(A1083,PARAMETROS!A:A,PARAMETROS!C:C)=0,"",_xlfn.XLOOKUP(A1083,PARAMETROS!A:A,PARAMETROS!C:C))</f>
        <v>12</v>
      </c>
      <c r="D1083">
        <f>IF(_xlfn.XLOOKUP(A1083,PARAMETROS!A:A,PARAMETROS!D:D)=0,"",_xlfn.XLOOKUP(A1083,PARAMETROS!A:A,PARAMETROS!D:D))</f>
        <v>9</v>
      </c>
      <c r="E1083" t="str">
        <f>IF(_xlfn.XLOOKUP('PREENCHIMENTO|LETIVAS'!A1083,PARAMETROS!A:A,PARAMETROS!I:I)=0,"",_xlfn.XLOOKUP('PREENCHIMENTO|LETIVAS'!A1083,PARAMETROS!A:A,PARAMETROS!I:I))</f>
        <v>PROFESSOR REGENTE</v>
      </c>
      <c r="F1083" s="3" t="s">
        <v>53</v>
      </c>
      <c r="G1083" s="3">
        <v>2</v>
      </c>
      <c r="H1083" s="3" t="s">
        <v>39</v>
      </c>
      <c r="I1083" s="3" t="s">
        <v>33</v>
      </c>
      <c r="J1083" s="3" t="s">
        <v>1028</v>
      </c>
      <c r="K1083" s="3"/>
      <c r="L1083" s="19"/>
    </row>
    <row r="1084" spans="1:12">
      <c r="A1084" s="3" t="s">
        <v>614</v>
      </c>
      <c r="B1084" t="str">
        <f>IF(_xlfn.XLOOKUP(A1084,PARAMETROS!A:A,PARAMETROS!B:B)=0,"",_xlfn.XLOOKUP(A1084,PARAMETROS!A:A,PARAMETROS!B:B))</f>
        <v>012009006307</v>
      </c>
      <c r="C1084">
        <f>IF(_xlfn.XLOOKUP(A1084,PARAMETROS!A:A,PARAMETROS!C:C)=0,"",_xlfn.XLOOKUP(A1084,PARAMETROS!A:A,PARAMETROS!C:C))</f>
        <v>12</v>
      </c>
      <c r="D1084">
        <f>IF(_xlfn.XLOOKUP(A1084,PARAMETROS!A:A,PARAMETROS!D:D)=0,"",_xlfn.XLOOKUP(A1084,PARAMETROS!A:A,PARAMETROS!D:D))</f>
        <v>9</v>
      </c>
      <c r="E1084" t="str">
        <f>IF(_xlfn.XLOOKUP('PREENCHIMENTO|LETIVAS'!A1084,PARAMETROS!A:A,PARAMETROS!I:I)=0,"",_xlfn.XLOOKUP('PREENCHIMENTO|LETIVAS'!A1084,PARAMETROS!A:A,PARAMETROS!I:I))</f>
        <v>PROFESSOR REGENTE</v>
      </c>
      <c r="F1084" s="3" t="s">
        <v>53</v>
      </c>
      <c r="G1084" s="3">
        <v>1</v>
      </c>
      <c r="H1084" s="3" t="s">
        <v>39</v>
      </c>
      <c r="I1084" s="3" t="s">
        <v>40</v>
      </c>
      <c r="J1084" s="3" t="s">
        <v>1832</v>
      </c>
      <c r="K1084" s="3"/>
      <c r="L1084" s="19"/>
    </row>
    <row r="1085" spans="1:12">
      <c r="A1085" s="3" t="s">
        <v>614</v>
      </c>
      <c r="B1085" t="str">
        <f>IF(_xlfn.XLOOKUP(A1085,PARAMETROS!A:A,PARAMETROS!B:B)=0,"",_xlfn.XLOOKUP(A1085,PARAMETROS!A:A,PARAMETROS!B:B))</f>
        <v>012009006307</v>
      </c>
      <c r="C1085">
        <f>IF(_xlfn.XLOOKUP(A1085,PARAMETROS!A:A,PARAMETROS!C:C)=0,"",_xlfn.XLOOKUP(A1085,PARAMETROS!A:A,PARAMETROS!C:C))</f>
        <v>12</v>
      </c>
      <c r="D1085">
        <f>IF(_xlfn.XLOOKUP(A1085,PARAMETROS!A:A,PARAMETROS!D:D)=0,"",_xlfn.XLOOKUP(A1085,PARAMETROS!A:A,PARAMETROS!D:D))</f>
        <v>9</v>
      </c>
      <c r="E1085" t="str">
        <f>IF(_xlfn.XLOOKUP('PREENCHIMENTO|LETIVAS'!A1085,PARAMETROS!A:A,PARAMETROS!I:I)=0,"",_xlfn.XLOOKUP('PREENCHIMENTO|LETIVAS'!A1085,PARAMETROS!A:A,PARAMETROS!I:I))</f>
        <v>PROFESSOR REGENTE</v>
      </c>
      <c r="F1085" s="3" t="s">
        <v>53</v>
      </c>
      <c r="G1085" s="3">
        <v>2</v>
      </c>
      <c r="H1085" s="3" t="s">
        <v>39</v>
      </c>
      <c r="I1085" s="3" t="s">
        <v>40</v>
      </c>
      <c r="J1085" s="3" t="s">
        <v>1833</v>
      </c>
      <c r="K1085" s="3"/>
      <c r="L1085" s="19"/>
    </row>
    <row r="1086" spans="1:12">
      <c r="A1086" s="3" t="s">
        <v>626</v>
      </c>
      <c r="B1086" t="str">
        <f>IF(_xlfn.XLOOKUP(A1086,PARAMETROS!A:A,PARAMETROS!B:B)=0,"",_xlfn.XLOOKUP(A1086,PARAMETROS!A:A,PARAMETROS!B:B))</f>
        <v>012009006277</v>
      </c>
      <c r="C1086">
        <f>IF(_xlfn.XLOOKUP(A1086,PARAMETROS!A:A,PARAMETROS!C:C)=0,"",_xlfn.XLOOKUP(A1086,PARAMETROS!A:A,PARAMETROS!C:C))</f>
        <v>12</v>
      </c>
      <c r="D1086">
        <f>IF(_xlfn.XLOOKUP(A1086,PARAMETROS!A:A,PARAMETROS!D:D)=0,"",_xlfn.XLOOKUP(A1086,PARAMETROS!A:A,PARAMETROS!D:D))</f>
        <v>9</v>
      </c>
      <c r="E1086" t="str">
        <f>IF(_xlfn.XLOOKUP('PREENCHIMENTO|LETIVAS'!A1086,PARAMETROS!A:A,PARAMETROS!I:I)=0,"",_xlfn.XLOOKUP('PREENCHIMENTO|LETIVAS'!A1086,PARAMETROS!A:A,PARAMETROS!I:I))</f>
        <v>PROFESSOR REGENTE</v>
      </c>
      <c r="F1086" s="3" t="s">
        <v>53</v>
      </c>
      <c r="G1086" s="3">
        <v>2</v>
      </c>
      <c r="H1086" s="3" t="s">
        <v>39</v>
      </c>
      <c r="I1086" s="3" t="s">
        <v>40</v>
      </c>
      <c r="J1086" s="3" t="s">
        <v>1027</v>
      </c>
      <c r="K1086" s="3"/>
      <c r="L1086" s="19"/>
    </row>
    <row r="1087" spans="1:12">
      <c r="A1087" s="3" t="s">
        <v>626</v>
      </c>
      <c r="B1087" t="str">
        <f>IF(_xlfn.XLOOKUP(A1087,PARAMETROS!A:A,PARAMETROS!B:B)=0,"",_xlfn.XLOOKUP(A1087,PARAMETROS!A:A,PARAMETROS!B:B))</f>
        <v>012009006277</v>
      </c>
      <c r="C1087">
        <f>IF(_xlfn.XLOOKUP(A1087,PARAMETROS!A:A,PARAMETROS!C:C)=0,"",_xlfn.XLOOKUP(A1087,PARAMETROS!A:A,PARAMETROS!C:C))</f>
        <v>12</v>
      </c>
      <c r="D1087">
        <f>IF(_xlfn.XLOOKUP(A1087,PARAMETROS!A:A,PARAMETROS!D:D)=0,"",_xlfn.XLOOKUP(A1087,PARAMETROS!A:A,PARAMETROS!D:D))</f>
        <v>9</v>
      </c>
      <c r="E1087" t="str">
        <f>IF(_xlfn.XLOOKUP('PREENCHIMENTO|LETIVAS'!A1087,PARAMETROS!A:A,PARAMETROS!I:I)=0,"",_xlfn.XLOOKUP('PREENCHIMENTO|LETIVAS'!A1087,PARAMETROS!A:A,PARAMETROS!I:I))</f>
        <v>PROFESSOR REGENTE</v>
      </c>
      <c r="F1087" s="3" t="s">
        <v>53</v>
      </c>
      <c r="G1087" s="3">
        <v>1</v>
      </c>
      <c r="H1087" s="3" t="s">
        <v>39</v>
      </c>
      <c r="I1087" s="3" t="s">
        <v>40</v>
      </c>
      <c r="J1087" s="3" t="s">
        <v>1834</v>
      </c>
      <c r="K1087" s="3"/>
      <c r="L1087" s="19"/>
    </row>
    <row r="1088" spans="1:12">
      <c r="A1088" s="3" t="s">
        <v>626</v>
      </c>
      <c r="B1088" t="str">
        <f>IF(_xlfn.XLOOKUP(A1088,PARAMETROS!A:A,PARAMETROS!B:B)=0,"",_xlfn.XLOOKUP(A1088,PARAMETROS!A:A,PARAMETROS!B:B))</f>
        <v>012009006277</v>
      </c>
      <c r="C1088">
        <f>IF(_xlfn.XLOOKUP(A1088,PARAMETROS!A:A,PARAMETROS!C:C)=0,"",_xlfn.XLOOKUP(A1088,PARAMETROS!A:A,PARAMETROS!C:C))</f>
        <v>12</v>
      </c>
      <c r="D1088">
        <f>IF(_xlfn.XLOOKUP(A1088,PARAMETROS!A:A,PARAMETROS!D:D)=0,"",_xlfn.XLOOKUP(A1088,PARAMETROS!A:A,PARAMETROS!D:D))</f>
        <v>9</v>
      </c>
      <c r="E1088" t="str">
        <f>IF(_xlfn.XLOOKUP('PREENCHIMENTO|LETIVAS'!A1088,PARAMETROS!A:A,PARAMETROS!I:I)=0,"",_xlfn.XLOOKUP('PREENCHIMENTO|LETIVAS'!A1088,PARAMETROS!A:A,PARAMETROS!I:I))</f>
        <v>PROFESSOR REGENTE</v>
      </c>
      <c r="F1088" s="3" t="s">
        <v>53</v>
      </c>
      <c r="G1088" s="3">
        <v>2</v>
      </c>
      <c r="H1088" s="3" t="s">
        <v>39</v>
      </c>
      <c r="I1088" s="3" t="s">
        <v>33</v>
      </c>
      <c r="J1088" s="3" t="s">
        <v>1835</v>
      </c>
      <c r="K1088" s="3"/>
      <c r="L1088" s="19"/>
    </row>
    <row r="1089" spans="1:12">
      <c r="A1089" s="3" t="s">
        <v>587</v>
      </c>
      <c r="B1089" t="str">
        <f>IF(_xlfn.XLOOKUP(A1089,PARAMETROS!A:A,PARAMETROS!B:B)=0,"",_xlfn.XLOOKUP(A1089,PARAMETROS!A:A,PARAMETROS!B:B))</f>
        <v>012009006305</v>
      </c>
      <c r="C1089">
        <f>IF(_xlfn.XLOOKUP(A1089,PARAMETROS!A:A,PARAMETROS!C:C)=0,"",_xlfn.XLOOKUP(A1089,PARAMETROS!A:A,PARAMETROS!C:C))</f>
        <v>12</v>
      </c>
      <c r="D1089">
        <f>IF(_xlfn.XLOOKUP(A1089,PARAMETROS!A:A,PARAMETROS!D:D)=0,"",_xlfn.XLOOKUP(A1089,PARAMETROS!A:A,PARAMETROS!D:D))</f>
        <v>9</v>
      </c>
      <c r="E1089" t="str">
        <f>IF(_xlfn.XLOOKUP('PREENCHIMENTO|LETIVAS'!A1089,PARAMETROS!A:A,PARAMETROS!I:I)=0,"",_xlfn.XLOOKUP('PREENCHIMENTO|LETIVAS'!A1089,PARAMETROS!A:A,PARAMETROS!I:I))</f>
        <v>PROFESSOR REGENTE</v>
      </c>
      <c r="F1089" s="3" t="s">
        <v>53</v>
      </c>
      <c r="G1089" s="3" t="s">
        <v>54</v>
      </c>
      <c r="H1089" s="3" t="s">
        <v>55</v>
      </c>
      <c r="I1089" s="3" t="s">
        <v>40</v>
      </c>
      <c r="J1089" s="3" t="s">
        <v>1836</v>
      </c>
      <c r="K1089" s="3"/>
      <c r="L1089" s="19"/>
    </row>
    <row r="1090" spans="1:12">
      <c r="A1090" s="3" t="s">
        <v>748</v>
      </c>
      <c r="B1090" t="str">
        <f>IF(_xlfn.XLOOKUP(A1090,PARAMETROS!A:A,PARAMETROS!B:B)=0,"",_xlfn.XLOOKUP(A1090,PARAMETROS!A:A,PARAMETROS!B:B))</f>
        <v>012009003896</v>
      </c>
      <c r="C1090" t="str">
        <f>IF(_xlfn.XLOOKUP(A1090,PARAMETROS!A:A,PARAMETROS!C:C)=0,"",_xlfn.XLOOKUP(A1090,PARAMETROS!A:A,PARAMETROS!C:C))</f>
        <v/>
      </c>
      <c r="D1090" t="str">
        <f>IF(_xlfn.XLOOKUP(A1090,PARAMETROS!A:A,PARAMETROS!D:D)=0,"",_xlfn.XLOOKUP(A1090,PARAMETROS!A:A,PARAMETROS!D:D))</f>
        <v/>
      </c>
      <c r="E1090" t="str">
        <f>IF(_xlfn.XLOOKUP('PREENCHIMENTO|LETIVAS'!A1090,PARAMETROS!A:A,PARAMETROS!I:I)=0,"",_xlfn.XLOOKUP('PREENCHIMENTO|LETIVAS'!A1090,PARAMETROS!A:A,PARAMETROS!I:I))</f>
        <v>PROFESSOR DE ENSINO SUPERIOR PRESENCIAL</v>
      </c>
      <c r="F1090" s="3" t="s">
        <v>53</v>
      </c>
      <c r="G1090" s="3">
        <v>2</v>
      </c>
      <c r="H1090" s="3" t="s">
        <v>32</v>
      </c>
      <c r="I1090" s="3" t="s">
        <v>33</v>
      </c>
      <c r="J1090" s="20" t="s">
        <v>1679</v>
      </c>
      <c r="K1090" s="3"/>
      <c r="L1090" s="19"/>
    </row>
    <row r="1091" spans="1:12">
      <c r="A1091" s="3" t="s">
        <v>328</v>
      </c>
      <c r="B1091" t="str">
        <f>IF(_xlfn.XLOOKUP(A1091,PARAMETROS!A:A,PARAMETROS!B:B)=0,"",_xlfn.XLOOKUP(A1091,PARAMETROS!A:A,PARAMETROS!B:B))</f>
        <v>012009003845</v>
      </c>
      <c r="C1091">
        <f>IF(_xlfn.XLOOKUP(A1091,PARAMETROS!A:A,PARAMETROS!C:C)=0,"",_xlfn.XLOOKUP(A1091,PARAMETROS!A:A,PARAMETROS!C:C))</f>
        <v>20</v>
      </c>
      <c r="D1091">
        <f>IF(_xlfn.XLOOKUP(A1091,PARAMETROS!A:A,PARAMETROS!D:D)=0,"",_xlfn.XLOOKUP(A1091,PARAMETROS!A:A,PARAMETROS!D:D))</f>
        <v>2</v>
      </c>
      <c r="E1091" t="str">
        <f>IF(_xlfn.XLOOKUP('PREENCHIMENTO|LETIVAS'!A1091,PARAMETROS!A:A,PARAMETROS!I:I)=0,"",_xlfn.XLOOKUP('PREENCHIMENTO|LETIVAS'!A1091,PARAMETROS!A:A,PARAMETROS!I:I))</f>
        <v>PROFESSOR DE ENSINO SUPERIOR EAD</v>
      </c>
      <c r="F1091" s="3" t="s">
        <v>53</v>
      </c>
      <c r="G1091" s="3">
        <v>2</v>
      </c>
      <c r="H1091" s="3" t="s">
        <v>63</v>
      </c>
      <c r="I1091" s="3" t="s">
        <v>33</v>
      </c>
      <c r="J1091" s="3" t="s">
        <v>1837</v>
      </c>
      <c r="K1091" s="3"/>
      <c r="L1091" s="19"/>
    </row>
    <row r="1092" spans="1:12">
      <c r="A1092" s="3" t="s">
        <v>79</v>
      </c>
      <c r="B1092" t="str">
        <f>IF(_xlfn.XLOOKUP(A1092,PARAMETROS!A:A,PARAMETROS!B:B)=0,"",_xlfn.XLOOKUP(A1092,PARAMETROS!A:A,PARAMETROS!B:B))</f>
        <v>012009005709</v>
      </c>
      <c r="C1092">
        <f>IF(_xlfn.XLOOKUP(A1092,PARAMETROS!A:A,PARAMETROS!C:C)=0,"",_xlfn.XLOOKUP(A1092,PARAMETROS!A:A,PARAMETROS!C:C))</f>
        <v>20</v>
      </c>
      <c r="D1092">
        <f>IF(_xlfn.XLOOKUP(A1092,PARAMETROS!A:A,PARAMETROS!D:D)=0,"",_xlfn.XLOOKUP(A1092,PARAMETROS!A:A,PARAMETROS!D:D))</f>
        <v>2</v>
      </c>
      <c r="E1092" t="str">
        <f>IF(_xlfn.XLOOKUP('PREENCHIMENTO|LETIVAS'!A1092,PARAMETROS!A:A,PARAMETROS!I:I)=0,"",_xlfn.XLOOKUP('PREENCHIMENTO|LETIVAS'!A1092,PARAMETROS!A:A,PARAMETROS!I:I))</f>
        <v>PROFESSOR DE ENSINO SUPERIOR EAD</v>
      </c>
      <c r="F1092" s="3" t="s">
        <v>53</v>
      </c>
      <c r="G1092" s="3">
        <v>1</v>
      </c>
      <c r="H1092" s="3" t="s">
        <v>63</v>
      </c>
      <c r="I1092" s="3" t="s">
        <v>40</v>
      </c>
      <c r="J1092" s="3" t="s">
        <v>1838</v>
      </c>
      <c r="K1092" s="3"/>
      <c r="L1092" s="19"/>
    </row>
    <row r="1093" spans="1:12">
      <c r="A1093" s="3" t="s">
        <v>243</v>
      </c>
      <c r="B1093" t="str">
        <f>IF(_xlfn.XLOOKUP(A1093,PARAMETROS!A:A,PARAMETROS!B:B)=0,"",_xlfn.XLOOKUP(A1093,PARAMETROS!A:A,PARAMETROS!B:B))</f>
        <v>012009006090</v>
      </c>
      <c r="C1093">
        <f>IF(_xlfn.XLOOKUP(A1093,PARAMETROS!A:A,PARAMETROS!C:C)=0,"",_xlfn.XLOOKUP(A1093,PARAMETROS!A:A,PARAMETROS!C:C))</f>
        <v>20</v>
      </c>
      <c r="D1093">
        <f>IF(_xlfn.XLOOKUP(A1093,PARAMETROS!A:A,PARAMETROS!D:D)=0,"",_xlfn.XLOOKUP(A1093,PARAMETROS!A:A,PARAMETROS!D:D))</f>
        <v>2</v>
      </c>
      <c r="E1093" t="str">
        <f>IF(_xlfn.XLOOKUP('PREENCHIMENTO|LETIVAS'!A1093,PARAMETROS!A:A,PARAMETROS!I:I)=0,"",_xlfn.XLOOKUP('PREENCHIMENTO|LETIVAS'!A1093,PARAMETROS!A:A,PARAMETROS!I:I))</f>
        <v>PROFESSOR DE ENSINO SUPERIOR EAD</v>
      </c>
      <c r="F1093" s="3" t="s">
        <v>53</v>
      </c>
      <c r="G1093" s="3">
        <v>2</v>
      </c>
      <c r="H1093" s="3" t="s">
        <v>63</v>
      </c>
      <c r="I1093" s="3" t="s">
        <v>40</v>
      </c>
      <c r="J1093" s="3" t="s">
        <v>1839</v>
      </c>
      <c r="K1093" s="3"/>
      <c r="L1093" s="19"/>
    </row>
    <row r="1094" spans="1:12">
      <c r="A1094" s="3" t="s">
        <v>243</v>
      </c>
      <c r="B1094" t="str">
        <f>IF(_xlfn.XLOOKUP(A1094,PARAMETROS!A:A,PARAMETROS!B:B)=0,"",_xlfn.XLOOKUP(A1094,PARAMETROS!A:A,PARAMETROS!B:B))</f>
        <v>012009006090</v>
      </c>
      <c r="C1094">
        <f>IF(_xlfn.XLOOKUP(A1094,PARAMETROS!A:A,PARAMETROS!C:C)=0,"",_xlfn.XLOOKUP(A1094,PARAMETROS!A:A,PARAMETROS!C:C))</f>
        <v>20</v>
      </c>
      <c r="D1094">
        <f>IF(_xlfn.XLOOKUP(A1094,PARAMETROS!A:A,PARAMETROS!D:D)=0,"",_xlfn.XLOOKUP(A1094,PARAMETROS!A:A,PARAMETROS!D:D))</f>
        <v>2</v>
      </c>
      <c r="E1094" t="str">
        <f>IF(_xlfn.XLOOKUP('PREENCHIMENTO|LETIVAS'!A1094,PARAMETROS!A:A,PARAMETROS!I:I)=0,"",_xlfn.XLOOKUP('PREENCHIMENTO|LETIVAS'!A1094,PARAMETROS!A:A,PARAMETROS!I:I))</f>
        <v>PROFESSOR DE ENSINO SUPERIOR EAD</v>
      </c>
      <c r="F1094" s="3" t="s">
        <v>53</v>
      </c>
      <c r="G1094" s="3">
        <v>1</v>
      </c>
      <c r="H1094" s="3" t="s">
        <v>63</v>
      </c>
      <c r="I1094" s="3" t="s">
        <v>40</v>
      </c>
      <c r="J1094" s="3" t="s">
        <v>1727</v>
      </c>
      <c r="K1094" s="3"/>
      <c r="L1094" s="19"/>
    </row>
    <row r="1095" spans="1:12">
      <c r="A1095" s="3" t="s">
        <v>727</v>
      </c>
      <c r="B1095" t="str">
        <f>IF(_xlfn.XLOOKUP(A1095,PARAMETROS!A:A,PARAMETROS!B:B)=0,"",_xlfn.XLOOKUP(A1095,PARAMETROS!A:A,PARAMETROS!B:B))</f>
        <v>012009006370</v>
      </c>
      <c r="C1095">
        <f>IF(_xlfn.XLOOKUP(A1095,PARAMETROS!A:A,PARAMETROS!C:C)=0,"",_xlfn.XLOOKUP(A1095,PARAMETROS!A:A,PARAMETROS!C:C))</f>
        <v>12</v>
      </c>
      <c r="D1095">
        <f>IF(_xlfn.XLOOKUP(A1095,PARAMETROS!A:A,PARAMETROS!D:D)=0,"",_xlfn.XLOOKUP(A1095,PARAMETROS!A:A,PARAMETROS!D:D))</f>
        <v>9</v>
      </c>
      <c r="E1095" t="str">
        <f>IF(_xlfn.XLOOKUP('PREENCHIMENTO|LETIVAS'!A1095,PARAMETROS!A:A,PARAMETROS!I:I)=0,"",_xlfn.XLOOKUP('PREENCHIMENTO|LETIVAS'!A1095,PARAMETROS!A:A,PARAMETROS!I:I))</f>
        <v>PROFESSOR REGENTE</v>
      </c>
      <c r="F1095" s="3" t="s">
        <v>53</v>
      </c>
      <c r="G1095" s="3">
        <v>2</v>
      </c>
      <c r="H1095" s="3" t="s">
        <v>39</v>
      </c>
      <c r="I1095" s="3" t="s">
        <v>33</v>
      </c>
      <c r="J1095" s="3" t="s">
        <v>1664</v>
      </c>
      <c r="K1095" s="3"/>
      <c r="L1095" s="19"/>
    </row>
    <row r="1096" spans="1:12">
      <c r="A1096" s="3" t="s">
        <v>185</v>
      </c>
      <c r="B1096" t="str">
        <f>IF(_xlfn.XLOOKUP(A1096,PARAMETROS!A:A,PARAMETROS!B:B)=0,"",_xlfn.XLOOKUP(A1096,PARAMETROS!A:A,PARAMETROS!B:B))</f>
        <v>012009005987</v>
      </c>
      <c r="C1096">
        <f>IF(_xlfn.XLOOKUP(A1096,PARAMETROS!A:A,PARAMETROS!C:C)=0,"",_xlfn.XLOOKUP(A1096,PARAMETROS!A:A,PARAMETROS!C:C))</f>
        <v>20</v>
      </c>
      <c r="D1096">
        <f>IF(_xlfn.XLOOKUP(A1096,PARAMETROS!A:A,PARAMETROS!D:D)=0,"",_xlfn.XLOOKUP(A1096,PARAMETROS!A:A,PARAMETROS!D:D))</f>
        <v>2</v>
      </c>
      <c r="E1096" t="str">
        <f>IF(_xlfn.XLOOKUP('PREENCHIMENTO|LETIVAS'!A1096,PARAMETROS!A:A,PARAMETROS!I:I)=0,"",_xlfn.XLOOKUP('PREENCHIMENTO|LETIVAS'!A1096,PARAMETROS!A:A,PARAMETROS!I:I))</f>
        <v>PROFESSOR DE ENSINO SUPERIOR EAD</v>
      </c>
      <c r="F1096" s="3" t="s">
        <v>53</v>
      </c>
      <c r="G1096" s="3">
        <v>2</v>
      </c>
      <c r="H1096" s="3" t="s">
        <v>63</v>
      </c>
      <c r="I1096" s="3" t="s">
        <v>33</v>
      </c>
      <c r="J1096" s="3" t="s">
        <v>1840</v>
      </c>
      <c r="K1096" s="3"/>
      <c r="L1096" s="19"/>
    </row>
    <row r="1097" spans="1:12">
      <c r="A1097" s="3" t="s">
        <v>550</v>
      </c>
      <c r="B1097" t="str">
        <f>IF(_xlfn.XLOOKUP(A1097,PARAMETROS!A:A,PARAMETROS!B:B)=0,"",_xlfn.XLOOKUP(A1097,PARAMETROS!A:A,PARAMETROS!B:B))</f>
        <v>012009003910</v>
      </c>
      <c r="C1097">
        <f>IF(_xlfn.XLOOKUP(A1097,PARAMETROS!A:A,PARAMETROS!C:C)=0,"",_xlfn.XLOOKUP(A1097,PARAMETROS!A:A,PARAMETROS!C:C))</f>
        <v>40</v>
      </c>
      <c r="D1097">
        <f>IF(_xlfn.XLOOKUP(A1097,PARAMETROS!A:A,PARAMETROS!D:D)=0,"",_xlfn.XLOOKUP(A1097,PARAMETROS!A:A,PARAMETROS!D:D))</f>
        <v>4</v>
      </c>
      <c r="E1097" t="str">
        <f>IF(_xlfn.XLOOKUP('PREENCHIMENTO|LETIVAS'!A1097,PARAMETROS!A:A,PARAMETROS!I:I)=0,"",_xlfn.XLOOKUP('PREENCHIMENTO|LETIVAS'!A1097,PARAMETROS!A:A,PARAMETROS!I:I))</f>
        <v>PROFESSOR DE ENSINO SUPERIOR EAD</v>
      </c>
      <c r="F1097" s="3" t="s">
        <v>53</v>
      </c>
      <c r="G1097" s="3">
        <v>2</v>
      </c>
      <c r="H1097" s="3" t="s">
        <v>63</v>
      </c>
      <c r="I1097" s="3" t="s">
        <v>33</v>
      </c>
      <c r="J1097" s="3" t="s">
        <v>1841</v>
      </c>
      <c r="K1097" s="3"/>
      <c r="L1097" s="19"/>
    </row>
    <row r="1098" spans="1:12">
      <c r="A1098" s="3" t="s">
        <v>856</v>
      </c>
      <c r="B1098" t="str">
        <f>IF(_xlfn.XLOOKUP(A1098,PARAMETROS!A:A,PARAMETROS!B:B)=0,"",_xlfn.XLOOKUP(A1098,PARAMETROS!A:A,PARAMETROS!B:B))</f>
        <v>000000000000</v>
      </c>
      <c r="C1098" t="str">
        <f>IF(_xlfn.XLOOKUP(A1098,PARAMETROS!A:A,PARAMETROS!C:C)=0,"",_xlfn.XLOOKUP(A1098,PARAMETROS!A:A,PARAMETROS!C:C))</f>
        <v/>
      </c>
      <c r="D1098" t="str">
        <f>IF(_xlfn.XLOOKUP(A1098,PARAMETROS!A:A,PARAMETROS!D:D)=0,"",_xlfn.XLOOKUP(A1098,PARAMETROS!A:A,PARAMETROS!D:D))</f>
        <v/>
      </c>
      <c r="E1098" t="str">
        <f>IF(_xlfn.XLOOKUP('PREENCHIMENTO|LETIVAS'!A1098,PARAMETROS!A:A,PARAMETROS!I:I)=0,"",_xlfn.XLOOKUP('PREENCHIMENTO|LETIVAS'!A1098,PARAMETROS!A:A,PARAMETROS!I:I))</f>
        <v>RPA</v>
      </c>
      <c r="F1098" s="3" t="s">
        <v>53</v>
      </c>
      <c r="G1098" s="3" t="s">
        <v>54</v>
      </c>
      <c r="H1098" s="3" t="s">
        <v>39</v>
      </c>
      <c r="I1098" s="3" t="s">
        <v>33</v>
      </c>
      <c r="J1098" s="3" t="s">
        <v>1842</v>
      </c>
      <c r="K1098" s="3" t="s">
        <v>1843</v>
      </c>
      <c r="L1098" s="19" t="s">
        <v>1037</v>
      </c>
    </row>
    <row r="1099" spans="1:12">
      <c r="A1099" s="3" t="s">
        <v>856</v>
      </c>
      <c r="B1099" t="str">
        <f>IF(_xlfn.XLOOKUP(A1099,PARAMETROS!A:A,PARAMETROS!B:B)=0,"",_xlfn.XLOOKUP(A1099,PARAMETROS!A:A,PARAMETROS!B:B))</f>
        <v>000000000000</v>
      </c>
      <c r="C1099" t="str">
        <f>IF(_xlfn.XLOOKUP(A1099,PARAMETROS!A:A,PARAMETROS!C:C)=0,"",_xlfn.XLOOKUP(A1099,PARAMETROS!A:A,PARAMETROS!C:C))</f>
        <v/>
      </c>
      <c r="D1099" t="str">
        <f>IF(_xlfn.XLOOKUP(A1099,PARAMETROS!A:A,PARAMETROS!D:D)=0,"",_xlfn.XLOOKUP(A1099,PARAMETROS!A:A,PARAMETROS!D:D))</f>
        <v/>
      </c>
      <c r="E1099" t="str">
        <f>IF(_xlfn.XLOOKUP('PREENCHIMENTO|LETIVAS'!A1099,PARAMETROS!A:A,PARAMETROS!I:I)=0,"",_xlfn.XLOOKUP('PREENCHIMENTO|LETIVAS'!A1099,PARAMETROS!A:A,PARAMETROS!I:I))</f>
        <v>RPA</v>
      </c>
      <c r="F1099" s="3" t="s">
        <v>53</v>
      </c>
      <c r="G1099" s="3">
        <v>1</v>
      </c>
      <c r="H1099" s="3" t="s">
        <v>39</v>
      </c>
      <c r="I1099" s="3" t="s">
        <v>33</v>
      </c>
      <c r="J1099" s="3" t="s">
        <v>1844</v>
      </c>
      <c r="K1099" s="3" t="s">
        <v>1150</v>
      </c>
      <c r="L1099" s="19"/>
    </row>
    <row r="1100" spans="1:12">
      <c r="A1100" s="3" t="s">
        <v>856</v>
      </c>
      <c r="B1100" t="str">
        <f>IF(_xlfn.XLOOKUP(A1100,PARAMETROS!A:A,PARAMETROS!B:B)=0,"",_xlfn.XLOOKUP(A1100,PARAMETROS!A:A,PARAMETROS!B:B))</f>
        <v>000000000000</v>
      </c>
      <c r="C1100" t="str">
        <f>IF(_xlfn.XLOOKUP(A1100,PARAMETROS!A:A,PARAMETROS!C:C)=0,"",_xlfn.XLOOKUP(A1100,PARAMETROS!A:A,PARAMETROS!C:C))</f>
        <v/>
      </c>
      <c r="D1100" t="str">
        <f>IF(_xlfn.XLOOKUP(A1100,PARAMETROS!A:A,PARAMETROS!D:D)=0,"",_xlfn.XLOOKUP(A1100,PARAMETROS!A:A,PARAMETROS!D:D))</f>
        <v/>
      </c>
      <c r="E1100" t="str">
        <f>IF(_xlfn.XLOOKUP('PREENCHIMENTO|LETIVAS'!A1100,PARAMETROS!A:A,PARAMETROS!I:I)=0,"",_xlfn.XLOOKUP('PREENCHIMENTO|LETIVAS'!A1100,PARAMETROS!A:A,PARAMETROS!I:I))</f>
        <v>RPA</v>
      </c>
      <c r="F1100" s="3" t="s">
        <v>53</v>
      </c>
      <c r="G1100" s="3">
        <v>1</v>
      </c>
      <c r="H1100" s="3" t="s">
        <v>39</v>
      </c>
      <c r="I1100" s="3" t="s">
        <v>40</v>
      </c>
      <c r="J1100" s="3" t="s">
        <v>1572</v>
      </c>
      <c r="K1100" s="3" t="s">
        <v>1150</v>
      </c>
      <c r="L1100" s="19"/>
    </row>
    <row r="1101" spans="1:12">
      <c r="A1101" s="3" t="s">
        <v>856</v>
      </c>
      <c r="B1101" t="str">
        <f>IF(_xlfn.XLOOKUP(A1101,PARAMETROS!A:A,PARAMETROS!B:B)=0,"",_xlfn.XLOOKUP(A1101,PARAMETROS!A:A,PARAMETROS!B:B))</f>
        <v>000000000000</v>
      </c>
      <c r="C1101" t="str">
        <f>IF(_xlfn.XLOOKUP(A1101,PARAMETROS!A:A,PARAMETROS!C:C)=0,"",_xlfn.XLOOKUP(A1101,PARAMETROS!A:A,PARAMETROS!C:C))</f>
        <v/>
      </c>
      <c r="D1101" t="str">
        <f>IF(_xlfn.XLOOKUP(A1101,PARAMETROS!A:A,PARAMETROS!D:D)=0,"",_xlfn.XLOOKUP(A1101,PARAMETROS!A:A,PARAMETROS!D:D))</f>
        <v/>
      </c>
      <c r="E1101" t="str">
        <f>IF(_xlfn.XLOOKUP('PREENCHIMENTO|LETIVAS'!A1101,PARAMETROS!A:A,PARAMETROS!I:I)=0,"",_xlfn.XLOOKUP('PREENCHIMENTO|LETIVAS'!A1101,PARAMETROS!A:A,PARAMETROS!I:I))</f>
        <v>RPA</v>
      </c>
      <c r="F1101" s="3" t="s">
        <v>53</v>
      </c>
      <c r="G1101" s="3" t="s">
        <v>54</v>
      </c>
      <c r="H1101" s="3" t="s">
        <v>63</v>
      </c>
      <c r="I1101" s="3" t="s">
        <v>33</v>
      </c>
      <c r="J1101" s="3" t="s">
        <v>1551</v>
      </c>
      <c r="K1101" s="3" t="s">
        <v>1150</v>
      </c>
      <c r="L1101" s="19"/>
    </row>
    <row r="1102" spans="1:12">
      <c r="A1102" s="3" t="s">
        <v>856</v>
      </c>
      <c r="B1102" t="str">
        <f>IF(_xlfn.XLOOKUP(A1102,PARAMETROS!A:A,PARAMETROS!B:B)=0,"",_xlfn.XLOOKUP(A1102,PARAMETROS!A:A,PARAMETROS!B:B))</f>
        <v>000000000000</v>
      </c>
      <c r="C1102" t="str">
        <f>IF(_xlfn.XLOOKUP(A1102,PARAMETROS!A:A,PARAMETROS!C:C)=0,"",_xlfn.XLOOKUP(A1102,PARAMETROS!A:A,PARAMETROS!C:C))</f>
        <v/>
      </c>
      <c r="D1102" t="str">
        <f>IF(_xlfn.XLOOKUP(A1102,PARAMETROS!A:A,PARAMETROS!D:D)=0,"",_xlfn.XLOOKUP(A1102,PARAMETROS!A:A,PARAMETROS!D:D))</f>
        <v/>
      </c>
      <c r="E1102" t="str">
        <f>IF(_xlfn.XLOOKUP('PREENCHIMENTO|LETIVAS'!A1102,PARAMETROS!A:A,PARAMETROS!I:I)=0,"",_xlfn.XLOOKUP('PREENCHIMENTO|LETIVAS'!A1102,PARAMETROS!A:A,PARAMETROS!I:I))</f>
        <v>RPA</v>
      </c>
      <c r="F1102" s="3" t="s">
        <v>53</v>
      </c>
      <c r="G1102" s="3" t="s">
        <v>54</v>
      </c>
      <c r="H1102" s="3" t="s">
        <v>63</v>
      </c>
      <c r="I1102" s="3" t="s">
        <v>33</v>
      </c>
      <c r="J1102" s="3" t="s">
        <v>1572</v>
      </c>
      <c r="K1102" s="3" t="s">
        <v>1150</v>
      </c>
      <c r="L1102" s="19"/>
    </row>
    <row r="1103" spans="1:12">
      <c r="A1103" s="3" t="s">
        <v>856</v>
      </c>
      <c r="B1103" t="str">
        <f>IF(_xlfn.XLOOKUP(A1103,PARAMETROS!A:A,PARAMETROS!B:B)=0,"",_xlfn.XLOOKUP(A1103,PARAMETROS!A:A,PARAMETROS!B:B))</f>
        <v>000000000000</v>
      </c>
      <c r="C1103" t="str">
        <f>IF(_xlfn.XLOOKUP(A1103,PARAMETROS!A:A,PARAMETROS!C:C)=0,"",_xlfn.XLOOKUP(A1103,PARAMETROS!A:A,PARAMETROS!C:C))</f>
        <v/>
      </c>
      <c r="D1103" t="str">
        <f>IF(_xlfn.XLOOKUP(A1103,PARAMETROS!A:A,PARAMETROS!D:D)=0,"",_xlfn.XLOOKUP(A1103,PARAMETROS!A:A,PARAMETROS!D:D))</f>
        <v/>
      </c>
      <c r="E1103" t="str">
        <f>IF(_xlfn.XLOOKUP('PREENCHIMENTO|LETIVAS'!A1103,PARAMETROS!A:A,PARAMETROS!I:I)=0,"",_xlfn.XLOOKUP('PREENCHIMENTO|LETIVAS'!A1103,PARAMETROS!A:A,PARAMETROS!I:I))</f>
        <v>RPA</v>
      </c>
      <c r="F1103" s="3" t="s">
        <v>53</v>
      </c>
      <c r="G1103" s="3">
        <v>2</v>
      </c>
      <c r="H1103" s="3" t="s">
        <v>39</v>
      </c>
      <c r="I1103" s="3" t="s">
        <v>33</v>
      </c>
      <c r="J1103" s="3" t="s">
        <v>1845</v>
      </c>
      <c r="K1103" s="3" t="s">
        <v>1150</v>
      </c>
      <c r="L1103" s="19"/>
    </row>
    <row r="1104" spans="1:12">
      <c r="A1104" s="3" t="s">
        <v>856</v>
      </c>
      <c r="B1104" t="str">
        <f>IF(_xlfn.XLOOKUP(A1104,PARAMETROS!A:A,PARAMETROS!B:B)=0,"",_xlfn.XLOOKUP(A1104,PARAMETROS!A:A,PARAMETROS!B:B))</f>
        <v>000000000000</v>
      </c>
      <c r="C1104" t="str">
        <f>IF(_xlfn.XLOOKUP(A1104,PARAMETROS!A:A,PARAMETROS!C:C)=0,"",_xlfn.XLOOKUP(A1104,PARAMETROS!A:A,PARAMETROS!C:C))</f>
        <v/>
      </c>
      <c r="D1104" t="str">
        <f>IF(_xlfn.XLOOKUP(A1104,PARAMETROS!A:A,PARAMETROS!D:D)=0,"",_xlfn.XLOOKUP(A1104,PARAMETROS!A:A,PARAMETROS!D:D))</f>
        <v/>
      </c>
      <c r="E1104" t="str">
        <f>IF(_xlfn.XLOOKUP('PREENCHIMENTO|LETIVAS'!A1104,PARAMETROS!A:A,PARAMETROS!I:I)=0,"",_xlfn.XLOOKUP('PREENCHIMENTO|LETIVAS'!A1104,PARAMETROS!A:A,PARAMETROS!I:I))</f>
        <v>RPA</v>
      </c>
      <c r="F1104" s="3" t="s">
        <v>53</v>
      </c>
      <c r="G1104" s="3">
        <v>2</v>
      </c>
      <c r="H1104" s="3" t="s">
        <v>39</v>
      </c>
      <c r="I1104" s="3" t="s">
        <v>33</v>
      </c>
      <c r="J1104" s="3" t="s">
        <v>1677</v>
      </c>
      <c r="K1104" s="3" t="s">
        <v>1846</v>
      </c>
      <c r="L1104" s="19" t="s">
        <v>1171</v>
      </c>
    </row>
    <row r="1105" spans="1:12">
      <c r="A1105" s="3" t="s">
        <v>856</v>
      </c>
      <c r="B1105" t="str">
        <f>IF(_xlfn.XLOOKUP(A1105,PARAMETROS!A:A,PARAMETROS!B:B)=0,"",_xlfn.XLOOKUP(A1105,PARAMETROS!A:A,PARAMETROS!B:B))</f>
        <v>000000000000</v>
      </c>
      <c r="C1105" t="str">
        <f>IF(_xlfn.XLOOKUP(A1105,PARAMETROS!A:A,PARAMETROS!C:C)=0,"",_xlfn.XLOOKUP(A1105,PARAMETROS!A:A,PARAMETROS!C:C))</f>
        <v/>
      </c>
      <c r="D1105" t="str">
        <f>IF(_xlfn.XLOOKUP(A1105,PARAMETROS!A:A,PARAMETROS!D:D)=0,"",_xlfn.XLOOKUP(A1105,PARAMETROS!A:A,PARAMETROS!D:D))</f>
        <v/>
      </c>
      <c r="E1105" t="str">
        <f>IF(_xlfn.XLOOKUP('PREENCHIMENTO|LETIVAS'!A1105,PARAMETROS!A:A,PARAMETROS!I:I)=0,"",_xlfn.XLOOKUP('PREENCHIMENTO|LETIVAS'!A1105,PARAMETROS!A:A,PARAMETROS!I:I))</f>
        <v>RPA</v>
      </c>
      <c r="F1105" s="3" t="s">
        <v>53</v>
      </c>
      <c r="G1105" s="3">
        <v>1</v>
      </c>
      <c r="H1105" s="3" t="s">
        <v>39</v>
      </c>
      <c r="I1105" s="3" t="s">
        <v>40</v>
      </c>
      <c r="J1105" s="20" t="s">
        <v>1847</v>
      </c>
      <c r="K1105" s="3" t="s">
        <v>1848</v>
      </c>
      <c r="L1105" s="19"/>
    </row>
    <row r="1106" spans="1:12">
      <c r="A1106" s="3" t="s">
        <v>856</v>
      </c>
      <c r="B1106" t="str">
        <f>IF(_xlfn.XLOOKUP(A1106,PARAMETROS!A:A,PARAMETROS!B:B)=0,"",_xlfn.XLOOKUP(A1106,PARAMETROS!A:A,PARAMETROS!B:B))</f>
        <v>000000000000</v>
      </c>
      <c r="C1106" t="str">
        <f>IF(_xlfn.XLOOKUP(A1106,PARAMETROS!A:A,PARAMETROS!C:C)=0,"",_xlfn.XLOOKUP(A1106,PARAMETROS!A:A,PARAMETROS!C:C))</f>
        <v/>
      </c>
      <c r="D1106" t="str">
        <f>IF(_xlfn.XLOOKUP(A1106,PARAMETROS!A:A,PARAMETROS!D:D)=0,"",_xlfn.XLOOKUP(A1106,PARAMETROS!A:A,PARAMETROS!D:D))</f>
        <v/>
      </c>
      <c r="E1106" t="str">
        <f>IF(_xlfn.XLOOKUP('PREENCHIMENTO|LETIVAS'!A1106,PARAMETROS!A:A,PARAMETROS!I:I)=0,"",_xlfn.XLOOKUP('PREENCHIMENTO|LETIVAS'!A1106,PARAMETROS!A:A,PARAMETROS!I:I))</f>
        <v>RPA</v>
      </c>
      <c r="F1106" s="3" t="s">
        <v>53</v>
      </c>
      <c r="G1106" s="3" t="s">
        <v>54</v>
      </c>
      <c r="H1106" s="3" t="s">
        <v>55</v>
      </c>
      <c r="I1106" s="3" t="s">
        <v>33</v>
      </c>
      <c r="J1106" s="3" t="s">
        <v>1136</v>
      </c>
      <c r="K1106" s="3" t="s">
        <v>1724</v>
      </c>
      <c r="L1106" s="19" t="s">
        <v>1184</v>
      </c>
    </row>
    <row r="1107" spans="1:12">
      <c r="A1107" s="3" t="s">
        <v>856</v>
      </c>
      <c r="B1107" t="str">
        <f>IF(_xlfn.XLOOKUP(A1107,PARAMETROS!A:A,PARAMETROS!B:B)=0,"",_xlfn.XLOOKUP(A1107,PARAMETROS!A:A,PARAMETROS!B:B))</f>
        <v>000000000000</v>
      </c>
      <c r="C1107" t="str">
        <f>IF(_xlfn.XLOOKUP(A1107,PARAMETROS!A:A,PARAMETROS!C:C)=0,"",_xlfn.XLOOKUP(A1107,PARAMETROS!A:A,PARAMETROS!C:C))</f>
        <v/>
      </c>
      <c r="D1107" t="str">
        <f>IF(_xlfn.XLOOKUP(A1107,PARAMETROS!A:A,PARAMETROS!D:D)=0,"",_xlfn.XLOOKUP(A1107,PARAMETROS!A:A,PARAMETROS!D:D))</f>
        <v/>
      </c>
      <c r="E1107" t="str">
        <f>IF(_xlfn.XLOOKUP('PREENCHIMENTO|LETIVAS'!A1107,PARAMETROS!A:A,PARAMETROS!I:I)=0,"",_xlfn.XLOOKUP('PREENCHIMENTO|LETIVAS'!A1107,PARAMETROS!A:A,PARAMETROS!I:I))</f>
        <v>RPA</v>
      </c>
      <c r="F1107" s="3" t="s">
        <v>53</v>
      </c>
      <c r="G1107" s="3" t="s">
        <v>54</v>
      </c>
      <c r="H1107" s="3" t="s">
        <v>63</v>
      </c>
      <c r="I1107" s="3" t="s">
        <v>40</v>
      </c>
      <c r="J1107" s="3" t="s">
        <v>1849</v>
      </c>
      <c r="K1107" s="3" t="s">
        <v>1154</v>
      </c>
      <c r="L1107" s="19"/>
    </row>
    <row r="1108" spans="1:12">
      <c r="A1108" s="3" t="s">
        <v>856</v>
      </c>
      <c r="B1108" t="str">
        <f>IF(_xlfn.XLOOKUP(A1108,PARAMETROS!A:A,PARAMETROS!B:B)=0,"",_xlfn.XLOOKUP(A1108,PARAMETROS!A:A,PARAMETROS!B:B))</f>
        <v>000000000000</v>
      </c>
      <c r="C1108" t="str">
        <f>IF(_xlfn.XLOOKUP(A1108,PARAMETROS!A:A,PARAMETROS!C:C)=0,"",_xlfn.XLOOKUP(A1108,PARAMETROS!A:A,PARAMETROS!C:C))</f>
        <v/>
      </c>
      <c r="D1108" t="str">
        <f>IF(_xlfn.XLOOKUP(A1108,PARAMETROS!A:A,PARAMETROS!D:D)=0,"",_xlfn.XLOOKUP(A1108,PARAMETROS!A:A,PARAMETROS!D:D))</f>
        <v/>
      </c>
      <c r="E1108" t="str">
        <f>IF(_xlfn.XLOOKUP('PREENCHIMENTO|LETIVAS'!A1108,PARAMETROS!A:A,PARAMETROS!I:I)=0,"",_xlfn.XLOOKUP('PREENCHIMENTO|LETIVAS'!A1108,PARAMETROS!A:A,PARAMETROS!I:I))</f>
        <v>RPA</v>
      </c>
      <c r="F1108" s="3" t="s">
        <v>53</v>
      </c>
      <c r="G1108" s="3" t="s">
        <v>54</v>
      </c>
      <c r="H1108" s="3" t="s">
        <v>63</v>
      </c>
      <c r="I1108" s="3" t="s">
        <v>40</v>
      </c>
      <c r="J1108" s="3" t="s">
        <v>1554</v>
      </c>
      <c r="K1108" s="3" t="s">
        <v>1154</v>
      </c>
      <c r="L1108" s="19"/>
    </row>
    <row r="1109" spans="1:12">
      <c r="A1109" s="3" t="s">
        <v>856</v>
      </c>
      <c r="B1109" t="str">
        <f>IF(_xlfn.XLOOKUP(A1109,PARAMETROS!A:A,PARAMETROS!B:B)=0,"",_xlfn.XLOOKUP(A1109,PARAMETROS!A:A,PARAMETROS!B:B))</f>
        <v>000000000000</v>
      </c>
      <c r="C1109" t="str">
        <f>IF(_xlfn.XLOOKUP(A1109,PARAMETROS!A:A,PARAMETROS!C:C)=0,"",_xlfn.XLOOKUP(A1109,PARAMETROS!A:A,PARAMETROS!C:C))</f>
        <v/>
      </c>
      <c r="D1109" t="str">
        <f>IF(_xlfn.XLOOKUP(A1109,PARAMETROS!A:A,PARAMETROS!D:D)=0,"",_xlfn.XLOOKUP(A1109,PARAMETROS!A:A,PARAMETROS!D:D))</f>
        <v/>
      </c>
      <c r="E1109" t="str">
        <f>IF(_xlfn.XLOOKUP('PREENCHIMENTO|LETIVAS'!A1109,PARAMETROS!A:A,PARAMETROS!I:I)=0,"",_xlfn.XLOOKUP('PREENCHIMENTO|LETIVAS'!A1109,PARAMETROS!A:A,PARAMETROS!I:I))</f>
        <v>RPA</v>
      </c>
      <c r="F1109" s="3" t="s">
        <v>53</v>
      </c>
      <c r="G1109" s="3">
        <v>2</v>
      </c>
      <c r="H1109" s="3" t="s">
        <v>39</v>
      </c>
      <c r="I1109" s="3" t="s">
        <v>40</v>
      </c>
      <c r="J1109" s="3" t="s">
        <v>1850</v>
      </c>
      <c r="K1109" s="3" t="s">
        <v>1154</v>
      </c>
      <c r="L1109" s="19"/>
    </row>
    <row r="1110" spans="1:12">
      <c r="A1110" s="3" t="s">
        <v>856</v>
      </c>
      <c r="B1110" t="str">
        <f>IF(_xlfn.XLOOKUP(A1110,PARAMETROS!A:A,PARAMETROS!B:B)=0,"",_xlfn.XLOOKUP(A1110,PARAMETROS!A:A,PARAMETROS!B:B))</f>
        <v>000000000000</v>
      </c>
      <c r="C1110" t="str">
        <f>IF(_xlfn.XLOOKUP(A1110,PARAMETROS!A:A,PARAMETROS!C:C)=0,"",_xlfn.XLOOKUP(A1110,PARAMETROS!A:A,PARAMETROS!C:C))</f>
        <v/>
      </c>
      <c r="D1110" t="str">
        <f>IF(_xlfn.XLOOKUP(A1110,PARAMETROS!A:A,PARAMETROS!D:D)=0,"",_xlfn.XLOOKUP(A1110,PARAMETROS!A:A,PARAMETROS!D:D))</f>
        <v/>
      </c>
      <c r="E1110" t="str">
        <f>IF(_xlfn.XLOOKUP('PREENCHIMENTO|LETIVAS'!A1110,PARAMETROS!A:A,PARAMETROS!I:I)=0,"",_xlfn.XLOOKUP('PREENCHIMENTO|LETIVAS'!A1110,PARAMETROS!A:A,PARAMETROS!I:I))</f>
        <v>RPA</v>
      </c>
      <c r="F1110" s="3" t="s">
        <v>53</v>
      </c>
      <c r="G1110" s="3" t="s">
        <v>54</v>
      </c>
      <c r="H1110" s="3" t="s">
        <v>63</v>
      </c>
      <c r="I1110" s="3" t="s">
        <v>40</v>
      </c>
      <c r="J1110" s="3" t="s">
        <v>1414</v>
      </c>
      <c r="K1110" s="3" t="s">
        <v>1851</v>
      </c>
      <c r="L1110" s="19"/>
    </row>
    <row r="1111" spans="1:12">
      <c r="A1111" s="3" t="s">
        <v>856</v>
      </c>
      <c r="B1111" t="str">
        <f>IF(_xlfn.XLOOKUP(A1111,PARAMETROS!A:A,PARAMETROS!B:B)=0,"",_xlfn.XLOOKUP(A1111,PARAMETROS!A:A,PARAMETROS!B:B))</f>
        <v>000000000000</v>
      </c>
      <c r="C1111" t="str">
        <f>IF(_xlfn.XLOOKUP(A1111,PARAMETROS!A:A,PARAMETROS!C:C)=0,"",_xlfn.XLOOKUP(A1111,PARAMETROS!A:A,PARAMETROS!C:C))</f>
        <v/>
      </c>
      <c r="D1111" t="str">
        <f>IF(_xlfn.XLOOKUP(A1111,PARAMETROS!A:A,PARAMETROS!D:D)=0,"",_xlfn.XLOOKUP(A1111,PARAMETROS!A:A,PARAMETROS!D:D))</f>
        <v/>
      </c>
      <c r="E1111" t="str">
        <f>IF(_xlfn.XLOOKUP('PREENCHIMENTO|LETIVAS'!A1111,PARAMETROS!A:A,PARAMETROS!I:I)=0,"",_xlfn.XLOOKUP('PREENCHIMENTO|LETIVAS'!A1111,PARAMETROS!A:A,PARAMETROS!I:I))</f>
        <v>RPA</v>
      </c>
      <c r="F1111" s="3" t="s">
        <v>53</v>
      </c>
      <c r="G1111" s="3">
        <v>1</v>
      </c>
      <c r="H1111" s="3" t="s">
        <v>39</v>
      </c>
      <c r="I1111" s="3" t="s">
        <v>33</v>
      </c>
      <c r="J1111" s="3" t="s">
        <v>1852</v>
      </c>
      <c r="K1111" s="3" t="s">
        <v>1853</v>
      </c>
      <c r="L1111" s="19"/>
    </row>
    <row r="1112" spans="1:12">
      <c r="A1112" s="3" t="s">
        <v>856</v>
      </c>
      <c r="B1112" t="str">
        <f>IF(_xlfn.XLOOKUP(A1112,PARAMETROS!A:A,PARAMETROS!B:B)=0,"",_xlfn.XLOOKUP(A1112,PARAMETROS!A:A,PARAMETROS!B:B))</f>
        <v>000000000000</v>
      </c>
      <c r="C1112" t="str">
        <f>IF(_xlfn.XLOOKUP(A1112,PARAMETROS!A:A,PARAMETROS!C:C)=0,"",_xlfn.XLOOKUP(A1112,PARAMETROS!A:A,PARAMETROS!C:C))</f>
        <v/>
      </c>
      <c r="D1112" t="str">
        <f>IF(_xlfn.XLOOKUP(A1112,PARAMETROS!A:A,PARAMETROS!D:D)=0,"",_xlfn.XLOOKUP(A1112,PARAMETROS!A:A,PARAMETROS!D:D))</f>
        <v/>
      </c>
      <c r="E1112" t="str">
        <f>IF(_xlfn.XLOOKUP('PREENCHIMENTO|LETIVAS'!A1112,PARAMETROS!A:A,PARAMETROS!I:I)=0,"",_xlfn.XLOOKUP('PREENCHIMENTO|LETIVAS'!A1112,PARAMETROS!A:A,PARAMETROS!I:I))</f>
        <v>RPA</v>
      </c>
      <c r="F1112" s="3" t="s">
        <v>53</v>
      </c>
      <c r="G1112" s="3">
        <v>2</v>
      </c>
      <c r="H1112" s="3" t="s">
        <v>39</v>
      </c>
      <c r="I1112" s="3" t="s">
        <v>40</v>
      </c>
      <c r="J1112" s="3" t="s">
        <v>1854</v>
      </c>
      <c r="K1112" s="3" t="s">
        <v>1855</v>
      </c>
      <c r="L1112" s="19"/>
    </row>
    <row r="1113" spans="1:12">
      <c r="A1113" s="3" t="s">
        <v>856</v>
      </c>
      <c r="B1113" t="str">
        <f>IF(_xlfn.XLOOKUP(A1113,PARAMETROS!A:A,PARAMETROS!B:B)=0,"",_xlfn.XLOOKUP(A1113,PARAMETROS!A:A,PARAMETROS!B:B))</f>
        <v>000000000000</v>
      </c>
      <c r="C1113" t="str">
        <f>IF(_xlfn.XLOOKUP(A1113,PARAMETROS!A:A,PARAMETROS!C:C)=0,"",_xlfn.XLOOKUP(A1113,PARAMETROS!A:A,PARAMETROS!C:C))</f>
        <v/>
      </c>
      <c r="D1113" t="str">
        <f>IF(_xlfn.XLOOKUP(A1113,PARAMETROS!A:A,PARAMETROS!D:D)=0,"",_xlfn.XLOOKUP(A1113,PARAMETROS!A:A,PARAMETROS!D:D))</f>
        <v/>
      </c>
      <c r="E1113" t="str">
        <f>IF(_xlfn.XLOOKUP('PREENCHIMENTO|LETIVAS'!A1113,PARAMETROS!A:A,PARAMETROS!I:I)=0,"",_xlfn.XLOOKUP('PREENCHIMENTO|LETIVAS'!A1113,PARAMETROS!A:A,PARAMETROS!I:I))</f>
        <v>RPA</v>
      </c>
      <c r="F1113" s="3" t="s">
        <v>53</v>
      </c>
      <c r="G1113" s="3" t="s">
        <v>54</v>
      </c>
      <c r="H1113" s="3" t="s">
        <v>63</v>
      </c>
      <c r="I1113" s="3" t="s">
        <v>33</v>
      </c>
      <c r="J1113" s="3" t="s">
        <v>1856</v>
      </c>
      <c r="K1113" s="3" t="s">
        <v>1857</v>
      </c>
      <c r="L1113" s="19"/>
    </row>
    <row r="1114" spans="1:12">
      <c r="A1114" s="3" t="s">
        <v>856</v>
      </c>
      <c r="B1114" t="str">
        <f>IF(_xlfn.XLOOKUP(A1114,PARAMETROS!A:A,PARAMETROS!B:B)=0,"",_xlfn.XLOOKUP(A1114,PARAMETROS!A:A,PARAMETROS!B:B))</f>
        <v>000000000000</v>
      </c>
      <c r="C1114" t="str">
        <f>IF(_xlfn.XLOOKUP(A1114,PARAMETROS!A:A,PARAMETROS!C:C)=0,"",_xlfn.XLOOKUP(A1114,PARAMETROS!A:A,PARAMETROS!C:C))</f>
        <v/>
      </c>
      <c r="D1114" t="str">
        <f>IF(_xlfn.XLOOKUP(A1114,PARAMETROS!A:A,PARAMETROS!D:D)=0,"",_xlfn.XLOOKUP(A1114,PARAMETROS!A:A,PARAMETROS!D:D))</f>
        <v/>
      </c>
      <c r="E1114" t="str">
        <f>IF(_xlfn.XLOOKUP('PREENCHIMENTO|LETIVAS'!A1114,PARAMETROS!A:A,PARAMETROS!I:I)=0,"",_xlfn.XLOOKUP('PREENCHIMENTO|LETIVAS'!A1114,PARAMETROS!A:A,PARAMETROS!I:I))</f>
        <v>RPA</v>
      </c>
      <c r="F1114" s="3" t="s">
        <v>53</v>
      </c>
      <c r="G1114" s="3" t="s">
        <v>54</v>
      </c>
      <c r="H1114" s="3" t="s">
        <v>63</v>
      </c>
      <c r="I1114" s="3" t="s">
        <v>40</v>
      </c>
      <c r="J1114" s="3" t="s">
        <v>1858</v>
      </c>
      <c r="K1114" s="3" t="s">
        <v>1857</v>
      </c>
      <c r="L1114" s="19"/>
    </row>
    <row r="1115" spans="1:12">
      <c r="A1115" s="3" t="s">
        <v>856</v>
      </c>
      <c r="B1115" t="str">
        <f>IF(_xlfn.XLOOKUP(A1115,PARAMETROS!A:A,PARAMETROS!B:B)=0,"",_xlfn.XLOOKUP(A1115,PARAMETROS!A:A,PARAMETROS!B:B))</f>
        <v>000000000000</v>
      </c>
      <c r="C1115" t="str">
        <f>IF(_xlfn.XLOOKUP(A1115,PARAMETROS!A:A,PARAMETROS!C:C)=0,"",_xlfn.XLOOKUP(A1115,PARAMETROS!A:A,PARAMETROS!C:C))</f>
        <v/>
      </c>
      <c r="D1115" t="str">
        <f>IF(_xlfn.XLOOKUP(A1115,PARAMETROS!A:A,PARAMETROS!D:D)=0,"",_xlfn.XLOOKUP(A1115,PARAMETROS!A:A,PARAMETROS!D:D))</f>
        <v/>
      </c>
      <c r="E1115" t="str">
        <f>IF(_xlfn.XLOOKUP('PREENCHIMENTO|LETIVAS'!A1115,PARAMETROS!A:A,PARAMETROS!I:I)=0,"",_xlfn.XLOOKUP('PREENCHIMENTO|LETIVAS'!A1115,PARAMETROS!A:A,PARAMETROS!I:I))</f>
        <v>RPA</v>
      </c>
      <c r="F1115" s="3" t="s">
        <v>53</v>
      </c>
      <c r="G1115" s="3">
        <v>2</v>
      </c>
      <c r="H1115" s="3" t="s">
        <v>63</v>
      </c>
      <c r="I1115" s="3" t="s">
        <v>33</v>
      </c>
      <c r="J1115" s="3" t="s">
        <v>1859</v>
      </c>
      <c r="K1115" s="3" t="s">
        <v>1860</v>
      </c>
      <c r="L1115" s="19"/>
    </row>
    <row r="1116" spans="1:12">
      <c r="A1116" s="3" t="s">
        <v>856</v>
      </c>
      <c r="B1116" t="str">
        <f>IF(_xlfn.XLOOKUP(A1116,PARAMETROS!A:A,PARAMETROS!B:B)=0,"",_xlfn.XLOOKUP(A1116,PARAMETROS!A:A,PARAMETROS!B:B))</f>
        <v>000000000000</v>
      </c>
      <c r="C1116" t="str">
        <f>IF(_xlfn.XLOOKUP(A1116,PARAMETROS!A:A,PARAMETROS!C:C)=0,"",_xlfn.XLOOKUP(A1116,PARAMETROS!A:A,PARAMETROS!C:C))</f>
        <v/>
      </c>
      <c r="D1116" t="str">
        <f>IF(_xlfn.XLOOKUP(A1116,PARAMETROS!A:A,PARAMETROS!D:D)=0,"",_xlfn.XLOOKUP(A1116,PARAMETROS!A:A,PARAMETROS!D:D))</f>
        <v/>
      </c>
      <c r="E1116" t="str">
        <f>IF(_xlfn.XLOOKUP('PREENCHIMENTO|LETIVAS'!A1116,PARAMETROS!A:A,PARAMETROS!I:I)=0,"",_xlfn.XLOOKUP('PREENCHIMENTO|LETIVAS'!A1116,PARAMETROS!A:A,PARAMETROS!I:I))</f>
        <v>RPA</v>
      </c>
      <c r="F1116" s="3" t="s">
        <v>53</v>
      </c>
      <c r="G1116" s="3">
        <v>1</v>
      </c>
      <c r="H1116" s="3" t="s">
        <v>63</v>
      </c>
      <c r="I1116" s="3" t="s">
        <v>33</v>
      </c>
      <c r="J1116" s="3" t="s">
        <v>1861</v>
      </c>
      <c r="K1116" s="3" t="s">
        <v>1860</v>
      </c>
      <c r="L1116" s="19"/>
    </row>
    <row r="1117" spans="1:12">
      <c r="A1117" s="3" t="s">
        <v>856</v>
      </c>
      <c r="B1117" t="str">
        <f>IF(_xlfn.XLOOKUP(A1117,PARAMETROS!A:A,PARAMETROS!B:B)=0,"",_xlfn.XLOOKUP(A1117,PARAMETROS!A:A,PARAMETROS!B:B))</f>
        <v>000000000000</v>
      </c>
      <c r="C1117" t="str">
        <f>IF(_xlfn.XLOOKUP(A1117,PARAMETROS!A:A,PARAMETROS!C:C)=0,"",_xlfn.XLOOKUP(A1117,PARAMETROS!A:A,PARAMETROS!C:C))</f>
        <v/>
      </c>
      <c r="D1117" t="str">
        <f>IF(_xlfn.XLOOKUP(A1117,PARAMETROS!A:A,PARAMETROS!D:D)=0,"",_xlfn.XLOOKUP(A1117,PARAMETROS!A:A,PARAMETROS!D:D))</f>
        <v/>
      </c>
      <c r="E1117" t="str">
        <f>IF(_xlfn.XLOOKUP('PREENCHIMENTO|LETIVAS'!A1117,PARAMETROS!A:A,PARAMETROS!I:I)=0,"",_xlfn.XLOOKUP('PREENCHIMENTO|LETIVAS'!A1117,PARAMETROS!A:A,PARAMETROS!I:I))</f>
        <v>RPA</v>
      </c>
      <c r="F1117" s="3" t="s">
        <v>53</v>
      </c>
      <c r="G1117" s="3">
        <v>1</v>
      </c>
      <c r="H1117" s="3" t="s">
        <v>39</v>
      </c>
      <c r="I1117" s="3" t="s">
        <v>40</v>
      </c>
      <c r="J1117" s="3" t="s">
        <v>1777</v>
      </c>
      <c r="K1117" s="3" t="s">
        <v>1778</v>
      </c>
      <c r="L1117" s="19"/>
    </row>
    <row r="1118" spans="1:12">
      <c r="A1118" s="3" t="s">
        <v>856</v>
      </c>
      <c r="B1118" t="str">
        <f>IF(_xlfn.XLOOKUP(A1118,PARAMETROS!A:A,PARAMETROS!B:B)=0,"",_xlfn.XLOOKUP(A1118,PARAMETROS!A:A,PARAMETROS!B:B))</f>
        <v>000000000000</v>
      </c>
      <c r="C1118" t="str">
        <f>IF(_xlfn.XLOOKUP(A1118,PARAMETROS!A:A,PARAMETROS!C:C)=0,"",_xlfn.XLOOKUP(A1118,PARAMETROS!A:A,PARAMETROS!C:C))</f>
        <v/>
      </c>
      <c r="D1118" t="str">
        <f>IF(_xlfn.XLOOKUP(A1118,PARAMETROS!A:A,PARAMETROS!D:D)=0,"",_xlfn.XLOOKUP(A1118,PARAMETROS!A:A,PARAMETROS!D:D))</f>
        <v/>
      </c>
      <c r="E1118" t="str">
        <f>IF(_xlfn.XLOOKUP('PREENCHIMENTO|LETIVAS'!A1118,PARAMETROS!A:A,PARAMETROS!I:I)=0,"",_xlfn.XLOOKUP('PREENCHIMENTO|LETIVAS'!A1118,PARAMETROS!A:A,PARAMETROS!I:I))</f>
        <v>RPA</v>
      </c>
      <c r="F1118" s="3" t="s">
        <v>53</v>
      </c>
      <c r="G1118" s="3">
        <v>2</v>
      </c>
      <c r="H1118" s="3" t="s">
        <v>32</v>
      </c>
      <c r="I1118" s="3" t="s">
        <v>33</v>
      </c>
      <c r="J1118" s="3" t="s">
        <v>1862</v>
      </c>
      <c r="K1118" s="3" t="s">
        <v>1863</v>
      </c>
      <c r="L1118" s="19"/>
    </row>
    <row r="1119" spans="1:12">
      <c r="A1119" s="3" t="s">
        <v>856</v>
      </c>
      <c r="B1119" t="str">
        <f>IF(_xlfn.XLOOKUP(A1119,PARAMETROS!A:A,PARAMETROS!B:B)=0,"",_xlfn.XLOOKUP(A1119,PARAMETROS!A:A,PARAMETROS!B:B))</f>
        <v>000000000000</v>
      </c>
      <c r="C1119" t="str">
        <f>IF(_xlfn.XLOOKUP(A1119,PARAMETROS!A:A,PARAMETROS!C:C)=0,"",_xlfn.XLOOKUP(A1119,PARAMETROS!A:A,PARAMETROS!C:C))</f>
        <v/>
      </c>
      <c r="D1119" t="str">
        <f>IF(_xlfn.XLOOKUP(A1119,PARAMETROS!A:A,PARAMETROS!D:D)=0,"",_xlfn.XLOOKUP(A1119,PARAMETROS!A:A,PARAMETROS!D:D))</f>
        <v/>
      </c>
      <c r="E1119" t="str">
        <f>IF(_xlfn.XLOOKUP('PREENCHIMENTO|LETIVAS'!A1119,PARAMETROS!A:A,PARAMETROS!I:I)=0,"",_xlfn.XLOOKUP('PREENCHIMENTO|LETIVAS'!A1119,PARAMETROS!A:A,PARAMETROS!I:I))</f>
        <v>RPA</v>
      </c>
      <c r="F1119" s="3" t="s">
        <v>53</v>
      </c>
      <c r="G1119" s="3">
        <v>2</v>
      </c>
      <c r="H1119" s="3" t="s">
        <v>32</v>
      </c>
      <c r="I1119" s="3" t="s">
        <v>33</v>
      </c>
      <c r="J1119" s="3" t="s">
        <v>1864</v>
      </c>
      <c r="K1119" s="3" t="s">
        <v>1865</v>
      </c>
      <c r="L1119" s="19"/>
    </row>
    <row r="1120" spans="1:12">
      <c r="A1120" s="3" t="s">
        <v>835</v>
      </c>
      <c r="B1120" t="str">
        <f>IF(_xlfn.XLOOKUP(A1120,PARAMETROS!A:A,PARAMETROS!B:B)=0,"",_xlfn.XLOOKUP(A1120,PARAMETROS!A:A,PARAMETROS!B:B))</f>
        <v>012009007540</v>
      </c>
      <c r="C1120">
        <f>IF(_xlfn.XLOOKUP(A1120,PARAMETROS!A:A,PARAMETROS!C:C)=0,"",_xlfn.XLOOKUP(A1120,PARAMETROS!A:A,PARAMETROS!C:C))</f>
        <v>12</v>
      </c>
      <c r="D1120">
        <f>IF(_xlfn.XLOOKUP(A1120,PARAMETROS!A:A,PARAMETROS!D:D)=0,"",_xlfn.XLOOKUP(A1120,PARAMETROS!A:A,PARAMETROS!D:D))</f>
        <v>9</v>
      </c>
      <c r="E1120" t="str">
        <f>IF(_xlfn.XLOOKUP('PREENCHIMENTO|LETIVAS'!A1120,PARAMETROS!A:A,PARAMETROS!I:I)=0,"",_xlfn.XLOOKUP('PREENCHIMENTO|LETIVAS'!A1120,PARAMETROS!A:A,PARAMETROS!I:I))</f>
        <v>PROFESSOR REGENTE</v>
      </c>
      <c r="F1120" s="3" t="s">
        <v>53</v>
      </c>
      <c r="G1120" s="3">
        <v>1</v>
      </c>
      <c r="H1120" s="3" t="s">
        <v>39</v>
      </c>
      <c r="I1120" s="3" t="s">
        <v>33</v>
      </c>
      <c r="J1120" s="3" t="s">
        <v>1041</v>
      </c>
      <c r="K1120" s="3"/>
      <c r="L1120" s="19"/>
    </row>
    <row r="1121" spans="1:12">
      <c r="A1121" s="3" t="s">
        <v>835</v>
      </c>
      <c r="B1121" t="str">
        <f>IF(_xlfn.XLOOKUP(A1121,PARAMETROS!A:A,PARAMETROS!B:B)=0,"",_xlfn.XLOOKUP(A1121,PARAMETROS!A:A,PARAMETROS!B:B))</f>
        <v>012009007540</v>
      </c>
      <c r="C1121">
        <f>IF(_xlfn.XLOOKUP(A1121,PARAMETROS!A:A,PARAMETROS!C:C)=0,"",_xlfn.XLOOKUP(A1121,PARAMETROS!A:A,PARAMETROS!C:C))</f>
        <v>12</v>
      </c>
      <c r="D1121">
        <f>IF(_xlfn.XLOOKUP(A1121,PARAMETROS!A:A,PARAMETROS!D:D)=0,"",_xlfn.XLOOKUP(A1121,PARAMETROS!A:A,PARAMETROS!D:D))</f>
        <v>9</v>
      </c>
      <c r="E1121" t="str">
        <f>IF(_xlfn.XLOOKUP('PREENCHIMENTO|LETIVAS'!A1121,PARAMETROS!A:A,PARAMETROS!I:I)=0,"",_xlfn.XLOOKUP('PREENCHIMENTO|LETIVAS'!A1121,PARAMETROS!A:A,PARAMETROS!I:I))</f>
        <v>PROFESSOR REGENTE</v>
      </c>
      <c r="F1121" s="3" t="s">
        <v>53</v>
      </c>
      <c r="G1121" s="3" t="s">
        <v>54</v>
      </c>
      <c r="H1121" s="3" t="s">
        <v>63</v>
      </c>
      <c r="I1121" s="3" t="s">
        <v>33</v>
      </c>
      <c r="J1121" s="3" t="s">
        <v>1545</v>
      </c>
      <c r="K1121" s="3"/>
      <c r="L1121" s="19"/>
    </row>
    <row r="1122" spans="1:12">
      <c r="A1122" s="3" t="s">
        <v>605</v>
      </c>
      <c r="B1122" t="str">
        <f>IF(_xlfn.XLOOKUP(A1122,PARAMETROS!A:A,PARAMETROS!B:B)=0,"",_xlfn.XLOOKUP(A1122,PARAMETROS!A:A,PARAMETROS!B:B))</f>
        <v>012009006312</v>
      </c>
      <c r="C1122">
        <f>IF(_xlfn.XLOOKUP(A1122,PARAMETROS!A:A,PARAMETROS!C:C)=0,"",_xlfn.XLOOKUP(A1122,PARAMETROS!A:A,PARAMETROS!C:C))</f>
        <v>12</v>
      </c>
      <c r="D1122">
        <f>IF(_xlfn.XLOOKUP(A1122,PARAMETROS!A:A,PARAMETROS!D:D)=0,"",_xlfn.XLOOKUP(A1122,PARAMETROS!A:A,PARAMETROS!D:D))</f>
        <v>9</v>
      </c>
      <c r="E1122" t="str">
        <f>IF(_xlfn.XLOOKUP('PREENCHIMENTO|LETIVAS'!A1122,PARAMETROS!A:A,PARAMETROS!I:I)=0,"",_xlfn.XLOOKUP('PREENCHIMENTO|LETIVAS'!A1122,PARAMETROS!A:A,PARAMETROS!I:I))</f>
        <v>PROFESSOR REGENTE</v>
      </c>
      <c r="F1122" s="3" t="s">
        <v>53</v>
      </c>
      <c r="G1122" s="3" t="s">
        <v>54</v>
      </c>
      <c r="H1122" s="3" t="s">
        <v>55</v>
      </c>
      <c r="I1122" s="3" t="s">
        <v>33</v>
      </c>
      <c r="J1122" s="3" t="s">
        <v>1866</v>
      </c>
      <c r="K1122" s="3"/>
      <c r="L1122" s="19"/>
    </row>
    <row r="1123" spans="1:12">
      <c r="A1123" s="3" t="s">
        <v>141</v>
      </c>
      <c r="B1123" t="str">
        <f>IF(_xlfn.XLOOKUP(A1123,PARAMETROS!A:A,PARAMETROS!B:B)=0,"",_xlfn.XLOOKUP(A1123,PARAMETROS!A:A,PARAMETROS!B:B))</f>
        <v>012009005339</v>
      </c>
      <c r="C1123">
        <f>IF(_xlfn.XLOOKUP(A1123,PARAMETROS!A:A,PARAMETROS!C:C)=0,"",_xlfn.XLOOKUP(A1123,PARAMETROS!A:A,PARAMETROS!C:C))</f>
        <v>40</v>
      </c>
      <c r="D1123">
        <f>IF(_xlfn.XLOOKUP(A1123,PARAMETROS!A:A,PARAMETROS!D:D)=0,"",_xlfn.XLOOKUP(A1123,PARAMETROS!A:A,PARAMETROS!D:D))</f>
        <v>4</v>
      </c>
      <c r="E1123" t="str">
        <f>IF(_xlfn.XLOOKUP('PREENCHIMENTO|LETIVAS'!A1123,PARAMETROS!A:A,PARAMETROS!I:I)=0,"",_xlfn.XLOOKUP('PREENCHIMENTO|LETIVAS'!A1123,PARAMETROS!A:A,PARAMETROS!I:I))</f>
        <v>PROFESSOR DE ENSINO SUPERIOR EAD</v>
      </c>
      <c r="F1123" s="3" t="s">
        <v>53</v>
      </c>
      <c r="G1123" s="3" t="s">
        <v>54</v>
      </c>
      <c r="H1123" s="3" t="s">
        <v>55</v>
      </c>
      <c r="I1123" s="3" t="s">
        <v>40</v>
      </c>
      <c r="J1123" s="3" t="s">
        <v>1867</v>
      </c>
      <c r="K1123" s="3"/>
      <c r="L1123" s="19"/>
    </row>
    <row r="1124" spans="1:12">
      <c r="A1124" s="3" t="s">
        <v>656</v>
      </c>
      <c r="B1124" t="str">
        <f>IF(_xlfn.XLOOKUP(A1124,PARAMETROS!A:A,PARAMETROS!B:B)=0,"",_xlfn.XLOOKUP(A1124,PARAMETROS!A:A,PARAMETROS!B:B))</f>
        <v>012009005387</v>
      </c>
      <c r="C1124">
        <f>IF(_xlfn.XLOOKUP(A1124,PARAMETROS!A:A,PARAMETROS!C:C)=0,"",_xlfn.XLOOKUP(A1124,PARAMETROS!A:A,PARAMETROS!C:C))</f>
        <v>40</v>
      </c>
      <c r="D1124">
        <f>IF(_xlfn.XLOOKUP(A1124,PARAMETROS!A:A,PARAMETROS!D:D)=0,"",_xlfn.XLOOKUP(A1124,PARAMETROS!A:A,PARAMETROS!D:D))</f>
        <v>20</v>
      </c>
      <c r="E1124" t="str">
        <f>IF(_xlfn.XLOOKUP('PREENCHIMENTO|LETIVAS'!A1124,PARAMETROS!A:A,PARAMETROS!I:I)=0,"",_xlfn.XLOOKUP('PREENCHIMENTO|LETIVAS'!A1124,PARAMETROS!A:A,PARAMETROS!I:I))</f>
        <v>PROFESSOR REGENTE</v>
      </c>
      <c r="F1124" s="3" t="s">
        <v>53</v>
      </c>
      <c r="G1124" s="3" t="s">
        <v>54</v>
      </c>
      <c r="H1124" s="3" t="s">
        <v>55</v>
      </c>
      <c r="I1124" s="3" t="s">
        <v>33</v>
      </c>
      <c r="J1124" s="3" t="s">
        <v>1868</v>
      </c>
      <c r="K1124" s="3"/>
      <c r="L1124" s="19"/>
    </row>
    <row r="1125" spans="1:12">
      <c r="A1125" s="3" t="s">
        <v>656</v>
      </c>
      <c r="B1125" t="str">
        <f>IF(_xlfn.XLOOKUP(A1125,PARAMETROS!A:A,PARAMETROS!B:B)=0,"",_xlfn.XLOOKUP(A1125,PARAMETROS!A:A,PARAMETROS!B:B))</f>
        <v>012009005387</v>
      </c>
      <c r="C1125">
        <f>IF(_xlfn.XLOOKUP(A1125,PARAMETROS!A:A,PARAMETROS!C:C)=0,"",_xlfn.XLOOKUP(A1125,PARAMETROS!A:A,PARAMETROS!C:C))</f>
        <v>40</v>
      </c>
      <c r="D1125">
        <f>IF(_xlfn.XLOOKUP(A1125,PARAMETROS!A:A,PARAMETROS!D:D)=0,"",_xlfn.XLOOKUP(A1125,PARAMETROS!A:A,PARAMETROS!D:D))</f>
        <v>20</v>
      </c>
      <c r="E1125" t="str">
        <f>IF(_xlfn.XLOOKUP('PREENCHIMENTO|LETIVAS'!A1125,PARAMETROS!A:A,PARAMETROS!I:I)=0,"",_xlfn.XLOOKUP('PREENCHIMENTO|LETIVAS'!A1125,PARAMETROS!A:A,PARAMETROS!I:I))</f>
        <v>PROFESSOR REGENTE</v>
      </c>
      <c r="F1125" s="3" t="s">
        <v>53</v>
      </c>
      <c r="G1125" s="3" t="s">
        <v>54</v>
      </c>
      <c r="H1125" s="3" t="s">
        <v>55</v>
      </c>
      <c r="I1125" s="3" t="s">
        <v>40</v>
      </c>
      <c r="J1125" s="3" t="s">
        <v>1869</v>
      </c>
      <c r="K1125" s="3"/>
      <c r="L1125" s="19"/>
    </row>
    <row r="1126" spans="1:12">
      <c r="A1126" s="3" t="s">
        <v>444</v>
      </c>
      <c r="B1126" t="str">
        <f>IF(_xlfn.XLOOKUP(A1126,PARAMETROS!A:A,PARAMETROS!B:B)=0,"",_xlfn.XLOOKUP(A1126,PARAMETROS!A:A,PARAMETROS!B:B))</f>
        <v>012009004318</v>
      </c>
      <c r="C1126">
        <f>IF(_xlfn.XLOOKUP(A1126,PARAMETROS!A:A,PARAMETROS!C:C)=0,"",_xlfn.XLOOKUP(A1126,PARAMETROS!A:A,PARAMETROS!C:C))</f>
        <v>20</v>
      </c>
      <c r="D1126">
        <f>IF(_xlfn.XLOOKUP(A1126,PARAMETROS!A:A,PARAMETROS!D:D)=0,"",_xlfn.XLOOKUP(A1126,PARAMETROS!A:A,PARAMETROS!D:D))</f>
        <v>2</v>
      </c>
      <c r="E1126" t="str">
        <f>IF(_xlfn.XLOOKUP('PREENCHIMENTO|LETIVAS'!A1126,PARAMETROS!A:A,PARAMETROS!I:I)=0,"",_xlfn.XLOOKUP('PREENCHIMENTO|LETIVAS'!A1126,PARAMETROS!A:A,PARAMETROS!I:I))</f>
        <v>PROFESSOR DE ENSINO SUPERIOR EAD</v>
      </c>
      <c r="F1126" s="3" t="s">
        <v>53</v>
      </c>
      <c r="G1126" s="3" t="s">
        <v>54</v>
      </c>
      <c r="H1126" s="3" t="s">
        <v>39</v>
      </c>
      <c r="I1126" s="3" t="s">
        <v>33</v>
      </c>
      <c r="J1126" s="3" t="s">
        <v>1122</v>
      </c>
      <c r="K1126" s="3" t="s">
        <v>1544</v>
      </c>
      <c r="L1126" s="19"/>
    </row>
    <row r="1127" spans="1:12">
      <c r="A1127" s="3" t="s">
        <v>444</v>
      </c>
      <c r="B1127" t="str">
        <f>IF(_xlfn.XLOOKUP(A1127,PARAMETROS!A:A,PARAMETROS!B:B)=0,"",_xlfn.XLOOKUP(A1127,PARAMETROS!A:A,PARAMETROS!B:B))</f>
        <v>012009004318</v>
      </c>
      <c r="C1127">
        <f>IF(_xlfn.XLOOKUP(A1127,PARAMETROS!A:A,PARAMETROS!C:C)=0,"",_xlfn.XLOOKUP(A1127,PARAMETROS!A:A,PARAMETROS!C:C))</f>
        <v>20</v>
      </c>
      <c r="D1127">
        <f>IF(_xlfn.XLOOKUP(A1127,PARAMETROS!A:A,PARAMETROS!D:D)=0,"",_xlfn.XLOOKUP(A1127,PARAMETROS!A:A,PARAMETROS!D:D))</f>
        <v>2</v>
      </c>
      <c r="E1127" t="str">
        <f>IF(_xlfn.XLOOKUP('PREENCHIMENTO|LETIVAS'!A1127,PARAMETROS!A:A,PARAMETROS!I:I)=0,"",_xlfn.XLOOKUP('PREENCHIMENTO|LETIVAS'!A1127,PARAMETROS!A:A,PARAMETROS!I:I))</f>
        <v>PROFESSOR DE ENSINO SUPERIOR EAD</v>
      </c>
      <c r="F1127" s="3" t="s">
        <v>53</v>
      </c>
      <c r="G1127" s="3">
        <v>1</v>
      </c>
      <c r="H1127" s="3" t="s">
        <v>39</v>
      </c>
      <c r="I1127" s="3" t="s">
        <v>33</v>
      </c>
      <c r="J1127" s="3" t="s">
        <v>1121</v>
      </c>
      <c r="K1127" s="3"/>
      <c r="L1127" s="19"/>
    </row>
    <row r="1128" spans="1:12">
      <c r="A1128" s="3" t="s">
        <v>856</v>
      </c>
      <c r="B1128" t="str">
        <f>IF(_xlfn.XLOOKUP(A1128,PARAMETROS!A:A,PARAMETROS!B:B)=0,"",_xlfn.XLOOKUP(A1128,PARAMETROS!A:A,PARAMETROS!B:B))</f>
        <v>000000000000</v>
      </c>
      <c r="C1128" t="str">
        <f>IF(_xlfn.XLOOKUP(A1128,PARAMETROS!A:A,PARAMETROS!C:C)=0,"",_xlfn.XLOOKUP(A1128,PARAMETROS!A:A,PARAMETROS!C:C))</f>
        <v/>
      </c>
      <c r="D1128" t="str">
        <f>IF(_xlfn.XLOOKUP(A1128,PARAMETROS!A:A,PARAMETROS!D:D)=0,"",_xlfn.XLOOKUP(A1128,PARAMETROS!A:A,PARAMETROS!D:D))</f>
        <v/>
      </c>
      <c r="E1128" t="str">
        <f>IF(_xlfn.XLOOKUP('PREENCHIMENTO|LETIVAS'!A1128,PARAMETROS!A:A,PARAMETROS!I:I)=0,"",_xlfn.XLOOKUP('PREENCHIMENTO|LETIVAS'!A1128,PARAMETROS!A:A,PARAMETROS!I:I))</f>
        <v>RPA</v>
      </c>
      <c r="F1128" s="3" t="s">
        <v>53</v>
      </c>
      <c r="G1128" s="3">
        <v>1</v>
      </c>
      <c r="H1128" s="3" t="s">
        <v>63</v>
      </c>
      <c r="I1128" s="3" t="s">
        <v>40</v>
      </c>
      <c r="J1128" s="3" t="s">
        <v>1870</v>
      </c>
      <c r="K1128" s="3" t="s">
        <v>1871</v>
      </c>
      <c r="L1128" s="19"/>
    </row>
    <row r="1129" spans="1:12">
      <c r="A1129" s="3" t="s">
        <v>856</v>
      </c>
      <c r="B1129" t="str">
        <f>IF(_xlfn.XLOOKUP(A1129,PARAMETROS!A:A,PARAMETROS!B:B)=0,"",_xlfn.XLOOKUP(A1129,PARAMETROS!A:A,PARAMETROS!B:B))</f>
        <v>000000000000</v>
      </c>
      <c r="C1129" t="str">
        <f>IF(_xlfn.XLOOKUP(A1129,PARAMETROS!A:A,PARAMETROS!C:C)=0,"",_xlfn.XLOOKUP(A1129,PARAMETROS!A:A,PARAMETROS!C:C))</f>
        <v/>
      </c>
      <c r="D1129" t="str">
        <f>IF(_xlfn.XLOOKUP(A1129,PARAMETROS!A:A,PARAMETROS!D:D)=0,"",_xlfn.XLOOKUP(A1129,PARAMETROS!A:A,PARAMETROS!D:D))</f>
        <v/>
      </c>
      <c r="E1129" t="str">
        <f>IF(_xlfn.XLOOKUP('PREENCHIMENTO|LETIVAS'!A1129,PARAMETROS!A:A,PARAMETROS!I:I)=0,"",_xlfn.XLOOKUP('PREENCHIMENTO|LETIVAS'!A1129,PARAMETROS!A:A,PARAMETROS!I:I))</f>
        <v>RPA</v>
      </c>
      <c r="F1129" s="3" t="s">
        <v>53</v>
      </c>
      <c r="G1129" s="3" t="s">
        <v>54</v>
      </c>
      <c r="H1129" s="3" t="s">
        <v>55</v>
      </c>
      <c r="I1129" s="3" t="s">
        <v>33</v>
      </c>
      <c r="J1129" s="3" t="s">
        <v>1872</v>
      </c>
      <c r="K1129" s="3" t="s">
        <v>1873</v>
      </c>
      <c r="L1129" s="19"/>
    </row>
    <row r="1130" spans="1:12">
      <c r="A1130" s="3" t="s">
        <v>856</v>
      </c>
      <c r="B1130" t="str">
        <f>IF(_xlfn.XLOOKUP(A1130,PARAMETROS!A:A,PARAMETROS!B:B)=0,"",_xlfn.XLOOKUP(A1130,PARAMETROS!A:A,PARAMETROS!B:B))</f>
        <v>000000000000</v>
      </c>
      <c r="C1130" t="str">
        <f>IF(_xlfn.XLOOKUP(A1130,PARAMETROS!A:A,PARAMETROS!C:C)=0,"",_xlfn.XLOOKUP(A1130,PARAMETROS!A:A,PARAMETROS!C:C))</f>
        <v/>
      </c>
      <c r="D1130" t="str">
        <f>IF(_xlfn.XLOOKUP(A1130,PARAMETROS!A:A,PARAMETROS!D:D)=0,"",_xlfn.XLOOKUP(A1130,PARAMETROS!A:A,PARAMETROS!D:D))</f>
        <v/>
      </c>
      <c r="E1130" t="str">
        <f>IF(_xlfn.XLOOKUP('PREENCHIMENTO|LETIVAS'!A1130,PARAMETROS!A:A,PARAMETROS!I:I)=0,"",_xlfn.XLOOKUP('PREENCHIMENTO|LETIVAS'!A1130,PARAMETROS!A:A,PARAMETROS!I:I))</f>
        <v>RPA</v>
      </c>
      <c r="F1130" s="3" t="s">
        <v>53</v>
      </c>
      <c r="G1130" s="3">
        <v>1</v>
      </c>
      <c r="H1130" s="3" t="s">
        <v>32</v>
      </c>
      <c r="I1130" s="3" t="s">
        <v>33</v>
      </c>
      <c r="J1130" s="3" t="s">
        <v>1874</v>
      </c>
      <c r="K1130" s="3" t="s">
        <v>1875</v>
      </c>
      <c r="L1130" s="19"/>
    </row>
    <row r="1131" spans="1:12">
      <c r="A1131" s="3" t="s">
        <v>842</v>
      </c>
      <c r="B1131" t="str">
        <f>IF(_xlfn.XLOOKUP(A1131,PARAMETROS!A:A,PARAMETROS!B:B)=0,"",_xlfn.XLOOKUP(A1131,PARAMETROS!A:A,PARAMETROS!B:B))</f>
        <v>012009007750</v>
      </c>
      <c r="C1131">
        <f>IF(_xlfn.XLOOKUP(A1131,PARAMETROS!A:A,PARAMETROS!C:C)=0,"",_xlfn.XLOOKUP(A1131,PARAMETROS!A:A,PARAMETROS!C:C))</f>
        <v>12</v>
      </c>
      <c r="D1131">
        <f>IF(_xlfn.XLOOKUP(A1131,PARAMETROS!A:A,PARAMETROS!D:D)=0,"",_xlfn.XLOOKUP(A1131,PARAMETROS!A:A,PARAMETROS!D:D))</f>
        <v>9</v>
      </c>
      <c r="E1131" t="str">
        <f>IF(_xlfn.XLOOKUP('PREENCHIMENTO|LETIVAS'!A1131,PARAMETROS!A:A,PARAMETROS!I:I)=0,"",_xlfn.XLOOKUP('PREENCHIMENTO|LETIVAS'!A1131,PARAMETROS!A:A,PARAMETROS!I:I))</f>
        <v>PROFESSOR REGENTE</v>
      </c>
      <c r="F1131" s="3" t="s">
        <v>53</v>
      </c>
      <c r="G1131" s="3">
        <v>2</v>
      </c>
      <c r="H1131" s="3" t="s">
        <v>55</v>
      </c>
      <c r="I1131" s="3" t="s">
        <v>33</v>
      </c>
      <c r="J1131" s="3" t="s">
        <v>1565</v>
      </c>
      <c r="K1131" s="3"/>
      <c r="L1131" s="19"/>
    </row>
    <row r="1132" spans="1:12">
      <c r="A1132" s="3" t="s">
        <v>842</v>
      </c>
      <c r="B1132" t="str">
        <f>IF(_xlfn.XLOOKUP(A1132,PARAMETROS!A:A,PARAMETROS!B:B)=0,"",_xlfn.XLOOKUP(A1132,PARAMETROS!A:A,PARAMETROS!B:B))</f>
        <v>012009007750</v>
      </c>
      <c r="C1132">
        <f>IF(_xlfn.XLOOKUP(A1132,PARAMETROS!A:A,PARAMETROS!C:C)=0,"",_xlfn.XLOOKUP(A1132,PARAMETROS!A:A,PARAMETROS!C:C))</f>
        <v>12</v>
      </c>
      <c r="D1132">
        <f>IF(_xlfn.XLOOKUP(A1132,PARAMETROS!A:A,PARAMETROS!D:D)=0,"",_xlfn.XLOOKUP(A1132,PARAMETROS!A:A,PARAMETROS!D:D))</f>
        <v>9</v>
      </c>
      <c r="E1132" t="str">
        <f>IF(_xlfn.XLOOKUP('PREENCHIMENTO|LETIVAS'!A1132,PARAMETROS!A:A,PARAMETROS!I:I)=0,"",_xlfn.XLOOKUP('PREENCHIMENTO|LETIVAS'!A1132,PARAMETROS!A:A,PARAMETROS!I:I))</f>
        <v>PROFESSOR REGENTE</v>
      </c>
      <c r="F1132" s="3" t="s">
        <v>53</v>
      </c>
      <c r="G1132" s="3">
        <v>2</v>
      </c>
      <c r="H1132" s="3" t="s">
        <v>55</v>
      </c>
      <c r="I1132" s="3" t="s">
        <v>40</v>
      </c>
      <c r="J1132" s="3" t="s">
        <v>1564</v>
      </c>
      <c r="K1132" s="3"/>
      <c r="L1132" s="19"/>
    </row>
    <row r="1133" spans="1:12">
      <c r="A1133" s="3"/>
      <c r="B1133" t="str">
        <f>IF(_xlfn.XLOOKUP(A1133,PARAMETROS!A:A,PARAMETROS!B:B)=0,"",_xlfn.XLOOKUP(A1133,PARAMETROS!A:A,PARAMETROS!B:B))</f>
        <v/>
      </c>
      <c r="C1133" t="str">
        <f>IF(_xlfn.XLOOKUP(A1133,PARAMETROS!A:A,PARAMETROS!C:C)=0,"",_xlfn.XLOOKUP(A1133,PARAMETROS!A:A,PARAMETROS!C:C))</f>
        <v/>
      </c>
      <c r="D1133" t="str">
        <f>IF(_xlfn.XLOOKUP(A1133,PARAMETROS!A:A,PARAMETROS!D:D)=0,"",_xlfn.XLOOKUP(A1133,PARAMETROS!A:A,PARAMETROS!D:D))</f>
        <v/>
      </c>
      <c r="E1133" t="str">
        <f>IF(_xlfn.XLOOKUP('PREENCHIMENTO|LETIVAS'!A1133,PARAMETROS!A:A,PARAMETROS!I:I)=0,"",_xlfn.XLOOKUP('PREENCHIMENTO|LETIVAS'!A1133,PARAMETROS!A:A,PARAMETROS!I:I))</f>
        <v/>
      </c>
      <c r="F1133" s="3"/>
      <c r="G1133" s="3"/>
      <c r="H1133" s="3"/>
      <c r="I1133" s="3"/>
      <c r="J1133" s="3"/>
      <c r="K1133" s="3"/>
      <c r="L1133" s="19"/>
    </row>
    <row r="1134" spans="1:12">
      <c r="A1134" s="3"/>
      <c r="B1134" t="str">
        <f>IF(_xlfn.XLOOKUP(A1134,PARAMETROS!A:A,PARAMETROS!B:B)=0,"",_xlfn.XLOOKUP(A1134,PARAMETROS!A:A,PARAMETROS!B:B))</f>
        <v/>
      </c>
      <c r="C1134" t="str">
        <f>IF(_xlfn.XLOOKUP(A1134,PARAMETROS!A:A,PARAMETROS!C:C)=0,"",_xlfn.XLOOKUP(A1134,PARAMETROS!A:A,PARAMETROS!C:C))</f>
        <v/>
      </c>
      <c r="D1134" t="str">
        <f>IF(_xlfn.XLOOKUP(A1134,PARAMETROS!A:A,PARAMETROS!D:D)=0,"",_xlfn.XLOOKUP(A1134,PARAMETROS!A:A,PARAMETROS!D:D))</f>
        <v/>
      </c>
      <c r="E1134" t="str">
        <f>IF(_xlfn.XLOOKUP('PREENCHIMENTO|LETIVAS'!A1134,PARAMETROS!A:A,PARAMETROS!I:I)=0,"",_xlfn.XLOOKUP('PREENCHIMENTO|LETIVAS'!A1134,PARAMETROS!A:A,PARAMETROS!I:I))</f>
        <v/>
      </c>
      <c r="F1134" s="3"/>
      <c r="G1134" s="3"/>
      <c r="H1134" s="3"/>
      <c r="I1134" s="3"/>
      <c r="J1134" s="3"/>
      <c r="K1134" s="3"/>
      <c r="L1134" s="19"/>
    </row>
    <row r="1135" spans="1:12">
      <c r="A1135" s="3"/>
      <c r="B1135" t="str">
        <f>IF(_xlfn.XLOOKUP(A1135,PARAMETROS!A:A,PARAMETROS!B:B)=0,"",_xlfn.XLOOKUP(A1135,PARAMETROS!A:A,PARAMETROS!B:B))</f>
        <v/>
      </c>
      <c r="C1135" t="str">
        <f>IF(_xlfn.XLOOKUP(A1135,PARAMETROS!A:A,PARAMETROS!C:C)=0,"",_xlfn.XLOOKUP(A1135,PARAMETROS!A:A,PARAMETROS!C:C))</f>
        <v/>
      </c>
      <c r="D1135" t="str">
        <f>IF(_xlfn.XLOOKUP(A1135,PARAMETROS!A:A,PARAMETROS!D:D)=0,"",_xlfn.XLOOKUP(A1135,PARAMETROS!A:A,PARAMETROS!D:D))</f>
        <v/>
      </c>
      <c r="E1135" t="str">
        <f>IF(_xlfn.XLOOKUP('PREENCHIMENTO|LETIVAS'!A1135,PARAMETROS!A:A,PARAMETROS!I:I)=0,"",_xlfn.XLOOKUP('PREENCHIMENTO|LETIVAS'!A1135,PARAMETROS!A:A,PARAMETROS!I:I))</f>
        <v/>
      </c>
      <c r="F1135" s="3"/>
      <c r="G1135" s="3"/>
      <c r="H1135" s="3"/>
      <c r="I1135" s="3"/>
      <c r="J1135" s="3"/>
      <c r="K1135" s="3"/>
      <c r="L1135" s="19"/>
    </row>
    <row r="1136" spans="1:12">
      <c r="A1136" s="3"/>
      <c r="B1136" t="str">
        <f>IF(_xlfn.XLOOKUP(A1136,PARAMETROS!A:A,PARAMETROS!B:B)=0,"",_xlfn.XLOOKUP(A1136,PARAMETROS!A:A,PARAMETROS!B:B))</f>
        <v/>
      </c>
      <c r="C1136" t="str">
        <f>IF(_xlfn.XLOOKUP(A1136,PARAMETROS!A:A,PARAMETROS!C:C)=0,"",_xlfn.XLOOKUP(A1136,PARAMETROS!A:A,PARAMETROS!C:C))</f>
        <v/>
      </c>
      <c r="D1136" t="str">
        <f>IF(_xlfn.XLOOKUP(A1136,PARAMETROS!A:A,PARAMETROS!D:D)=0,"",_xlfn.XLOOKUP(A1136,PARAMETROS!A:A,PARAMETROS!D:D))</f>
        <v/>
      </c>
      <c r="E1136" t="str">
        <f>IF(_xlfn.XLOOKUP('PREENCHIMENTO|LETIVAS'!A1136,PARAMETROS!A:A,PARAMETROS!I:I)=0,"",_xlfn.XLOOKUP('PREENCHIMENTO|LETIVAS'!A1136,PARAMETROS!A:A,PARAMETROS!I:I))</f>
        <v/>
      </c>
      <c r="F1136" s="3"/>
      <c r="G1136" s="3"/>
      <c r="H1136" s="3"/>
      <c r="I1136" s="3"/>
      <c r="J1136" s="3"/>
      <c r="K1136" s="3"/>
      <c r="L1136" s="19"/>
    </row>
    <row r="1137" spans="1:12">
      <c r="A1137" s="3"/>
      <c r="B1137" t="str">
        <f>IF(_xlfn.XLOOKUP(A1137,PARAMETROS!A:A,PARAMETROS!B:B)=0,"",_xlfn.XLOOKUP(A1137,PARAMETROS!A:A,PARAMETROS!B:B))</f>
        <v/>
      </c>
      <c r="C1137" t="str">
        <f>IF(_xlfn.XLOOKUP(A1137,PARAMETROS!A:A,PARAMETROS!C:C)=0,"",_xlfn.XLOOKUP(A1137,PARAMETROS!A:A,PARAMETROS!C:C))</f>
        <v/>
      </c>
      <c r="D1137" t="str">
        <f>IF(_xlfn.XLOOKUP(A1137,PARAMETROS!A:A,PARAMETROS!D:D)=0,"",_xlfn.XLOOKUP(A1137,PARAMETROS!A:A,PARAMETROS!D:D))</f>
        <v/>
      </c>
      <c r="E1137" t="str">
        <f>IF(_xlfn.XLOOKUP('PREENCHIMENTO|LETIVAS'!A1137,PARAMETROS!A:A,PARAMETROS!I:I)=0,"",_xlfn.XLOOKUP('PREENCHIMENTO|LETIVAS'!A1137,PARAMETROS!A:A,PARAMETROS!I:I))</f>
        <v/>
      </c>
      <c r="F1137" s="3"/>
      <c r="G1137" s="3"/>
      <c r="H1137" s="3"/>
      <c r="I1137" s="3"/>
      <c r="J1137" s="3"/>
      <c r="K1137" s="3"/>
      <c r="L1137" s="19"/>
    </row>
    <row r="1138" spans="1:12">
      <c r="A1138" s="3"/>
      <c r="B1138" t="str">
        <f>IF(_xlfn.XLOOKUP(A1138,PARAMETROS!A:A,PARAMETROS!B:B)=0,"",_xlfn.XLOOKUP(A1138,PARAMETROS!A:A,PARAMETROS!B:B))</f>
        <v/>
      </c>
      <c r="C1138" t="str">
        <f>IF(_xlfn.XLOOKUP(A1138,PARAMETROS!A:A,PARAMETROS!C:C)=0,"",_xlfn.XLOOKUP(A1138,PARAMETROS!A:A,PARAMETROS!C:C))</f>
        <v/>
      </c>
      <c r="D1138" t="str">
        <f>IF(_xlfn.XLOOKUP(A1138,PARAMETROS!A:A,PARAMETROS!D:D)=0,"",_xlfn.XLOOKUP(A1138,PARAMETROS!A:A,PARAMETROS!D:D))</f>
        <v/>
      </c>
      <c r="E1138" t="str">
        <f>IF(_xlfn.XLOOKUP('PREENCHIMENTO|LETIVAS'!A1138,PARAMETROS!A:A,PARAMETROS!I:I)=0,"",_xlfn.XLOOKUP('PREENCHIMENTO|LETIVAS'!A1138,PARAMETROS!A:A,PARAMETROS!I:I))</f>
        <v/>
      </c>
      <c r="F1138" s="3"/>
      <c r="G1138" s="3"/>
      <c r="H1138" s="3"/>
      <c r="I1138" s="3"/>
      <c r="J1138" s="3"/>
      <c r="K1138" s="3"/>
      <c r="L1138" s="19"/>
    </row>
    <row r="1139" spans="1:12">
      <c r="A1139" s="3"/>
      <c r="B1139" t="str">
        <f>IF(_xlfn.XLOOKUP(A1139,PARAMETROS!A:A,PARAMETROS!B:B)=0,"",_xlfn.XLOOKUP(A1139,PARAMETROS!A:A,PARAMETROS!B:B))</f>
        <v/>
      </c>
      <c r="C1139" t="str">
        <f>IF(_xlfn.XLOOKUP(A1139,PARAMETROS!A:A,PARAMETROS!C:C)=0,"",_xlfn.XLOOKUP(A1139,PARAMETROS!A:A,PARAMETROS!C:C))</f>
        <v/>
      </c>
      <c r="D1139" t="str">
        <f>IF(_xlfn.XLOOKUP(A1139,PARAMETROS!A:A,PARAMETROS!D:D)=0,"",_xlfn.XLOOKUP(A1139,PARAMETROS!A:A,PARAMETROS!D:D))</f>
        <v/>
      </c>
      <c r="E1139" t="str">
        <f>IF(_xlfn.XLOOKUP('PREENCHIMENTO|LETIVAS'!A1139,PARAMETROS!A:A,PARAMETROS!I:I)=0,"",_xlfn.XLOOKUP('PREENCHIMENTO|LETIVAS'!A1139,PARAMETROS!A:A,PARAMETROS!I:I))</f>
        <v/>
      </c>
      <c r="F1139" s="3"/>
      <c r="G1139" s="3"/>
      <c r="H1139" s="3"/>
      <c r="I1139" s="3"/>
      <c r="J1139" s="3"/>
      <c r="K1139" s="3"/>
      <c r="L1139" s="19"/>
    </row>
    <row r="1140" spans="1:12">
      <c r="A1140" s="3"/>
      <c r="B1140" t="str">
        <f>IF(_xlfn.XLOOKUP(A1140,PARAMETROS!A:A,PARAMETROS!B:B)=0,"",_xlfn.XLOOKUP(A1140,PARAMETROS!A:A,PARAMETROS!B:B))</f>
        <v/>
      </c>
      <c r="C1140" t="str">
        <f>IF(_xlfn.XLOOKUP(A1140,PARAMETROS!A:A,PARAMETROS!C:C)=0,"",_xlfn.XLOOKUP(A1140,PARAMETROS!A:A,PARAMETROS!C:C))</f>
        <v/>
      </c>
      <c r="D1140" t="str">
        <f>IF(_xlfn.XLOOKUP(A1140,PARAMETROS!A:A,PARAMETROS!D:D)=0,"",_xlfn.XLOOKUP(A1140,PARAMETROS!A:A,PARAMETROS!D:D))</f>
        <v/>
      </c>
      <c r="E1140" t="str">
        <f>IF(_xlfn.XLOOKUP('PREENCHIMENTO|LETIVAS'!A1140,PARAMETROS!A:A,PARAMETROS!I:I)=0,"",_xlfn.XLOOKUP('PREENCHIMENTO|LETIVAS'!A1140,PARAMETROS!A:A,PARAMETROS!I:I))</f>
        <v/>
      </c>
      <c r="F1140" s="3"/>
      <c r="G1140" s="3"/>
      <c r="H1140" s="3"/>
      <c r="I1140" s="3"/>
      <c r="J1140" s="3"/>
      <c r="K1140" s="3"/>
      <c r="L1140" s="19"/>
    </row>
    <row r="1141" spans="1:12">
      <c r="A1141" s="3"/>
      <c r="B1141" t="str">
        <f>IF(_xlfn.XLOOKUP(A1141,PARAMETROS!A:A,PARAMETROS!B:B)=0,"",_xlfn.XLOOKUP(A1141,PARAMETROS!A:A,PARAMETROS!B:B))</f>
        <v/>
      </c>
      <c r="C1141" t="str">
        <f>IF(_xlfn.XLOOKUP(A1141,PARAMETROS!A:A,PARAMETROS!C:C)=0,"",_xlfn.XLOOKUP(A1141,PARAMETROS!A:A,PARAMETROS!C:C))</f>
        <v/>
      </c>
      <c r="D1141" t="str">
        <f>IF(_xlfn.XLOOKUP(A1141,PARAMETROS!A:A,PARAMETROS!D:D)=0,"",_xlfn.XLOOKUP(A1141,PARAMETROS!A:A,PARAMETROS!D:D))</f>
        <v/>
      </c>
      <c r="E1141" t="str">
        <f>IF(_xlfn.XLOOKUP('PREENCHIMENTO|LETIVAS'!A1141,PARAMETROS!A:A,PARAMETROS!I:I)=0,"",_xlfn.XLOOKUP('PREENCHIMENTO|LETIVAS'!A1141,PARAMETROS!A:A,PARAMETROS!I:I))</f>
        <v/>
      </c>
      <c r="F1141" s="3"/>
      <c r="G1141" s="3"/>
      <c r="H1141" s="3"/>
      <c r="I1141" s="3"/>
      <c r="J1141" s="3"/>
      <c r="K1141" s="3"/>
      <c r="L1141" s="19"/>
    </row>
    <row r="1142" spans="1:12">
      <c r="A1142" s="3"/>
      <c r="B1142" t="str">
        <f>IF(_xlfn.XLOOKUP(A1142,PARAMETROS!A:A,PARAMETROS!B:B)=0,"",_xlfn.XLOOKUP(A1142,PARAMETROS!A:A,PARAMETROS!B:B))</f>
        <v/>
      </c>
      <c r="C1142" t="str">
        <f>IF(_xlfn.XLOOKUP(A1142,PARAMETROS!A:A,PARAMETROS!C:C)=0,"",_xlfn.XLOOKUP(A1142,PARAMETROS!A:A,PARAMETROS!C:C))</f>
        <v/>
      </c>
      <c r="D1142" t="str">
        <f>IF(_xlfn.XLOOKUP(A1142,PARAMETROS!A:A,PARAMETROS!D:D)=0,"",_xlfn.XLOOKUP(A1142,PARAMETROS!A:A,PARAMETROS!D:D))</f>
        <v/>
      </c>
      <c r="E1142" t="str">
        <f>IF(_xlfn.XLOOKUP('PREENCHIMENTO|LETIVAS'!A1142,PARAMETROS!A:A,PARAMETROS!I:I)=0,"",_xlfn.XLOOKUP('PREENCHIMENTO|LETIVAS'!A1142,PARAMETROS!A:A,PARAMETROS!I:I))</f>
        <v/>
      </c>
      <c r="F1142" s="3"/>
      <c r="G1142" s="3"/>
      <c r="H1142" s="3"/>
      <c r="I1142" s="3"/>
      <c r="J1142" s="3"/>
      <c r="K1142" s="3"/>
      <c r="L1142" s="19"/>
    </row>
    <row r="1143" spans="1:12">
      <c r="A1143" s="3"/>
      <c r="B1143" t="str">
        <f>IF(_xlfn.XLOOKUP(A1143,PARAMETROS!A:A,PARAMETROS!B:B)=0,"",_xlfn.XLOOKUP(A1143,PARAMETROS!A:A,PARAMETROS!B:B))</f>
        <v/>
      </c>
      <c r="C1143" t="str">
        <f>IF(_xlfn.XLOOKUP(A1143,PARAMETROS!A:A,PARAMETROS!C:C)=0,"",_xlfn.XLOOKUP(A1143,PARAMETROS!A:A,PARAMETROS!C:C))</f>
        <v/>
      </c>
      <c r="D1143" t="str">
        <f>IF(_xlfn.XLOOKUP(A1143,PARAMETROS!A:A,PARAMETROS!D:D)=0,"",_xlfn.XLOOKUP(A1143,PARAMETROS!A:A,PARAMETROS!D:D))</f>
        <v/>
      </c>
      <c r="E1143" t="str">
        <f>IF(_xlfn.XLOOKUP('PREENCHIMENTO|LETIVAS'!A1143,PARAMETROS!A:A,PARAMETROS!I:I)=0,"",_xlfn.XLOOKUP('PREENCHIMENTO|LETIVAS'!A1143,PARAMETROS!A:A,PARAMETROS!I:I))</f>
        <v/>
      </c>
      <c r="F1143" s="3"/>
      <c r="G1143" s="3"/>
      <c r="H1143" s="3"/>
      <c r="I1143" s="3"/>
      <c r="J1143" s="3"/>
      <c r="K1143" s="3"/>
      <c r="L1143" s="19"/>
    </row>
    <row r="1144" spans="1:12">
      <c r="A1144" s="3"/>
      <c r="B1144" t="str">
        <f>IF(_xlfn.XLOOKUP(A1144,PARAMETROS!A:A,PARAMETROS!B:B)=0,"",_xlfn.XLOOKUP(A1144,PARAMETROS!A:A,PARAMETROS!B:B))</f>
        <v/>
      </c>
      <c r="C1144" t="str">
        <f>IF(_xlfn.XLOOKUP(A1144,PARAMETROS!A:A,PARAMETROS!C:C)=0,"",_xlfn.XLOOKUP(A1144,PARAMETROS!A:A,PARAMETROS!C:C))</f>
        <v/>
      </c>
      <c r="D1144" t="str">
        <f>IF(_xlfn.XLOOKUP(A1144,PARAMETROS!A:A,PARAMETROS!D:D)=0,"",_xlfn.XLOOKUP(A1144,PARAMETROS!A:A,PARAMETROS!D:D))</f>
        <v/>
      </c>
      <c r="E1144" t="str">
        <f>IF(_xlfn.XLOOKUP('PREENCHIMENTO|LETIVAS'!A1144,PARAMETROS!A:A,PARAMETROS!I:I)=0,"",_xlfn.XLOOKUP('PREENCHIMENTO|LETIVAS'!A1144,PARAMETROS!A:A,PARAMETROS!I:I))</f>
        <v/>
      </c>
      <c r="F1144" s="3"/>
      <c r="G1144" s="3"/>
      <c r="H1144" s="3"/>
      <c r="I1144" s="3"/>
      <c r="J1144" s="3"/>
      <c r="K1144" s="3"/>
      <c r="L1144" s="19"/>
    </row>
    <row r="1145" spans="1:12">
      <c r="A1145" s="3"/>
      <c r="B1145" t="str">
        <f>IF(_xlfn.XLOOKUP(A1145,PARAMETROS!A:A,PARAMETROS!B:B)=0,"",_xlfn.XLOOKUP(A1145,PARAMETROS!A:A,PARAMETROS!B:B))</f>
        <v/>
      </c>
      <c r="C1145" t="str">
        <f>IF(_xlfn.XLOOKUP(A1145,PARAMETROS!A:A,PARAMETROS!C:C)=0,"",_xlfn.XLOOKUP(A1145,PARAMETROS!A:A,PARAMETROS!C:C))</f>
        <v/>
      </c>
      <c r="D1145" t="str">
        <f>IF(_xlfn.XLOOKUP(A1145,PARAMETROS!A:A,PARAMETROS!D:D)=0,"",_xlfn.XLOOKUP(A1145,PARAMETROS!A:A,PARAMETROS!D:D))</f>
        <v/>
      </c>
      <c r="E1145" t="str">
        <f>IF(_xlfn.XLOOKUP('PREENCHIMENTO|LETIVAS'!A1145,PARAMETROS!A:A,PARAMETROS!I:I)=0,"",_xlfn.XLOOKUP('PREENCHIMENTO|LETIVAS'!A1145,PARAMETROS!A:A,PARAMETROS!I:I))</f>
        <v/>
      </c>
      <c r="F1145" s="3"/>
      <c r="G1145" s="3"/>
      <c r="H1145" s="3"/>
      <c r="I1145" s="3"/>
      <c r="J1145" s="3"/>
      <c r="K1145" s="3"/>
      <c r="L1145" s="19"/>
    </row>
    <row r="1146" spans="1:12">
      <c r="A1146" s="3"/>
      <c r="B1146" t="str">
        <f>IF(_xlfn.XLOOKUP(A1146,PARAMETROS!A:A,PARAMETROS!B:B)=0,"",_xlfn.XLOOKUP(A1146,PARAMETROS!A:A,PARAMETROS!B:B))</f>
        <v/>
      </c>
      <c r="C1146" t="str">
        <f>IF(_xlfn.XLOOKUP(A1146,PARAMETROS!A:A,PARAMETROS!C:C)=0,"",_xlfn.XLOOKUP(A1146,PARAMETROS!A:A,PARAMETROS!C:C))</f>
        <v/>
      </c>
      <c r="D1146" t="str">
        <f>IF(_xlfn.XLOOKUP(A1146,PARAMETROS!A:A,PARAMETROS!D:D)=0,"",_xlfn.XLOOKUP(A1146,PARAMETROS!A:A,PARAMETROS!D:D))</f>
        <v/>
      </c>
      <c r="E1146" t="str">
        <f>IF(_xlfn.XLOOKUP('PREENCHIMENTO|LETIVAS'!A1146,PARAMETROS!A:A,PARAMETROS!I:I)=0,"",_xlfn.XLOOKUP('PREENCHIMENTO|LETIVAS'!A1146,PARAMETROS!A:A,PARAMETROS!I:I))</f>
        <v/>
      </c>
      <c r="F1146" s="3"/>
      <c r="G1146" s="3"/>
      <c r="H1146" s="3"/>
      <c r="I1146" s="3"/>
      <c r="J1146" s="3"/>
      <c r="K1146" s="3"/>
      <c r="L1146" s="19"/>
    </row>
    <row r="1147" spans="1:12">
      <c r="A1147" s="3"/>
      <c r="B1147" t="str">
        <f>IF(_xlfn.XLOOKUP(A1147,PARAMETROS!A:A,PARAMETROS!B:B)=0,"",_xlfn.XLOOKUP(A1147,PARAMETROS!A:A,PARAMETROS!B:B))</f>
        <v/>
      </c>
      <c r="C1147" t="str">
        <f>IF(_xlfn.XLOOKUP(A1147,PARAMETROS!A:A,PARAMETROS!C:C)=0,"",_xlfn.XLOOKUP(A1147,PARAMETROS!A:A,PARAMETROS!C:C))</f>
        <v/>
      </c>
      <c r="D1147" t="str">
        <f>IF(_xlfn.XLOOKUP(A1147,PARAMETROS!A:A,PARAMETROS!D:D)=0,"",_xlfn.XLOOKUP(A1147,PARAMETROS!A:A,PARAMETROS!D:D))</f>
        <v/>
      </c>
      <c r="E1147" t="str">
        <f>IF(_xlfn.XLOOKUP('PREENCHIMENTO|LETIVAS'!A1147,PARAMETROS!A:A,PARAMETROS!I:I)=0,"",_xlfn.XLOOKUP('PREENCHIMENTO|LETIVAS'!A1147,PARAMETROS!A:A,PARAMETROS!I:I))</f>
        <v/>
      </c>
      <c r="F1147" s="3"/>
      <c r="G1147" s="3"/>
      <c r="H1147" s="3"/>
      <c r="I1147" s="3"/>
      <c r="J1147" s="3"/>
      <c r="K1147" s="3"/>
      <c r="L1147" s="19"/>
    </row>
    <row r="1148" spans="1:12">
      <c r="A1148" s="3"/>
      <c r="B1148" t="str">
        <f>IF(_xlfn.XLOOKUP(A1148,PARAMETROS!A:A,PARAMETROS!B:B)=0,"",_xlfn.XLOOKUP(A1148,PARAMETROS!A:A,PARAMETROS!B:B))</f>
        <v/>
      </c>
      <c r="C1148" t="str">
        <f>IF(_xlfn.XLOOKUP(A1148,PARAMETROS!A:A,PARAMETROS!C:C)=0,"",_xlfn.XLOOKUP(A1148,PARAMETROS!A:A,PARAMETROS!C:C))</f>
        <v/>
      </c>
      <c r="D1148" t="str">
        <f>IF(_xlfn.XLOOKUP(A1148,PARAMETROS!A:A,PARAMETROS!D:D)=0,"",_xlfn.XLOOKUP(A1148,PARAMETROS!A:A,PARAMETROS!D:D))</f>
        <v/>
      </c>
      <c r="E1148" t="str">
        <f>IF(_xlfn.XLOOKUP('PREENCHIMENTO|LETIVAS'!A1148,PARAMETROS!A:A,PARAMETROS!I:I)=0,"",_xlfn.XLOOKUP('PREENCHIMENTO|LETIVAS'!A1148,PARAMETROS!A:A,PARAMETROS!I:I))</f>
        <v/>
      </c>
      <c r="F1148" s="3"/>
      <c r="G1148" s="3"/>
      <c r="H1148" s="3"/>
      <c r="I1148" s="3"/>
      <c r="J1148" s="3"/>
      <c r="K1148" s="3"/>
      <c r="L1148" s="19"/>
    </row>
    <row r="1149" spans="1:12">
      <c r="A1149" s="3"/>
      <c r="B1149" t="str">
        <f>IF(_xlfn.XLOOKUP(A1149,PARAMETROS!A:A,PARAMETROS!B:B)=0,"",_xlfn.XLOOKUP(A1149,PARAMETROS!A:A,PARAMETROS!B:B))</f>
        <v/>
      </c>
      <c r="C1149" t="str">
        <f>IF(_xlfn.XLOOKUP(A1149,PARAMETROS!A:A,PARAMETROS!C:C)=0,"",_xlfn.XLOOKUP(A1149,PARAMETROS!A:A,PARAMETROS!C:C))</f>
        <v/>
      </c>
      <c r="D1149" t="str">
        <f>IF(_xlfn.XLOOKUP(A1149,PARAMETROS!A:A,PARAMETROS!D:D)=0,"",_xlfn.XLOOKUP(A1149,PARAMETROS!A:A,PARAMETROS!D:D))</f>
        <v/>
      </c>
      <c r="E1149" t="str">
        <f>IF(_xlfn.XLOOKUP('PREENCHIMENTO|LETIVAS'!A1149,PARAMETROS!A:A,PARAMETROS!I:I)=0,"",_xlfn.XLOOKUP('PREENCHIMENTO|LETIVAS'!A1149,PARAMETROS!A:A,PARAMETROS!I:I))</f>
        <v/>
      </c>
      <c r="F1149" s="3"/>
      <c r="G1149" s="3"/>
      <c r="H1149" s="3"/>
      <c r="I1149" s="3"/>
      <c r="J1149" s="3"/>
      <c r="K1149" s="3"/>
      <c r="L1149" s="19"/>
    </row>
    <row r="1150" spans="1:12">
      <c r="A1150" s="3"/>
      <c r="B1150" t="str">
        <f>IF(_xlfn.XLOOKUP(A1150,PARAMETROS!A:A,PARAMETROS!B:B)=0,"",_xlfn.XLOOKUP(A1150,PARAMETROS!A:A,PARAMETROS!B:B))</f>
        <v/>
      </c>
      <c r="C1150" t="str">
        <f>IF(_xlfn.XLOOKUP(A1150,PARAMETROS!A:A,PARAMETROS!C:C)=0,"",_xlfn.XLOOKUP(A1150,PARAMETROS!A:A,PARAMETROS!C:C))</f>
        <v/>
      </c>
      <c r="D1150" t="str">
        <f>IF(_xlfn.XLOOKUP(A1150,PARAMETROS!A:A,PARAMETROS!D:D)=0,"",_xlfn.XLOOKUP(A1150,PARAMETROS!A:A,PARAMETROS!D:D))</f>
        <v/>
      </c>
      <c r="E1150" t="str">
        <f>IF(_xlfn.XLOOKUP('PREENCHIMENTO|LETIVAS'!A1150,PARAMETROS!A:A,PARAMETROS!I:I)=0,"",_xlfn.XLOOKUP('PREENCHIMENTO|LETIVAS'!A1150,PARAMETROS!A:A,PARAMETROS!I:I))</f>
        <v/>
      </c>
      <c r="F1150" s="3"/>
      <c r="G1150" s="3"/>
      <c r="H1150" s="3"/>
      <c r="I1150" s="3"/>
      <c r="J1150" s="3"/>
      <c r="K1150" s="3"/>
      <c r="L1150" s="19"/>
    </row>
    <row r="1151" spans="1:12">
      <c r="A1151" s="3"/>
      <c r="B1151" t="str">
        <f>IF(_xlfn.XLOOKUP(A1151,PARAMETROS!A:A,PARAMETROS!B:B)=0,"",_xlfn.XLOOKUP(A1151,PARAMETROS!A:A,PARAMETROS!B:B))</f>
        <v/>
      </c>
      <c r="C1151" t="str">
        <f>IF(_xlfn.XLOOKUP(A1151,PARAMETROS!A:A,PARAMETROS!C:C)=0,"",_xlfn.XLOOKUP(A1151,PARAMETROS!A:A,PARAMETROS!C:C))</f>
        <v/>
      </c>
      <c r="D1151" t="str">
        <f>IF(_xlfn.XLOOKUP(A1151,PARAMETROS!A:A,PARAMETROS!D:D)=0,"",_xlfn.XLOOKUP(A1151,PARAMETROS!A:A,PARAMETROS!D:D))</f>
        <v/>
      </c>
      <c r="E1151" t="str">
        <f>IF(_xlfn.XLOOKUP('PREENCHIMENTO|LETIVAS'!A1151,PARAMETROS!A:A,PARAMETROS!I:I)=0,"",_xlfn.XLOOKUP('PREENCHIMENTO|LETIVAS'!A1151,PARAMETROS!A:A,PARAMETROS!I:I))</f>
        <v/>
      </c>
      <c r="F1151" s="3"/>
      <c r="G1151" s="3"/>
      <c r="H1151" s="3"/>
      <c r="I1151" s="3"/>
      <c r="J1151" s="3"/>
      <c r="K1151" s="3"/>
      <c r="L1151" s="19"/>
    </row>
    <row r="1152" spans="1:12">
      <c r="A1152" s="3"/>
      <c r="B1152" t="str">
        <f>IF(_xlfn.XLOOKUP(A1152,PARAMETROS!A:A,PARAMETROS!B:B)=0,"",_xlfn.XLOOKUP(A1152,PARAMETROS!A:A,PARAMETROS!B:B))</f>
        <v/>
      </c>
      <c r="C1152" t="str">
        <f>IF(_xlfn.XLOOKUP(A1152,PARAMETROS!A:A,PARAMETROS!C:C)=0,"",_xlfn.XLOOKUP(A1152,PARAMETROS!A:A,PARAMETROS!C:C))</f>
        <v/>
      </c>
      <c r="D1152" t="str">
        <f>IF(_xlfn.XLOOKUP(A1152,PARAMETROS!A:A,PARAMETROS!D:D)=0,"",_xlfn.XLOOKUP(A1152,PARAMETROS!A:A,PARAMETROS!D:D))</f>
        <v/>
      </c>
      <c r="E1152" t="str">
        <f>IF(_xlfn.XLOOKUP('PREENCHIMENTO|LETIVAS'!A1152,PARAMETROS!A:A,PARAMETROS!I:I)=0,"",_xlfn.XLOOKUP('PREENCHIMENTO|LETIVAS'!A1152,PARAMETROS!A:A,PARAMETROS!I:I))</f>
        <v/>
      </c>
      <c r="F1152" s="3"/>
      <c r="G1152" s="3"/>
      <c r="H1152" s="3"/>
      <c r="I1152" s="3"/>
      <c r="J1152" s="3"/>
      <c r="K1152" s="3"/>
      <c r="L1152" s="19"/>
    </row>
    <row r="1153" spans="1:12">
      <c r="A1153" s="3"/>
      <c r="B1153" t="str">
        <f>IF(_xlfn.XLOOKUP(A1153,PARAMETROS!A:A,PARAMETROS!B:B)=0,"",_xlfn.XLOOKUP(A1153,PARAMETROS!A:A,PARAMETROS!B:B))</f>
        <v/>
      </c>
      <c r="C1153" t="str">
        <f>IF(_xlfn.XLOOKUP(A1153,PARAMETROS!A:A,PARAMETROS!C:C)=0,"",_xlfn.XLOOKUP(A1153,PARAMETROS!A:A,PARAMETROS!C:C))</f>
        <v/>
      </c>
      <c r="D1153" t="str">
        <f>IF(_xlfn.XLOOKUP(A1153,PARAMETROS!A:A,PARAMETROS!D:D)=0,"",_xlfn.XLOOKUP(A1153,PARAMETROS!A:A,PARAMETROS!D:D))</f>
        <v/>
      </c>
      <c r="E1153" t="str">
        <f>IF(_xlfn.XLOOKUP('PREENCHIMENTO|LETIVAS'!A1153,PARAMETROS!A:A,PARAMETROS!I:I)=0,"",_xlfn.XLOOKUP('PREENCHIMENTO|LETIVAS'!A1153,PARAMETROS!A:A,PARAMETROS!I:I))</f>
        <v/>
      </c>
      <c r="F1153" s="3"/>
      <c r="G1153" s="3"/>
      <c r="H1153" s="3"/>
      <c r="I1153" s="3"/>
      <c r="J1153" s="3"/>
      <c r="K1153" s="3"/>
      <c r="L1153" s="19"/>
    </row>
    <row r="1154" spans="1:12">
      <c r="A1154" s="3"/>
      <c r="B1154" t="str">
        <f>IF(_xlfn.XLOOKUP(A1154,PARAMETROS!A:A,PARAMETROS!B:B)=0,"",_xlfn.XLOOKUP(A1154,PARAMETROS!A:A,PARAMETROS!B:B))</f>
        <v/>
      </c>
      <c r="C1154" t="str">
        <f>IF(_xlfn.XLOOKUP(A1154,PARAMETROS!A:A,PARAMETROS!C:C)=0,"",_xlfn.XLOOKUP(A1154,PARAMETROS!A:A,PARAMETROS!C:C))</f>
        <v/>
      </c>
      <c r="D1154" t="str">
        <f>IF(_xlfn.XLOOKUP(A1154,PARAMETROS!A:A,PARAMETROS!D:D)=0,"",_xlfn.XLOOKUP(A1154,PARAMETROS!A:A,PARAMETROS!D:D))</f>
        <v/>
      </c>
      <c r="E1154" t="str">
        <f>IF(_xlfn.XLOOKUP('PREENCHIMENTO|LETIVAS'!A1154,PARAMETROS!A:A,PARAMETROS!I:I)=0,"",_xlfn.XLOOKUP('PREENCHIMENTO|LETIVAS'!A1154,PARAMETROS!A:A,PARAMETROS!I:I))</f>
        <v/>
      </c>
      <c r="F1154" s="3"/>
      <c r="G1154" s="3"/>
      <c r="H1154" s="3"/>
      <c r="I1154" s="3"/>
      <c r="J1154" s="3"/>
      <c r="K1154" s="3"/>
      <c r="L1154" s="19"/>
    </row>
    <row r="1155" spans="1:12">
      <c r="A1155" s="3"/>
      <c r="B1155" t="str">
        <f>IF(_xlfn.XLOOKUP(A1155,PARAMETROS!A:A,PARAMETROS!B:B)=0,"",_xlfn.XLOOKUP(A1155,PARAMETROS!A:A,PARAMETROS!B:B))</f>
        <v/>
      </c>
      <c r="C1155" t="str">
        <f>IF(_xlfn.XLOOKUP(A1155,PARAMETROS!A:A,PARAMETROS!C:C)=0,"",_xlfn.XLOOKUP(A1155,PARAMETROS!A:A,PARAMETROS!C:C))</f>
        <v/>
      </c>
      <c r="D1155" t="str">
        <f>IF(_xlfn.XLOOKUP(A1155,PARAMETROS!A:A,PARAMETROS!D:D)=0,"",_xlfn.XLOOKUP(A1155,PARAMETROS!A:A,PARAMETROS!D:D))</f>
        <v/>
      </c>
      <c r="E1155" t="str">
        <f>IF(_xlfn.XLOOKUP('PREENCHIMENTO|LETIVAS'!A1155,PARAMETROS!A:A,PARAMETROS!I:I)=0,"",_xlfn.XLOOKUP('PREENCHIMENTO|LETIVAS'!A1155,PARAMETROS!A:A,PARAMETROS!I:I))</f>
        <v/>
      </c>
      <c r="F1155" s="3"/>
      <c r="G1155" s="3"/>
      <c r="H1155" s="3"/>
      <c r="I1155" s="3"/>
      <c r="J1155" s="3"/>
      <c r="K1155" s="3"/>
      <c r="L1155" s="19"/>
    </row>
    <row r="1156" spans="1:12">
      <c r="A1156" s="3"/>
      <c r="B1156" t="str">
        <f>IF(_xlfn.XLOOKUP(A1156,PARAMETROS!A:A,PARAMETROS!B:B)=0,"",_xlfn.XLOOKUP(A1156,PARAMETROS!A:A,PARAMETROS!B:B))</f>
        <v/>
      </c>
      <c r="C1156" t="str">
        <f>IF(_xlfn.XLOOKUP(A1156,PARAMETROS!A:A,PARAMETROS!C:C)=0,"",_xlfn.XLOOKUP(A1156,PARAMETROS!A:A,PARAMETROS!C:C))</f>
        <v/>
      </c>
      <c r="D1156" t="str">
        <f>IF(_xlfn.XLOOKUP(A1156,PARAMETROS!A:A,PARAMETROS!D:D)=0,"",_xlfn.XLOOKUP(A1156,PARAMETROS!A:A,PARAMETROS!D:D))</f>
        <v/>
      </c>
      <c r="E1156" t="str">
        <f>IF(_xlfn.XLOOKUP('PREENCHIMENTO|LETIVAS'!A1156,PARAMETROS!A:A,PARAMETROS!I:I)=0,"",_xlfn.XLOOKUP('PREENCHIMENTO|LETIVAS'!A1156,PARAMETROS!A:A,PARAMETROS!I:I))</f>
        <v/>
      </c>
      <c r="F1156" s="3"/>
      <c r="G1156" s="3"/>
      <c r="H1156" s="3"/>
      <c r="I1156" s="3"/>
      <c r="J1156" s="3"/>
      <c r="K1156" s="3"/>
      <c r="L1156" s="19"/>
    </row>
    <row r="1157" spans="1:12">
      <c r="A1157" s="3"/>
      <c r="B1157" t="str">
        <f>IF(_xlfn.XLOOKUP(A1157,PARAMETROS!A:A,PARAMETROS!B:B)=0,"",_xlfn.XLOOKUP(A1157,PARAMETROS!A:A,PARAMETROS!B:B))</f>
        <v/>
      </c>
      <c r="C1157" t="str">
        <f>IF(_xlfn.XLOOKUP(A1157,PARAMETROS!A:A,PARAMETROS!C:C)=0,"",_xlfn.XLOOKUP(A1157,PARAMETROS!A:A,PARAMETROS!C:C))</f>
        <v/>
      </c>
      <c r="D1157" t="str">
        <f>IF(_xlfn.XLOOKUP(A1157,PARAMETROS!A:A,PARAMETROS!D:D)=0,"",_xlfn.XLOOKUP(A1157,PARAMETROS!A:A,PARAMETROS!D:D))</f>
        <v/>
      </c>
      <c r="E1157" t="str">
        <f>IF(_xlfn.XLOOKUP('PREENCHIMENTO|LETIVAS'!A1157,PARAMETROS!A:A,PARAMETROS!I:I)=0,"",_xlfn.XLOOKUP('PREENCHIMENTO|LETIVAS'!A1157,PARAMETROS!A:A,PARAMETROS!I:I))</f>
        <v/>
      </c>
      <c r="F1157" s="3"/>
      <c r="G1157" s="3"/>
      <c r="H1157" s="3"/>
      <c r="I1157" s="3"/>
      <c r="J1157" s="3"/>
      <c r="K1157" s="3"/>
      <c r="L1157" s="19"/>
    </row>
    <row r="1158" spans="1:12">
      <c r="A1158" s="3"/>
      <c r="B1158" t="str">
        <f>IF(_xlfn.XLOOKUP(A1158,PARAMETROS!A:A,PARAMETROS!B:B)=0,"",_xlfn.XLOOKUP(A1158,PARAMETROS!A:A,PARAMETROS!B:B))</f>
        <v/>
      </c>
      <c r="C1158" t="str">
        <f>IF(_xlfn.XLOOKUP(A1158,PARAMETROS!A:A,PARAMETROS!C:C)=0,"",_xlfn.XLOOKUP(A1158,PARAMETROS!A:A,PARAMETROS!C:C))</f>
        <v/>
      </c>
      <c r="D1158" t="str">
        <f>IF(_xlfn.XLOOKUP(A1158,PARAMETROS!A:A,PARAMETROS!D:D)=0,"",_xlfn.XLOOKUP(A1158,PARAMETROS!A:A,PARAMETROS!D:D))</f>
        <v/>
      </c>
      <c r="E1158" t="str">
        <f>IF(_xlfn.XLOOKUP('PREENCHIMENTO|LETIVAS'!A1158,PARAMETROS!A:A,PARAMETROS!I:I)=0,"",_xlfn.XLOOKUP('PREENCHIMENTO|LETIVAS'!A1158,PARAMETROS!A:A,PARAMETROS!I:I))</f>
        <v/>
      </c>
      <c r="F1158" s="3"/>
      <c r="G1158" s="3"/>
      <c r="H1158" s="3"/>
      <c r="I1158" s="3"/>
      <c r="J1158" s="3"/>
      <c r="K1158" s="3"/>
      <c r="L1158" s="19"/>
    </row>
    <row r="1159" spans="1:12">
      <c r="A1159" s="3"/>
      <c r="B1159" t="str">
        <f>IF(_xlfn.XLOOKUP(A1159,PARAMETROS!A:A,PARAMETROS!B:B)=0,"",_xlfn.XLOOKUP(A1159,PARAMETROS!A:A,PARAMETROS!B:B))</f>
        <v/>
      </c>
      <c r="C1159" t="str">
        <f>IF(_xlfn.XLOOKUP(A1159,PARAMETROS!A:A,PARAMETROS!C:C)=0,"",_xlfn.XLOOKUP(A1159,PARAMETROS!A:A,PARAMETROS!C:C))</f>
        <v/>
      </c>
      <c r="D1159" t="str">
        <f>IF(_xlfn.XLOOKUP(A1159,PARAMETROS!A:A,PARAMETROS!D:D)=0,"",_xlfn.XLOOKUP(A1159,PARAMETROS!A:A,PARAMETROS!D:D))</f>
        <v/>
      </c>
      <c r="E1159" t="str">
        <f>IF(_xlfn.XLOOKUP('PREENCHIMENTO|LETIVAS'!A1159,PARAMETROS!A:A,PARAMETROS!I:I)=0,"",_xlfn.XLOOKUP('PREENCHIMENTO|LETIVAS'!A1159,PARAMETROS!A:A,PARAMETROS!I:I))</f>
        <v/>
      </c>
      <c r="F1159" s="3"/>
      <c r="G1159" s="3"/>
      <c r="H1159" s="3"/>
      <c r="I1159" s="3"/>
      <c r="J1159" s="3"/>
      <c r="K1159" s="3"/>
      <c r="L1159" s="19"/>
    </row>
    <row r="1160" spans="1:12">
      <c r="A1160" s="3"/>
      <c r="B1160" t="str">
        <f>IF(_xlfn.XLOOKUP(A1160,PARAMETROS!A:A,PARAMETROS!B:B)=0,"",_xlfn.XLOOKUP(A1160,PARAMETROS!A:A,PARAMETROS!B:B))</f>
        <v/>
      </c>
      <c r="C1160" t="str">
        <f>IF(_xlfn.XLOOKUP(A1160,PARAMETROS!A:A,PARAMETROS!C:C)=0,"",_xlfn.XLOOKUP(A1160,PARAMETROS!A:A,PARAMETROS!C:C))</f>
        <v/>
      </c>
      <c r="D1160" t="str">
        <f>IF(_xlfn.XLOOKUP(A1160,PARAMETROS!A:A,PARAMETROS!D:D)=0,"",_xlfn.XLOOKUP(A1160,PARAMETROS!A:A,PARAMETROS!D:D))</f>
        <v/>
      </c>
      <c r="E1160" t="str">
        <f>IF(_xlfn.XLOOKUP('PREENCHIMENTO|LETIVAS'!A1160,PARAMETROS!A:A,PARAMETROS!I:I)=0,"",_xlfn.XLOOKUP('PREENCHIMENTO|LETIVAS'!A1160,PARAMETROS!A:A,PARAMETROS!I:I))</f>
        <v/>
      </c>
      <c r="F1160" s="3"/>
      <c r="G1160" s="3"/>
      <c r="H1160" s="3"/>
      <c r="I1160" s="3"/>
      <c r="J1160" s="3"/>
      <c r="K1160" s="3"/>
      <c r="L1160" s="19"/>
    </row>
    <row r="1161" spans="1:12">
      <c r="A1161" s="3"/>
      <c r="B1161" t="str">
        <f>IF(_xlfn.XLOOKUP(A1161,PARAMETROS!A:A,PARAMETROS!B:B)=0,"",_xlfn.XLOOKUP(A1161,PARAMETROS!A:A,PARAMETROS!B:B))</f>
        <v/>
      </c>
      <c r="C1161" t="str">
        <f>IF(_xlfn.XLOOKUP(A1161,PARAMETROS!A:A,PARAMETROS!C:C)=0,"",_xlfn.XLOOKUP(A1161,PARAMETROS!A:A,PARAMETROS!C:C))</f>
        <v/>
      </c>
      <c r="D1161" t="str">
        <f>IF(_xlfn.XLOOKUP(A1161,PARAMETROS!A:A,PARAMETROS!D:D)=0,"",_xlfn.XLOOKUP(A1161,PARAMETROS!A:A,PARAMETROS!D:D))</f>
        <v/>
      </c>
      <c r="E1161" t="str">
        <f>IF(_xlfn.XLOOKUP('PREENCHIMENTO|LETIVAS'!A1161,PARAMETROS!A:A,PARAMETROS!I:I)=0,"",_xlfn.XLOOKUP('PREENCHIMENTO|LETIVAS'!A1161,PARAMETROS!A:A,PARAMETROS!I:I))</f>
        <v/>
      </c>
      <c r="F1161" s="3"/>
      <c r="G1161" s="3"/>
      <c r="H1161" s="3"/>
      <c r="I1161" s="3"/>
      <c r="J1161" s="3"/>
      <c r="K1161" s="3"/>
      <c r="L1161" s="19"/>
    </row>
    <row r="1162" spans="1:12">
      <c r="A1162" s="3"/>
      <c r="B1162" t="str">
        <f>IF(_xlfn.XLOOKUP(A1162,PARAMETROS!A:A,PARAMETROS!B:B)=0,"",_xlfn.XLOOKUP(A1162,PARAMETROS!A:A,PARAMETROS!B:B))</f>
        <v/>
      </c>
      <c r="C1162" t="str">
        <f>IF(_xlfn.XLOOKUP(A1162,PARAMETROS!A:A,PARAMETROS!C:C)=0,"",_xlfn.XLOOKUP(A1162,PARAMETROS!A:A,PARAMETROS!C:C))</f>
        <v/>
      </c>
      <c r="D1162" t="str">
        <f>IF(_xlfn.XLOOKUP(A1162,PARAMETROS!A:A,PARAMETROS!D:D)=0,"",_xlfn.XLOOKUP(A1162,PARAMETROS!A:A,PARAMETROS!D:D))</f>
        <v/>
      </c>
      <c r="E1162" t="str">
        <f>IF(_xlfn.XLOOKUP('PREENCHIMENTO|LETIVAS'!A1162,PARAMETROS!A:A,PARAMETROS!I:I)=0,"",_xlfn.XLOOKUP('PREENCHIMENTO|LETIVAS'!A1162,PARAMETROS!A:A,PARAMETROS!I:I))</f>
        <v/>
      </c>
      <c r="F1162" s="3"/>
      <c r="G1162" s="3"/>
      <c r="H1162" s="3"/>
      <c r="I1162" s="3"/>
      <c r="J1162" s="3"/>
      <c r="K1162" s="3"/>
      <c r="L1162" s="19"/>
    </row>
    <row r="1163" spans="1:12">
      <c r="A1163" s="3"/>
      <c r="B1163" t="str">
        <f>IF(_xlfn.XLOOKUP(A1163,PARAMETROS!A:A,PARAMETROS!B:B)=0,"",_xlfn.XLOOKUP(A1163,PARAMETROS!A:A,PARAMETROS!B:B))</f>
        <v/>
      </c>
      <c r="C1163" t="str">
        <f>IF(_xlfn.XLOOKUP(A1163,PARAMETROS!A:A,PARAMETROS!C:C)=0,"",_xlfn.XLOOKUP(A1163,PARAMETROS!A:A,PARAMETROS!C:C))</f>
        <v/>
      </c>
      <c r="D1163" t="str">
        <f>IF(_xlfn.XLOOKUP(A1163,PARAMETROS!A:A,PARAMETROS!D:D)=0,"",_xlfn.XLOOKUP(A1163,PARAMETROS!A:A,PARAMETROS!D:D))</f>
        <v/>
      </c>
      <c r="E1163" t="str">
        <f>IF(_xlfn.XLOOKUP('PREENCHIMENTO|LETIVAS'!A1163,PARAMETROS!A:A,PARAMETROS!I:I)=0,"",_xlfn.XLOOKUP('PREENCHIMENTO|LETIVAS'!A1163,PARAMETROS!A:A,PARAMETROS!I:I))</f>
        <v/>
      </c>
      <c r="F1163" s="3"/>
      <c r="G1163" s="3"/>
      <c r="H1163" s="3"/>
      <c r="I1163" s="3"/>
      <c r="J1163" s="3"/>
      <c r="K1163" s="3"/>
      <c r="L1163" s="19"/>
    </row>
    <row r="1164" spans="1:12">
      <c r="A1164" s="3"/>
      <c r="B1164" t="str">
        <f>IF(_xlfn.XLOOKUP(A1164,PARAMETROS!A:A,PARAMETROS!B:B)=0,"",_xlfn.XLOOKUP(A1164,PARAMETROS!A:A,PARAMETROS!B:B))</f>
        <v/>
      </c>
      <c r="C1164" t="str">
        <f>IF(_xlfn.XLOOKUP(A1164,PARAMETROS!A:A,PARAMETROS!C:C)=0,"",_xlfn.XLOOKUP(A1164,PARAMETROS!A:A,PARAMETROS!C:C))</f>
        <v/>
      </c>
      <c r="D1164" t="str">
        <f>IF(_xlfn.XLOOKUP(A1164,PARAMETROS!A:A,PARAMETROS!D:D)=0,"",_xlfn.XLOOKUP(A1164,PARAMETROS!A:A,PARAMETROS!D:D))</f>
        <v/>
      </c>
      <c r="E1164" t="str">
        <f>IF(_xlfn.XLOOKUP('PREENCHIMENTO|LETIVAS'!A1164,PARAMETROS!A:A,PARAMETROS!I:I)=0,"",_xlfn.XLOOKUP('PREENCHIMENTO|LETIVAS'!A1164,PARAMETROS!A:A,PARAMETROS!I:I))</f>
        <v/>
      </c>
      <c r="F1164" s="3"/>
      <c r="G1164" s="3"/>
      <c r="H1164" s="3"/>
      <c r="I1164" s="3"/>
      <c r="J1164" s="3"/>
      <c r="K1164" s="3"/>
      <c r="L1164" s="19"/>
    </row>
    <row r="1165" spans="1:12">
      <c r="A1165" s="3"/>
      <c r="B1165" t="str">
        <f>IF(_xlfn.XLOOKUP(A1165,PARAMETROS!A:A,PARAMETROS!B:B)=0,"",_xlfn.XLOOKUP(A1165,PARAMETROS!A:A,PARAMETROS!B:B))</f>
        <v/>
      </c>
      <c r="C1165" t="str">
        <f>IF(_xlfn.XLOOKUP(A1165,PARAMETROS!A:A,PARAMETROS!C:C)=0,"",_xlfn.XLOOKUP(A1165,PARAMETROS!A:A,PARAMETROS!C:C))</f>
        <v/>
      </c>
      <c r="D1165" t="str">
        <f>IF(_xlfn.XLOOKUP(A1165,PARAMETROS!A:A,PARAMETROS!D:D)=0,"",_xlfn.XLOOKUP(A1165,PARAMETROS!A:A,PARAMETROS!D:D))</f>
        <v/>
      </c>
      <c r="E1165" t="str">
        <f>IF(_xlfn.XLOOKUP('PREENCHIMENTO|LETIVAS'!A1165,PARAMETROS!A:A,PARAMETROS!I:I)=0,"",_xlfn.XLOOKUP('PREENCHIMENTO|LETIVAS'!A1165,PARAMETROS!A:A,PARAMETROS!I:I))</f>
        <v/>
      </c>
      <c r="F1165" s="3"/>
      <c r="G1165" s="3"/>
      <c r="H1165" s="3"/>
      <c r="I1165" s="3"/>
      <c r="J1165" s="3"/>
      <c r="K1165" s="3"/>
      <c r="L1165" s="19"/>
    </row>
    <row r="1166" spans="1:12">
      <c r="A1166" s="3"/>
      <c r="B1166" t="str">
        <f>IF(_xlfn.XLOOKUP(A1166,PARAMETROS!A:A,PARAMETROS!B:B)=0,"",_xlfn.XLOOKUP(A1166,PARAMETROS!A:A,PARAMETROS!B:B))</f>
        <v/>
      </c>
      <c r="C1166" t="str">
        <f>IF(_xlfn.XLOOKUP(A1166,PARAMETROS!A:A,PARAMETROS!C:C)=0,"",_xlfn.XLOOKUP(A1166,PARAMETROS!A:A,PARAMETROS!C:C))</f>
        <v/>
      </c>
      <c r="D1166" t="str">
        <f>IF(_xlfn.XLOOKUP(A1166,PARAMETROS!A:A,PARAMETROS!D:D)=0,"",_xlfn.XLOOKUP(A1166,PARAMETROS!A:A,PARAMETROS!D:D))</f>
        <v/>
      </c>
      <c r="E1166" t="str">
        <f>IF(_xlfn.XLOOKUP('PREENCHIMENTO|LETIVAS'!A1166,PARAMETROS!A:A,PARAMETROS!I:I)=0,"",_xlfn.XLOOKUP('PREENCHIMENTO|LETIVAS'!A1166,PARAMETROS!A:A,PARAMETROS!I:I))</f>
        <v/>
      </c>
      <c r="F1166" s="3"/>
      <c r="G1166" s="3"/>
      <c r="H1166" s="3"/>
      <c r="I1166" s="3"/>
      <c r="J1166" s="3"/>
      <c r="K1166" s="3"/>
      <c r="L1166" s="19"/>
    </row>
    <row r="1167" spans="1:12">
      <c r="A1167" s="3"/>
      <c r="B1167" t="str">
        <f>IF(_xlfn.XLOOKUP(A1167,PARAMETROS!A:A,PARAMETROS!B:B)=0,"",_xlfn.XLOOKUP(A1167,PARAMETROS!A:A,PARAMETROS!B:B))</f>
        <v/>
      </c>
      <c r="C1167" t="str">
        <f>IF(_xlfn.XLOOKUP(A1167,PARAMETROS!A:A,PARAMETROS!C:C)=0,"",_xlfn.XLOOKUP(A1167,PARAMETROS!A:A,PARAMETROS!C:C))</f>
        <v/>
      </c>
      <c r="D1167" t="str">
        <f>IF(_xlfn.XLOOKUP(A1167,PARAMETROS!A:A,PARAMETROS!D:D)=0,"",_xlfn.XLOOKUP(A1167,PARAMETROS!A:A,PARAMETROS!D:D))</f>
        <v/>
      </c>
      <c r="E1167" t="str">
        <f>IF(_xlfn.XLOOKUP('PREENCHIMENTO|LETIVAS'!A1167,PARAMETROS!A:A,PARAMETROS!I:I)=0,"",_xlfn.XLOOKUP('PREENCHIMENTO|LETIVAS'!A1167,PARAMETROS!A:A,PARAMETROS!I:I))</f>
        <v/>
      </c>
      <c r="F1167" s="3"/>
      <c r="G1167" s="3"/>
      <c r="H1167" s="3"/>
      <c r="I1167" s="3"/>
      <c r="J1167" s="3"/>
      <c r="K1167" s="3"/>
      <c r="L1167" s="19"/>
    </row>
    <row r="1168" spans="1:12">
      <c r="A1168" s="3"/>
      <c r="B1168" t="str">
        <f>IF(_xlfn.XLOOKUP(A1168,PARAMETROS!A:A,PARAMETROS!B:B)=0,"",_xlfn.XLOOKUP(A1168,PARAMETROS!A:A,PARAMETROS!B:B))</f>
        <v/>
      </c>
      <c r="C1168" t="str">
        <f>IF(_xlfn.XLOOKUP(A1168,PARAMETROS!A:A,PARAMETROS!C:C)=0,"",_xlfn.XLOOKUP(A1168,PARAMETROS!A:A,PARAMETROS!C:C))</f>
        <v/>
      </c>
      <c r="D1168" t="str">
        <f>IF(_xlfn.XLOOKUP(A1168,PARAMETROS!A:A,PARAMETROS!D:D)=0,"",_xlfn.XLOOKUP(A1168,PARAMETROS!A:A,PARAMETROS!D:D))</f>
        <v/>
      </c>
      <c r="E1168" t="str">
        <f>IF(_xlfn.XLOOKUP('PREENCHIMENTO|LETIVAS'!A1168,PARAMETROS!A:A,PARAMETROS!I:I)=0,"",_xlfn.XLOOKUP('PREENCHIMENTO|LETIVAS'!A1168,PARAMETROS!A:A,PARAMETROS!I:I))</f>
        <v/>
      </c>
      <c r="F1168" s="3"/>
      <c r="G1168" s="3"/>
      <c r="H1168" s="3"/>
      <c r="I1168" s="3"/>
      <c r="J1168" s="3"/>
      <c r="K1168" s="3"/>
      <c r="L1168" s="19"/>
    </row>
    <row r="1169" spans="1:12">
      <c r="A1169" s="3"/>
      <c r="B1169" t="str">
        <f>IF(_xlfn.XLOOKUP(A1169,PARAMETROS!A:A,PARAMETROS!B:B)=0,"",_xlfn.XLOOKUP(A1169,PARAMETROS!A:A,PARAMETROS!B:B))</f>
        <v/>
      </c>
      <c r="C1169" t="str">
        <f>IF(_xlfn.XLOOKUP(A1169,PARAMETROS!A:A,PARAMETROS!C:C)=0,"",_xlfn.XLOOKUP(A1169,PARAMETROS!A:A,PARAMETROS!C:C))</f>
        <v/>
      </c>
      <c r="D1169" t="str">
        <f>IF(_xlfn.XLOOKUP(A1169,PARAMETROS!A:A,PARAMETROS!D:D)=0,"",_xlfn.XLOOKUP(A1169,PARAMETROS!A:A,PARAMETROS!D:D))</f>
        <v/>
      </c>
      <c r="E1169" t="str">
        <f>IF(_xlfn.XLOOKUP('PREENCHIMENTO|LETIVAS'!A1169,PARAMETROS!A:A,PARAMETROS!I:I)=0,"",_xlfn.XLOOKUP('PREENCHIMENTO|LETIVAS'!A1169,PARAMETROS!A:A,PARAMETROS!I:I))</f>
        <v/>
      </c>
      <c r="F1169" s="3"/>
      <c r="G1169" s="3"/>
      <c r="H1169" s="3"/>
      <c r="I1169" s="3"/>
      <c r="J1169" s="3"/>
      <c r="K1169" s="3"/>
      <c r="L1169" s="19"/>
    </row>
    <row r="1170" spans="1:12">
      <c r="A1170" s="3"/>
      <c r="B1170" t="str">
        <f>IF(_xlfn.XLOOKUP(A1170,PARAMETROS!A:A,PARAMETROS!B:B)=0,"",_xlfn.XLOOKUP(A1170,PARAMETROS!A:A,PARAMETROS!B:B))</f>
        <v/>
      </c>
      <c r="C1170" t="str">
        <f>IF(_xlfn.XLOOKUP(A1170,PARAMETROS!A:A,PARAMETROS!C:C)=0,"",_xlfn.XLOOKUP(A1170,PARAMETROS!A:A,PARAMETROS!C:C))</f>
        <v/>
      </c>
      <c r="D1170" t="str">
        <f>IF(_xlfn.XLOOKUP(A1170,PARAMETROS!A:A,PARAMETROS!D:D)=0,"",_xlfn.XLOOKUP(A1170,PARAMETROS!A:A,PARAMETROS!D:D))</f>
        <v/>
      </c>
      <c r="E1170" t="str">
        <f>IF(_xlfn.XLOOKUP('PREENCHIMENTO|LETIVAS'!A1170,PARAMETROS!A:A,PARAMETROS!I:I)=0,"",_xlfn.XLOOKUP('PREENCHIMENTO|LETIVAS'!A1170,PARAMETROS!A:A,PARAMETROS!I:I))</f>
        <v/>
      </c>
      <c r="F1170" s="3"/>
      <c r="G1170" s="3"/>
      <c r="H1170" s="3"/>
      <c r="I1170" s="3"/>
      <c r="J1170" s="3"/>
      <c r="K1170" s="3"/>
      <c r="L1170" s="19"/>
    </row>
    <row r="1171" spans="1:12">
      <c r="A1171" s="3"/>
      <c r="B1171" t="str">
        <f>IF(_xlfn.XLOOKUP(A1171,PARAMETROS!A:A,PARAMETROS!B:B)=0,"",_xlfn.XLOOKUP(A1171,PARAMETROS!A:A,PARAMETROS!B:B))</f>
        <v/>
      </c>
      <c r="C1171" t="str">
        <f>IF(_xlfn.XLOOKUP(A1171,PARAMETROS!A:A,PARAMETROS!C:C)=0,"",_xlfn.XLOOKUP(A1171,PARAMETROS!A:A,PARAMETROS!C:C))</f>
        <v/>
      </c>
      <c r="D1171" t="str">
        <f>IF(_xlfn.XLOOKUP(A1171,PARAMETROS!A:A,PARAMETROS!D:D)=0,"",_xlfn.XLOOKUP(A1171,PARAMETROS!A:A,PARAMETROS!D:D))</f>
        <v/>
      </c>
      <c r="E1171" t="str">
        <f>IF(_xlfn.XLOOKUP('PREENCHIMENTO|LETIVAS'!A1171,PARAMETROS!A:A,PARAMETROS!I:I)=0,"",_xlfn.XLOOKUP('PREENCHIMENTO|LETIVAS'!A1171,PARAMETROS!A:A,PARAMETROS!I:I))</f>
        <v/>
      </c>
      <c r="F1171" s="3"/>
      <c r="G1171" s="3"/>
      <c r="H1171" s="3"/>
      <c r="I1171" s="3"/>
      <c r="J1171" s="3"/>
      <c r="K1171" s="3"/>
      <c r="L1171" s="19"/>
    </row>
    <row r="1172" spans="1:12">
      <c r="A1172" s="3"/>
      <c r="B1172" t="str">
        <f>IF(_xlfn.XLOOKUP(A1172,PARAMETROS!A:A,PARAMETROS!B:B)=0,"",_xlfn.XLOOKUP(A1172,PARAMETROS!A:A,PARAMETROS!B:B))</f>
        <v/>
      </c>
      <c r="C1172" t="str">
        <f>IF(_xlfn.XLOOKUP(A1172,PARAMETROS!A:A,PARAMETROS!C:C)=0,"",_xlfn.XLOOKUP(A1172,PARAMETROS!A:A,PARAMETROS!C:C))</f>
        <v/>
      </c>
      <c r="D1172" t="str">
        <f>IF(_xlfn.XLOOKUP(A1172,PARAMETROS!A:A,PARAMETROS!D:D)=0,"",_xlfn.XLOOKUP(A1172,PARAMETROS!A:A,PARAMETROS!D:D))</f>
        <v/>
      </c>
      <c r="E1172" t="str">
        <f>IF(_xlfn.XLOOKUP('PREENCHIMENTO|LETIVAS'!A1172,PARAMETROS!A:A,PARAMETROS!I:I)=0,"",_xlfn.XLOOKUP('PREENCHIMENTO|LETIVAS'!A1172,PARAMETROS!A:A,PARAMETROS!I:I))</f>
        <v/>
      </c>
      <c r="F1172" s="3"/>
      <c r="G1172" s="3"/>
      <c r="H1172" s="3"/>
      <c r="I1172" s="3"/>
      <c r="J1172" s="3"/>
      <c r="K1172" s="3"/>
      <c r="L1172" s="19"/>
    </row>
    <row r="1173" spans="1:12">
      <c r="A1173" s="3"/>
      <c r="B1173" t="str">
        <f>IF(_xlfn.XLOOKUP(A1173,PARAMETROS!A:A,PARAMETROS!B:B)=0,"",_xlfn.XLOOKUP(A1173,PARAMETROS!A:A,PARAMETROS!B:B))</f>
        <v/>
      </c>
      <c r="C1173" t="str">
        <f>IF(_xlfn.XLOOKUP(A1173,PARAMETROS!A:A,PARAMETROS!C:C)=0,"",_xlfn.XLOOKUP(A1173,PARAMETROS!A:A,PARAMETROS!C:C))</f>
        <v/>
      </c>
      <c r="D1173" t="str">
        <f>IF(_xlfn.XLOOKUP(A1173,PARAMETROS!A:A,PARAMETROS!D:D)=0,"",_xlfn.XLOOKUP(A1173,PARAMETROS!A:A,PARAMETROS!D:D))</f>
        <v/>
      </c>
      <c r="E1173" t="str">
        <f>IF(_xlfn.XLOOKUP('PREENCHIMENTO|LETIVAS'!A1173,PARAMETROS!A:A,PARAMETROS!I:I)=0,"",_xlfn.XLOOKUP('PREENCHIMENTO|LETIVAS'!A1173,PARAMETROS!A:A,PARAMETROS!I:I))</f>
        <v/>
      </c>
      <c r="F1173" s="3"/>
      <c r="G1173" s="3"/>
      <c r="H1173" s="3"/>
      <c r="I1173" s="3"/>
      <c r="J1173" s="3"/>
      <c r="K1173" s="3"/>
      <c r="L1173" s="19"/>
    </row>
    <row r="1174" spans="1:12">
      <c r="A1174" s="3"/>
      <c r="B1174" t="str">
        <f>IF(_xlfn.XLOOKUP(A1174,PARAMETROS!A:A,PARAMETROS!B:B)=0,"",_xlfn.XLOOKUP(A1174,PARAMETROS!A:A,PARAMETROS!B:B))</f>
        <v/>
      </c>
      <c r="C1174" t="str">
        <f>IF(_xlfn.XLOOKUP(A1174,PARAMETROS!A:A,PARAMETROS!C:C)=0,"",_xlfn.XLOOKUP(A1174,PARAMETROS!A:A,PARAMETROS!C:C))</f>
        <v/>
      </c>
      <c r="D1174" t="str">
        <f>IF(_xlfn.XLOOKUP(A1174,PARAMETROS!A:A,PARAMETROS!D:D)=0,"",_xlfn.XLOOKUP(A1174,PARAMETROS!A:A,PARAMETROS!D:D))</f>
        <v/>
      </c>
      <c r="E1174" t="str">
        <f>IF(_xlfn.XLOOKUP('PREENCHIMENTO|LETIVAS'!A1174,PARAMETROS!A:A,PARAMETROS!I:I)=0,"",_xlfn.XLOOKUP('PREENCHIMENTO|LETIVAS'!A1174,PARAMETROS!A:A,PARAMETROS!I:I))</f>
        <v/>
      </c>
      <c r="F1174" s="3"/>
      <c r="G1174" s="3"/>
      <c r="H1174" s="3"/>
      <c r="I1174" s="3"/>
      <c r="J1174" s="3"/>
      <c r="K1174" s="3"/>
      <c r="L1174" s="19"/>
    </row>
    <row r="1175" spans="1:12">
      <c r="A1175" s="3"/>
      <c r="B1175" t="str">
        <f>IF(_xlfn.XLOOKUP(A1175,PARAMETROS!A:A,PARAMETROS!B:B)=0,"",_xlfn.XLOOKUP(A1175,PARAMETROS!A:A,PARAMETROS!B:B))</f>
        <v/>
      </c>
      <c r="C1175" t="str">
        <f>IF(_xlfn.XLOOKUP(A1175,PARAMETROS!A:A,PARAMETROS!C:C)=0,"",_xlfn.XLOOKUP(A1175,PARAMETROS!A:A,PARAMETROS!C:C))</f>
        <v/>
      </c>
      <c r="D1175" t="str">
        <f>IF(_xlfn.XLOOKUP(A1175,PARAMETROS!A:A,PARAMETROS!D:D)=0,"",_xlfn.XLOOKUP(A1175,PARAMETROS!A:A,PARAMETROS!D:D))</f>
        <v/>
      </c>
      <c r="E1175" t="str">
        <f>IF(_xlfn.XLOOKUP('PREENCHIMENTO|LETIVAS'!A1175,PARAMETROS!A:A,PARAMETROS!I:I)=0,"",_xlfn.XLOOKUP('PREENCHIMENTO|LETIVAS'!A1175,PARAMETROS!A:A,PARAMETROS!I:I))</f>
        <v/>
      </c>
      <c r="F1175" s="3"/>
      <c r="G1175" s="3"/>
      <c r="H1175" s="3"/>
      <c r="I1175" s="3"/>
      <c r="J1175" s="3"/>
      <c r="K1175" s="3"/>
      <c r="L1175" s="19"/>
    </row>
    <row r="1176" spans="1:12">
      <c r="A1176" s="3"/>
      <c r="B1176" t="str">
        <f>IF(_xlfn.XLOOKUP(A1176,PARAMETROS!A:A,PARAMETROS!B:B)=0,"",_xlfn.XLOOKUP(A1176,PARAMETROS!A:A,PARAMETROS!B:B))</f>
        <v/>
      </c>
      <c r="C1176" t="str">
        <f>IF(_xlfn.XLOOKUP(A1176,PARAMETROS!A:A,PARAMETROS!C:C)=0,"",_xlfn.XLOOKUP(A1176,PARAMETROS!A:A,PARAMETROS!C:C))</f>
        <v/>
      </c>
      <c r="D1176" t="str">
        <f>IF(_xlfn.XLOOKUP(A1176,PARAMETROS!A:A,PARAMETROS!D:D)=0,"",_xlfn.XLOOKUP(A1176,PARAMETROS!A:A,PARAMETROS!D:D))</f>
        <v/>
      </c>
      <c r="E1176" t="str">
        <f>IF(_xlfn.XLOOKUP('PREENCHIMENTO|LETIVAS'!A1176,PARAMETROS!A:A,PARAMETROS!I:I)=0,"",_xlfn.XLOOKUP('PREENCHIMENTO|LETIVAS'!A1176,PARAMETROS!A:A,PARAMETROS!I:I))</f>
        <v/>
      </c>
      <c r="F1176" s="3"/>
      <c r="G1176" s="3"/>
      <c r="H1176" s="3"/>
      <c r="I1176" s="3"/>
      <c r="J1176" s="3"/>
      <c r="K1176" s="3"/>
      <c r="L1176" s="19"/>
    </row>
    <row r="1177" spans="1:12">
      <c r="A1177" s="3"/>
      <c r="B1177" t="str">
        <f>IF(_xlfn.XLOOKUP(A1177,PARAMETROS!A:A,PARAMETROS!B:B)=0,"",_xlfn.XLOOKUP(A1177,PARAMETROS!A:A,PARAMETROS!B:B))</f>
        <v/>
      </c>
      <c r="C1177" t="str">
        <f>IF(_xlfn.XLOOKUP(A1177,PARAMETROS!A:A,PARAMETROS!C:C)=0,"",_xlfn.XLOOKUP(A1177,PARAMETROS!A:A,PARAMETROS!C:C))</f>
        <v/>
      </c>
      <c r="D1177" t="str">
        <f>IF(_xlfn.XLOOKUP(A1177,PARAMETROS!A:A,PARAMETROS!D:D)=0,"",_xlfn.XLOOKUP(A1177,PARAMETROS!A:A,PARAMETROS!D:D))</f>
        <v/>
      </c>
      <c r="E1177" t="str">
        <f>IF(_xlfn.XLOOKUP('PREENCHIMENTO|LETIVAS'!A1177,PARAMETROS!A:A,PARAMETROS!I:I)=0,"",_xlfn.XLOOKUP('PREENCHIMENTO|LETIVAS'!A1177,PARAMETROS!A:A,PARAMETROS!I:I))</f>
        <v/>
      </c>
      <c r="F1177" s="3"/>
      <c r="G1177" s="3"/>
      <c r="H1177" s="3"/>
      <c r="I1177" s="3"/>
      <c r="J1177" s="3"/>
      <c r="K1177" s="3"/>
      <c r="L1177" s="19"/>
    </row>
    <row r="1178" spans="1:12">
      <c r="A1178" s="3"/>
      <c r="B1178" t="str">
        <f>IF(_xlfn.XLOOKUP(A1178,PARAMETROS!A:A,PARAMETROS!B:B)=0,"",_xlfn.XLOOKUP(A1178,PARAMETROS!A:A,PARAMETROS!B:B))</f>
        <v/>
      </c>
      <c r="C1178" t="str">
        <f>IF(_xlfn.XLOOKUP(A1178,PARAMETROS!A:A,PARAMETROS!C:C)=0,"",_xlfn.XLOOKUP(A1178,PARAMETROS!A:A,PARAMETROS!C:C))</f>
        <v/>
      </c>
      <c r="D1178" t="str">
        <f>IF(_xlfn.XLOOKUP(A1178,PARAMETROS!A:A,PARAMETROS!D:D)=0,"",_xlfn.XLOOKUP(A1178,PARAMETROS!A:A,PARAMETROS!D:D))</f>
        <v/>
      </c>
      <c r="E1178" t="str">
        <f>IF(_xlfn.XLOOKUP('PREENCHIMENTO|LETIVAS'!A1178,PARAMETROS!A:A,PARAMETROS!I:I)=0,"",_xlfn.XLOOKUP('PREENCHIMENTO|LETIVAS'!A1178,PARAMETROS!A:A,PARAMETROS!I:I))</f>
        <v/>
      </c>
      <c r="F1178" s="3"/>
      <c r="G1178" s="3"/>
      <c r="H1178" s="3"/>
      <c r="I1178" s="3"/>
      <c r="J1178" s="3"/>
      <c r="K1178" s="3"/>
      <c r="L1178" s="19"/>
    </row>
    <row r="1179" spans="1:12">
      <c r="A1179" s="3"/>
      <c r="B1179" t="str">
        <f>IF(_xlfn.XLOOKUP(A1179,PARAMETROS!A:A,PARAMETROS!B:B)=0,"",_xlfn.XLOOKUP(A1179,PARAMETROS!A:A,PARAMETROS!B:B))</f>
        <v/>
      </c>
      <c r="C1179" t="str">
        <f>IF(_xlfn.XLOOKUP(A1179,PARAMETROS!A:A,PARAMETROS!C:C)=0,"",_xlfn.XLOOKUP(A1179,PARAMETROS!A:A,PARAMETROS!C:C))</f>
        <v/>
      </c>
      <c r="D1179" t="str">
        <f>IF(_xlfn.XLOOKUP(A1179,PARAMETROS!A:A,PARAMETROS!D:D)=0,"",_xlfn.XLOOKUP(A1179,PARAMETROS!A:A,PARAMETROS!D:D))</f>
        <v/>
      </c>
      <c r="E1179" t="str">
        <f>IF(_xlfn.XLOOKUP('PREENCHIMENTO|LETIVAS'!A1179,PARAMETROS!A:A,PARAMETROS!I:I)=0,"",_xlfn.XLOOKUP('PREENCHIMENTO|LETIVAS'!A1179,PARAMETROS!A:A,PARAMETROS!I:I))</f>
        <v/>
      </c>
      <c r="F1179" s="3"/>
      <c r="G1179" s="3"/>
      <c r="H1179" s="3"/>
      <c r="I1179" s="3"/>
      <c r="J1179" s="3"/>
      <c r="K1179" s="3"/>
      <c r="L1179" s="19"/>
    </row>
    <row r="1180" spans="1:12">
      <c r="A1180" s="3"/>
      <c r="B1180" t="str">
        <f>IF(_xlfn.XLOOKUP(A1180,PARAMETROS!A:A,PARAMETROS!B:B)=0,"",_xlfn.XLOOKUP(A1180,PARAMETROS!A:A,PARAMETROS!B:B))</f>
        <v/>
      </c>
      <c r="C1180" t="str">
        <f>IF(_xlfn.XLOOKUP(A1180,PARAMETROS!A:A,PARAMETROS!C:C)=0,"",_xlfn.XLOOKUP(A1180,PARAMETROS!A:A,PARAMETROS!C:C))</f>
        <v/>
      </c>
      <c r="D1180" t="str">
        <f>IF(_xlfn.XLOOKUP(A1180,PARAMETROS!A:A,PARAMETROS!D:D)=0,"",_xlfn.XLOOKUP(A1180,PARAMETROS!A:A,PARAMETROS!D:D))</f>
        <v/>
      </c>
      <c r="E1180" t="str">
        <f>IF(_xlfn.XLOOKUP('PREENCHIMENTO|LETIVAS'!A1180,PARAMETROS!A:A,PARAMETROS!I:I)=0,"",_xlfn.XLOOKUP('PREENCHIMENTO|LETIVAS'!A1180,PARAMETROS!A:A,PARAMETROS!I:I))</f>
        <v/>
      </c>
      <c r="F1180" s="3"/>
      <c r="G1180" s="3"/>
      <c r="H1180" s="3"/>
      <c r="I1180" s="3"/>
      <c r="J1180" s="3"/>
      <c r="K1180" s="3"/>
      <c r="L1180" s="19"/>
    </row>
    <row r="1181" spans="1:12">
      <c r="A1181" s="3"/>
      <c r="B1181" t="str">
        <f>IF(_xlfn.XLOOKUP(A1181,PARAMETROS!A:A,PARAMETROS!B:B)=0,"",_xlfn.XLOOKUP(A1181,PARAMETROS!A:A,PARAMETROS!B:B))</f>
        <v/>
      </c>
      <c r="C1181" t="str">
        <f>IF(_xlfn.XLOOKUP(A1181,PARAMETROS!A:A,PARAMETROS!C:C)=0,"",_xlfn.XLOOKUP(A1181,PARAMETROS!A:A,PARAMETROS!C:C))</f>
        <v/>
      </c>
      <c r="D1181" t="str">
        <f>IF(_xlfn.XLOOKUP(A1181,PARAMETROS!A:A,PARAMETROS!D:D)=0,"",_xlfn.XLOOKUP(A1181,PARAMETROS!A:A,PARAMETROS!D:D))</f>
        <v/>
      </c>
      <c r="E1181" t="str">
        <f>IF(_xlfn.XLOOKUP('PREENCHIMENTO|LETIVAS'!A1181,PARAMETROS!A:A,PARAMETROS!I:I)=0,"",_xlfn.XLOOKUP('PREENCHIMENTO|LETIVAS'!A1181,PARAMETROS!A:A,PARAMETROS!I:I))</f>
        <v/>
      </c>
      <c r="F1181" s="3"/>
      <c r="G1181" s="3"/>
      <c r="H1181" s="3"/>
      <c r="I1181" s="3"/>
      <c r="J1181" s="3"/>
      <c r="K1181" s="3"/>
      <c r="L1181" s="19"/>
    </row>
    <row r="1182" spans="1:12">
      <c r="A1182" s="3"/>
      <c r="B1182" t="str">
        <f>IF(_xlfn.XLOOKUP(A1182,PARAMETROS!A:A,PARAMETROS!B:B)=0,"",_xlfn.XLOOKUP(A1182,PARAMETROS!A:A,PARAMETROS!B:B))</f>
        <v/>
      </c>
      <c r="C1182" t="str">
        <f>IF(_xlfn.XLOOKUP(A1182,PARAMETROS!A:A,PARAMETROS!C:C)=0,"",_xlfn.XLOOKUP(A1182,PARAMETROS!A:A,PARAMETROS!C:C))</f>
        <v/>
      </c>
      <c r="D1182" t="str">
        <f>IF(_xlfn.XLOOKUP(A1182,PARAMETROS!A:A,PARAMETROS!D:D)=0,"",_xlfn.XLOOKUP(A1182,PARAMETROS!A:A,PARAMETROS!D:D))</f>
        <v/>
      </c>
      <c r="E1182" t="str">
        <f>IF(_xlfn.XLOOKUP('PREENCHIMENTO|LETIVAS'!A1182,PARAMETROS!A:A,PARAMETROS!I:I)=0,"",_xlfn.XLOOKUP('PREENCHIMENTO|LETIVAS'!A1182,PARAMETROS!A:A,PARAMETROS!I:I))</f>
        <v/>
      </c>
      <c r="F1182" s="3"/>
      <c r="G1182" s="3"/>
      <c r="H1182" s="3"/>
      <c r="I1182" s="3"/>
      <c r="J1182" s="3"/>
      <c r="K1182" s="3"/>
      <c r="L1182" s="19"/>
    </row>
    <row r="1183" spans="1:12">
      <c r="A1183" s="3"/>
      <c r="B1183" t="str">
        <f>IF(_xlfn.XLOOKUP(A1183,PARAMETROS!A:A,PARAMETROS!B:B)=0,"",_xlfn.XLOOKUP(A1183,PARAMETROS!A:A,PARAMETROS!B:B))</f>
        <v/>
      </c>
      <c r="C1183" t="str">
        <f>IF(_xlfn.XLOOKUP(A1183,PARAMETROS!A:A,PARAMETROS!C:C)=0,"",_xlfn.XLOOKUP(A1183,PARAMETROS!A:A,PARAMETROS!C:C))</f>
        <v/>
      </c>
      <c r="D1183" t="str">
        <f>IF(_xlfn.XLOOKUP(A1183,PARAMETROS!A:A,PARAMETROS!D:D)=0,"",_xlfn.XLOOKUP(A1183,PARAMETROS!A:A,PARAMETROS!D:D))</f>
        <v/>
      </c>
      <c r="E1183" t="str">
        <f>IF(_xlfn.XLOOKUP('PREENCHIMENTO|LETIVAS'!A1183,PARAMETROS!A:A,PARAMETROS!I:I)=0,"",_xlfn.XLOOKUP('PREENCHIMENTO|LETIVAS'!A1183,PARAMETROS!A:A,PARAMETROS!I:I))</f>
        <v/>
      </c>
      <c r="F1183" s="3"/>
      <c r="G1183" s="3"/>
      <c r="H1183" s="3"/>
      <c r="I1183" s="3"/>
      <c r="J1183" s="3"/>
      <c r="K1183" s="3"/>
      <c r="L1183" s="19"/>
    </row>
    <row r="1184" spans="1:12">
      <c r="A1184" s="3"/>
      <c r="B1184" t="str">
        <f>IF(_xlfn.XLOOKUP(A1184,PARAMETROS!A:A,PARAMETROS!B:B)=0,"",_xlfn.XLOOKUP(A1184,PARAMETROS!A:A,PARAMETROS!B:B))</f>
        <v/>
      </c>
      <c r="C1184" t="str">
        <f>IF(_xlfn.XLOOKUP(A1184,PARAMETROS!A:A,PARAMETROS!C:C)=0,"",_xlfn.XLOOKUP(A1184,PARAMETROS!A:A,PARAMETROS!C:C))</f>
        <v/>
      </c>
      <c r="D1184" t="str">
        <f>IF(_xlfn.XLOOKUP(A1184,PARAMETROS!A:A,PARAMETROS!D:D)=0,"",_xlfn.XLOOKUP(A1184,PARAMETROS!A:A,PARAMETROS!D:D))</f>
        <v/>
      </c>
      <c r="E1184" t="str">
        <f>IF(_xlfn.XLOOKUP('PREENCHIMENTO|LETIVAS'!A1184,PARAMETROS!A:A,PARAMETROS!I:I)=0,"",_xlfn.XLOOKUP('PREENCHIMENTO|LETIVAS'!A1184,PARAMETROS!A:A,PARAMETROS!I:I))</f>
        <v/>
      </c>
      <c r="F1184" s="3"/>
      <c r="G1184" s="3"/>
      <c r="H1184" s="3"/>
      <c r="I1184" s="3"/>
      <c r="J1184" s="3"/>
      <c r="K1184" s="3"/>
      <c r="L1184" s="19"/>
    </row>
    <row r="1185" spans="1:12">
      <c r="A1185" s="3"/>
      <c r="B1185" t="str">
        <f>IF(_xlfn.XLOOKUP(A1185,PARAMETROS!A:A,PARAMETROS!B:B)=0,"",_xlfn.XLOOKUP(A1185,PARAMETROS!A:A,PARAMETROS!B:B))</f>
        <v/>
      </c>
      <c r="C1185" t="str">
        <f>IF(_xlfn.XLOOKUP(A1185,PARAMETROS!A:A,PARAMETROS!C:C)=0,"",_xlfn.XLOOKUP(A1185,PARAMETROS!A:A,PARAMETROS!C:C))</f>
        <v/>
      </c>
      <c r="D1185" t="str">
        <f>IF(_xlfn.XLOOKUP(A1185,PARAMETROS!A:A,PARAMETROS!D:D)=0,"",_xlfn.XLOOKUP(A1185,PARAMETROS!A:A,PARAMETROS!D:D))</f>
        <v/>
      </c>
      <c r="E1185" t="str">
        <f>IF(_xlfn.XLOOKUP('PREENCHIMENTO|LETIVAS'!A1185,PARAMETROS!A:A,PARAMETROS!I:I)=0,"",_xlfn.XLOOKUP('PREENCHIMENTO|LETIVAS'!A1185,PARAMETROS!A:A,PARAMETROS!I:I))</f>
        <v/>
      </c>
      <c r="F1185" s="3"/>
      <c r="G1185" s="3"/>
      <c r="H1185" s="3"/>
      <c r="I1185" s="3"/>
      <c r="J1185" s="3"/>
      <c r="K1185" s="3"/>
      <c r="L1185" s="19"/>
    </row>
    <row r="1186" spans="1:12">
      <c r="A1186" s="3"/>
      <c r="B1186" t="str">
        <f>IF(_xlfn.XLOOKUP(A1186,PARAMETROS!A:A,PARAMETROS!B:B)=0,"",_xlfn.XLOOKUP(A1186,PARAMETROS!A:A,PARAMETROS!B:B))</f>
        <v/>
      </c>
      <c r="C1186" t="str">
        <f>IF(_xlfn.XLOOKUP(A1186,PARAMETROS!A:A,PARAMETROS!C:C)=0,"",_xlfn.XLOOKUP(A1186,PARAMETROS!A:A,PARAMETROS!C:C))</f>
        <v/>
      </c>
      <c r="D1186" t="str">
        <f>IF(_xlfn.XLOOKUP(A1186,PARAMETROS!A:A,PARAMETROS!D:D)=0,"",_xlfn.XLOOKUP(A1186,PARAMETROS!A:A,PARAMETROS!D:D))</f>
        <v/>
      </c>
      <c r="E1186" t="str">
        <f>IF(_xlfn.XLOOKUP('PREENCHIMENTO|LETIVAS'!A1186,PARAMETROS!A:A,PARAMETROS!I:I)=0,"",_xlfn.XLOOKUP('PREENCHIMENTO|LETIVAS'!A1186,PARAMETROS!A:A,PARAMETROS!I:I))</f>
        <v/>
      </c>
      <c r="F1186" s="3"/>
      <c r="G1186" s="3"/>
      <c r="H1186" s="3"/>
      <c r="I1186" s="3"/>
      <c r="J1186" s="3"/>
      <c r="K1186" s="3"/>
      <c r="L1186" s="19"/>
    </row>
    <row r="1187" spans="1:12">
      <c r="A1187" s="3"/>
      <c r="B1187" t="str">
        <f>IF(_xlfn.XLOOKUP(A1187,PARAMETROS!A:A,PARAMETROS!B:B)=0,"",_xlfn.XLOOKUP(A1187,PARAMETROS!A:A,PARAMETROS!B:B))</f>
        <v/>
      </c>
      <c r="C1187" t="str">
        <f>IF(_xlfn.XLOOKUP(A1187,PARAMETROS!A:A,PARAMETROS!C:C)=0,"",_xlfn.XLOOKUP(A1187,PARAMETROS!A:A,PARAMETROS!C:C))</f>
        <v/>
      </c>
      <c r="D1187" t="str">
        <f>IF(_xlfn.XLOOKUP(A1187,PARAMETROS!A:A,PARAMETROS!D:D)=0,"",_xlfn.XLOOKUP(A1187,PARAMETROS!A:A,PARAMETROS!D:D))</f>
        <v/>
      </c>
      <c r="E1187" t="str">
        <f>IF(_xlfn.XLOOKUP('PREENCHIMENTO|LETIVAS'!A1187,PARAMETROS!A:A,PARAMETROS!I:I)=0,"",_xlfn.XLOOKUP('PREENCHIMENTO|LETIVAS'!A1187,PARAMETROS!A:A,PARAMETROS!I:I))</f>
        <v/>
      </c>
      <c r="F1187" s="3"/>
      <c r="G1187" s="3"/>
      <c r="H1187" s="3"/>
      <c r="I1187" s="3"/>
      <c r="J1187" s="3"/>
      <c r="K1187" s="3"/>
      <c r="L1187" s="19"/>
    </row>
    <row r="1188" spans="1:12">
      <c r="A1188" s="3"/>
      <c r="B1188" t="str">
        <f>IF(_xlfn.XLOOKUP(A1188,PARAMETROS!A:A,PARAMETROS!B:B)=0,"",_xlfn.XLOOKUP(A1188,PARAMETROS!A:A,PARAMETROS!B:B))</f>
        <v/>
      </c>
      <c r="C1188" t="str">
        <f>IF(_xlfn.XLOOKUP(A1188,PARAMETROS!A:A,PARAMETROS!C:C)=0,"",_xlfn.XLOOKUP(A1188,PARAMETROS!A:A,PARAMETROS!C:C))</f>
        <v/>
      </c>
      <c r="D1188" t="str">
        <f>IF(_xlfn.XLOOKUP(A1188,PARAMETROS!A:A,PARAMETROS!D:D)=0,"",_xlfn.XLOOKUP(A1188,PARAMETROS!A:A,PARAMETROS!D:D))</f>
        <v/>
      </c>
      <c r="E1188" t="str">
        <f>IF(_xlfn.XLOOKUP('PREENCHIMENTO|LETIVAS'!A1188,PARAMETROS!A:A,PARAMETROS!I:I)=0,"",_xlfn.XLOOKUP('PREENCHIMENTO|LETIVAS'!A1188,PARAMETROS!A:A,PARAMETROS!I:I))</f>
        <v/>
      </c>
      <c r="F1188" s="3"/>
      <c r="G1188" s="3"/>
      <c r="H1188" s="3"/>
      <c r="I1188" s="3"/>
      <c r="J1188" s="3"/>
      <c r="K1188" s="3"/>
      <c r="L1188" s="19"/>
    </row>
    <row r="1189" spans="1:12">
      <c r="A1189" s="3"/>
      <c r="B1189" t="str">
        <f>IF(_xlfn.XLOOKUP(A1189,PARAMETROS!A:A,PARAMETROS!B:B)=0,"",_xlfn.XLOOKUP(A1189,PARAMETROS!A:A,PARAMETROS!B:B))</f>
        <v/>
      </c>
      <c r="C1189" t="str">
        <f>IF(_xlfn.XLOOKUP(A1189,PARAMETROS!A:A,PARAMETROS!C:C)=0,"",_xlfn.XLOOKUP(A1189,PARAMETROS!A:A,PARAMETROS!C:C))</f>
        <v/>
      </c>
      <c r="D1189" t="str">
        <f>IF(_xlfn.XLOOKUP(A1189,PARAMETROS!A:A,PARAMETROS!D:D)=0,"",_xlfn.XLOOKUP(A1189,PARAMETROS!A:A,PARAMETROS!D:D))</f>
        <v/>
      </c>
      <c r="E1189" t="str">
        <f>IF(_xlfn.XLOOKUP('PREENCHIMENTO|LETIVAS'!A1189,PARAMETROS!A:A,PARAMETROS!I:I)=0,"",_xlfn.XLOOKUP('PREENCHIMENTO|LETIVAS'!A1189,PARAMETROS!A:A,PARAMETROS!I:I))</f>
        <v/>
      </c>
      <c r="F1189" s="3"/>
      <c r="G1189" s="3"/>
      <c r="H1189" s="3"/>
      <c r="I1189" s="3"/>
      <c r="J1189" s="3"/>
      <c r="K1189" s="3"/>
      <c r="L1189" s="19"/>
    </row>
    <row r="1190" spans="1:12">
      <c r="A1190" s="3"/>
      <c r="B1190" t="str">
        <f>IF(_xlfn.XLOOKUP(A1190,PARAMETROS!A:A,PARAMETROS!B:B)=0,"",_xlfn.XLOOKUP(A1190,PARAMETROS!A:A,PARAMETROS!B:B))</f>
        <v/>
      </c>
      <c r="C1190" t="str">
        <f>IF(_xlfn.XLOOKUP(A1190,PARAMETROS!A:A,PARAMETROS!C:C)=0,"",_xlfn.XLOOKUP(A1190,PARAMETROS!A:A,PARAMETROS!C:C))</f>
        <v/>
      </c>
      <c r="D1190" t="str">
        <f>IF(_xlfn.XLOOKUP(A1190,PARAMETROS!A:A,PARAMETROS!D:D)=0,"",_xlfn.XLOOKUP(A1190,PARAMETROS!A:A,PARAMETROS!D:D))</f>
        <v/>
      </c>
      <c r="E1190" t="str">
        <f>IF(_xlfn.XLOOKUP('PREENCHIMENTO|LETIVAS'!A1190,PARAMETROS!A:A,PARAMETROS!I:I)=0,"",_xlfn.XLOOKUP('PREENCHIMENTO|LETIVAS'!A1190,PARAMETROS!A:A,PARAMETROS!I:I))</f>
        <v/>
      </c>
      <c r="F1190" s="3"/>
      <c r="G1190" s="3"/>
      <c r="H1190" s="3"/>
      <c r="I1190" s="3"/>
      <c r="J1190" s="3"/>
      <c r="K1190" s="3"/>
      <c r="L1190" s="19"/>
    </row>
    <row r="1191" spans="1:12">
      <c r="A1191" s="3"/>
      <c r="B1191" t="str">
        <f>IF(_xlfn.XLOOKUP(A1191,PARAMETROS!A:A,PARAMETROS!B:B)=0,"",_xlfn.XLOOKUP(A1191,PARAMETROS!A:A,PARAMETROS!B:B))</f>
        <v/>
      </c>
      <c r="C1191" t="str">
        <f>IF(_xlfn.XLOOKUP(A1191,PARAMETROS!A:A,PARAMETROS!C:C)=0,"",_xlfn.XLOOKUP(A1191,PARAMETROS!A:A,PARAMETROS!C:C))</f>
        <v/>
      </c>
      <c r="D1191" t="str">
        <f>IF(_xlfn.XLOOKUP(A1191,PARAMETROS!A:A,PARAMETROS!D:D)=0,"",_xlfn.XLOOKUP(A1191,PARAMETROS!A:A,PARAMETROS!D:D))</f>
        <v/>
      </c>
      <c r="E1191" t="str">
        <f>IF(_xlfn.XLOOKUP('PREENCHIMENTO|LETIVAS'!A1191,PARAMETROS!A:A,PARAMETROS!I:I)=0,"",_xlfn.XLOOKUP('PREENCHIMENTO|LETIVAS'!A1191,PARAMETROS!A:A,PARAMETROS!I:I))</f>
        <v/>
      </c>
      <c r="F1191" s="3"/>
      <c r="G1191" s="3"/>
      <c r="H1191" s="3"/>
      <c r="I1191" s="3"/>
      <c r="J1191" s="3"/>
      <c r="K1191" s="3"/>
      <c r="L1191" s="19"/>
    </row>
    <row r="1192" spans="1:12">
      <c r="A1192" s="3"/>
      <c r="B1192" t="str">
        <f>IF(_xlfn.XLOOKUP(A1192,PARAMETROS!A:A,PARAMETROS!B:B)=0,"",_xlfn.XLOOKUP(A1192,PARAMETROS!A:A,PARAMETROS!B:B))</f>
        <v/>
      </c>
      <c r="C1192" t="str">
        <f>IF(_xlfn.XLOOKUP(A1192,PARAMETROS!A:A,PARAMETROS!C:C)=0,"",_xlfn.XLOOKUP(A1192,PARAMETROS!A:A,PARAMETROS!C:C))</f>
        <v/>
      </c>
      <c r="D1192" t="str">
        <f>IF(_xlfn.XLOOKUP(A1192,PARAMETROS!A:A,PARAMETROS!D:D)=0,"",_xlfn.XLOOKUP(A1192,PARAMETROS!A:A,PARAMETROS!D:D))</f>
        <v/>
      </c>
      <c r="E1192" t="str">
        <f>IF(_xlfn.XLOOKUP('PREENCHIMENTO|LETIVAS'!A1192,PARAMETROS!A:A,PARAMETROS!I:I)=0,"",_xlfn.XLOOKUP('PREENCHIMENTO|LETIVAS'!A1192,PARAMETROS!A:A,PARAMETROS!I:I))</f>
        <v/>
      </c>
      <c r="F1192" s="3"/>
      <c r="G1192" s="3"/>
      <c r="H1192" s="3"/>
      <c r="I1192" s="3"/>
      <c r="J1192" s="3"/>
      <c r="K1192" s="3"/>
      <c r="L1192" s="19"/>
    </row>
    <row r="1193" spans="1:12">
      <c r="A1193" s="3"/>
      <c r="B1193" t="str">
        <f>IF(_xlfn.XLOOKUP(A1193,PARAMETROS!A:A,PARAMETROS!B:B)=0,"",_xlfn.XLOOKUP(A1193,PARAMETROS!A:A,PARAMETROS!B:B))</f>
        <v/>
      </c>
      <c r="C1193" t="str">
        <f>IF(_xlfn.XLOOKUP(A1193,PARAMETROS!A:A,PARAMETROS!C:C)=0,"",_xlfn.XLOOKUP(A1193,PARAMETROS!A:A,PARAMETROS!C:C))</f>
        <v/>
      </c>
      <c r="D1193" t="str">
        <f>IF(_xlfn.XLOOKUP(A1193,PARAMETROS!A:A,PARAMETROS!D:D)=0,"",_xlfn.XLOOKUP(A1193,PARAMETROS!A:A,PARAMETROS!D:D))</f>
        <v/>
      </c>
      <c r="E1193" t="str">
        <f>IF(_xlfn.XLOOKUP('PREENCHIMENTO|LETIVAS'!A1193,PARAMETROS!A:A,PARAMETROS!I:I)=0,"",_xlfn.XLOOKUP('PREENCHIMENTO|LETIVAS'!A1193,PARAMETROS!A:A,PARAMETROS!I:I))</f>
        <v/>
      </c>
      <c r="F1193" s="3"/>
      <c r="G1193" s="3"/>
      <c r="H1193" s="3"/>
      <c r="I1193" s="3"/>
      <c r="J1193" s="3"/>
      <c r="K1193" s="3"/>
      <c r="L1193" s="19"/>
    </row>
    <row r="1194" spans="1:12">
      <c r="A1194" s="3"/>
      <c r="B1194" t="str">
        <f>IF(_xlfn.XLOOKUP(A1194,PARAMETROS!A:A,PARAMETROS!B:B)=0,"",_xlfn.XLOOKUP(A1194,PARAMETROS!A:A,PARAMETROS!B:B))</f>
        <v/>
      </c>
      <c r="C1194" t="str">
        <f>IF(_xlfn.XLOOKUP(A1194,PARAMETROS!A:A,PARAMETROS!C:C)=0,"",_xlfn.XLOOKUP(A1194,PARAMETROS!A:A,PARAMETROS!C:C))</f>
        <v/>
      </c>
      <c r="D1194" t="str">
        <f>IF(_xlfn.XLOOKUP(A1194,PARAMETROS!A:A,PARAMETROS!D:D)=0,"",_xlfn.XLOOKUP(A1194,PARAMETROS!A:A,PARAMETROS!D:D))</f>
        <v/>
      </c>
      <c r="E1194" t="str">
        <f>IF(_xlfn.XLOOKUP('PREENCHIMENTO|LETIVAS'!A1194,PARAMETROS!A:A,PARAMETROS!I:I)=0,"",_xlfn.XLOOKUP('PREENCHIMENTO|LETIVAS'!A1194,PARAMETROS!A:A,PARAMETROS!I:I))</f>
        <v/>
      </c>
      <c r="F1194" s="3"/>
      <c r="G1194" s="3"/>
      <c r="H1194" s="3"/>
      <c r="I1194" s="3"/>
      <c r="J1194" s="3"/>
      <c r="K1194" s="3"/>
      <c r="L1194" s="19"/>
    </row>
    <row r="1195" spans="1:12">
      <c r="A1195" s="3"/>
      <c r="B1195" t="str">
        <f>IF(_xlfn.XLOOKUP(A1195,PARAMETROS!A:A,PARAMETROS!B:B)=0,"",_xlfn.XLOOKUP(A1195,PARAMETROS!A:A,PARAMETROS!B:B))</f>
        <v/>
      </c>
      <c r="C1195" t="str">
        <f>IF(_xlfn.XLOOKUP(A1195,PARAMETROS!A:A,PARAMETROS!C:C)=0,"",_xlfn.XLOOKUP(A1195,PARAMETROS!A:A,PARAMETROS!C:C))</f>
        <v/>
      </c>
      <c r="D1195" t="str">
        <f>IF(_xlfn.XLOOKUP(A1195,PARAMETROS!A:A,PARAMETROS!D:D)=0,"",_xlfn.XLOOKUP(A1195,PARAMETROS!A:A,PARAMETROS!D:D))</f>
        <v/>
      </c>
      <c r="E1195" t="str">
        <f>IF(_xlfn.XLOOKUP('PREENCHIMENTO|LETIVAS'!A1195,PARAMETROS!A:A,PARAMETROS!I:I)=0,"",_xlfn.XLOOKUP('PREENCHIMENTO|LETIVAS'!A1195,PARAMETROS!A:A,PARAMETROS!I:I))</f>
        <v/>
      </c>
      <c r="F1195" s="3"/>
      <c r="G1195" s="3"/>
      <c r="H1195" s="3"/>
      <c r="I1195" s="3"/>
      <c r="J1195" s="3"/>
      <c r="K1195" s="3"/>
      <c r="L1195" s="19"/>
    </row>
    <row r="1196" spans="1:12">
      <c r="A1196" s="3"/>
      <c r="B1196" t="str">
        <f>IF(_xlfn.XLOOKUP(A1196,PARAMETROS!A:A,PARAMETROS!B:B)=0,"",_xlfn.XLOOKUP(A1196,PARAMETROS!A:A,PARAMETROS!B:B))</f>
        <v/>
      </c>
      <c r="C1196" t="str">
        <f>IF(_xlfn.XLOOKUP(A1196,PARAMETROS!A:A,PARAMETROS!C:C)=0,"",_xlfn.XLOOKUP(A1196,PARAMETROS!A:A,PARAMETROS!C:C))</f>
        <v/>
      </c>
      <c r="D1196" t="str">
        <f>IF(_xlfn.XLOOKUP(A1196,PARAMETROS!A:A,PARAMETROS!D:D)=0,"",_xlfn.XLOOKUP(A1196,PARAMETROS!A:A,PARAMETROS!D:D))</f>
        <v/>
      </c>
      <c r="E1196" t="str">
        <f>IF(_xlfn.XLOOKUP('PREENCHIMENTO|LETIVAS'!A1196,PARAMETROS!A:A,PARAMETROS!I:I)=0,"",_xlfn.XLOOKUP('PREENCHIMENTO|LETIVAS'!A1196,PARAMETROS!A:A,PARAMETROS!I:I))</f>
        <v/>
      </c>
      <c r="F1196" s="3"/>
      <c r="G1196" s="3"/>
      <c r="H1196" s="3"/>
      <c r="I1196" s="3"/>
      <c r="J1196" s="3"/>
      <c r="K1196" s="3"/>
      <c r="L1196" s="19"/>
    </row>
    <row r="1197" spans="1:12">
      <c r="A1197" s="3"/>
      <c r="B1197" t="str">
        <f>IF(_xlfn.XLOOKUP(A1197,PARAMETROS!A:A,PARAMETROS!B:B)=0,"",_xlfn.XLOOKUP(A1197,PARAMETROS!A:A,PARAMETROS!B:B))</f>
        <v/>
      </c>
      <c r="C1197" t="str">
        <f>IF(_xlfn.XLOOKUP(A1197,PARAMETROS!A:A,PARAMETROS!C:C)=0,"",_xlfn.XLOOKUP(A1197,PARAMETROS!A:A,PARAMETROS!C:C))</f>
        <v/>
      </c>
      <c r="D1197" t="str">
        <f>IF(_xlfn.XLOOKUP(A1197,PARAMETROS!A:A,PARAMETROS!D:D)=0,"",_xlfn.XLOOKUP(A1197,PARAMETROS!A:A,PARAMETROS!D:D))</f>
        <v/>
      </c>
      <c r="E1197" t="str">
        <f>IF(_xlfn.XLOOKUP('PREENCHIMENTO|LETIVAS'!A1197,PARAMETROS!A:A,PARAMETROS!I:I)=0,"",_xlfn.XLOOKUP('PREENCHIMENTO|LETIVAS'!A1197,PARAMETROS!A:A,PARAMETROS!I:I))</f>
        <v/>
      </c>
      <c r="F1197" s="3"/>
      <c r="G1197" s="3"/>
      <c r="H1197" s="3"/>
      <c r="I1197" s="3"/>
      <c r="J1197" s="3"/>
      <c r="K1197" s="3"/>
      <c r="L1197" s="19"/>
    </row>
    <row r="1198" spans="1:12">
      <c r="A1198" s="3"/>
      <c r="B1198" t="str">
        <f>IF(_xlfn.XLOOKUP(A1198,PARAMETROS!A:A,PARAMETROS!B:B)=0,"",_xlfn.XLOOKUP(A1198,PARAMETROS!A:A,PARAMETROS!B:B))</f>
        <v/>
      </c>
      <c r="C1198" t="str">
        <f>IF(_xlfn.XLOOKUP(A1198,PARAMETROS!A:A,PARAMETROS!C:C)=0,"",_xlfn.XLOOKUP(A1198,PARAMETROS!A:A,PARAMETROS!C:C))</f>
        <v/>
      </c>
      <c r="D1198" t="str">
        <f>IF(_xlfn.XLOOKUP(A1198,PARAMETROS!A:A,PARAMETROS!D:D)=0,"",_xlfn.XLOOKUP(A1198,PARAMETROS!A:A,PARAMETROS!D:D))</f>
        <v/>
      </c>
      <c r="E1198" t="str">
        <f>IF(_xlfn.XLOOKUP('PREENCHIMENTO|LETIVAS'!A1198,PARAMETROS!A:A,PARAMETROS!I:I)=0,"",_xlfn.XLOOKUP('PREENCHIMENTO|LETIVAS'!A1198,PARAMETROS!A:A,PARAMETROS!I:I))</f>
        <v/>
      </c>
      <c r="F1198" s="3"/>
      <c r="G1198" s="3"/>
      <c r="H1198" s="3"/>
      <c r="I1198" s="3"/>
      <c r="J1198" s="3"/>
      <c r="K1198" s="3"/>
      <c r="L1198" s="19"/>
    </row>
    <row r="1199" spans="1:12">
      <c r="A1199" s="3"/>
      <c r="B1199" t="str">
        <f>IF(_xlfn.XLOOKUP(A1199,PARAMETROS!A:A,PARAMETROS!B:B)=0,"",_xlfn.XLOOKUP(A1199,PARAMETROS!A:A,PARAMETROS!B:B))</f>
        <v/>
      </c>
      <c r="C1199" t="str">
        <f>IF(_xlfn.XLOOKUP(A1199,PARAMETROS!A:A,PARAMETROS!C:C)=0,"",_xlfn.XLOOKUP(A1199,PARAMETROS!A:A,PARAMETROS!C:C))</f>
        <v/>
      </c>
      <c r="D1199" t="str">
        <f>IF(_xlfn.XLOOKUP(A1199,PARAMETROS!A:A,PARAMETROS!D:D)=0,"",_xlfn.XLOOKUP(A1199,PARAMETROS!A:A,PARAMETROS!D:D))</f>
        <v/>
      </c>
      <c r="E1199" t="str">
        <f>IF(_xlfn.XLOOKUP('PREENCHIMENTO|LETIVAS'!A1199,PARAMETROS!A:A,PARAMETROS!I:I)=0,"",_xlfn.XLOOKUP('PREENCHIMENTO|LETIVAS'!A1199,PARAMETROS!A:A,PARAMETROS!I:I))</f>
        <v/>
      </c>
      <c r="F1199" s="3"/>
      <c r="G1199" s="3"/>
      <c r="H1199" s="3"/>
      <c r="I1199" s="3"/>
      <c r="J1199" s="3"/>
      <c r="K1199" s="3"/>
      <c r="L1199" s="19"/>
    </row>
    <row r="1200" spans="1:12">
      <c r="A1200" s="3"/>
      <c r="B1200" t="str">
        <f>IF(_xlfn.XLOOKUP(A1200,PARAMETROS!A:A,PARAMETROS!B:B)=0,"",_xlfn.XLOOKUP(A1200,PARAMETROS!A:A,PARAMETROS!B:B))</f>
        <v/>
      </c>
      <c r="C1200" t="str">
        <f>IF(_xlfn.XLOOKUP(A1200,PARAMETROS!A:A,PARAMETROS!C:C)=0,"",_xlfn.XLOOKUP(A1200,PARAMETROS!A:A,PARAMETROS!C:C))</f>
        <v/>
      </c>
      <c r="D1200" t="str">
        <f>IF(_xlfn.XLOOKUP(A1200,PARAMETROS!A:A,PARAMETROS!D:D)=0,"",_xlfn.XLOOKUP(A1200,PARAMETROS!A:A,PARAMETROS!D:D))</f>
        <v/>
      </c>
      <c r="E1200" t="str">
        <f>IF(_xlfn.XLOOKUP('PREENCHIMENTO|LETIVAS'!A1200,PARAMETROS!A:A,PARAMETROS!I:I)=0,"",_xlfn.XLOOKUP('PREENCHIMENTO|LETIVAS'!A1200,PARAMETROS!A:A,PARAMETROS!I:I))</f>
        <v/>
      </c>
      <c r="F1200" s="3"/>
      <c r="G1200" s="3"/>
      <c r="H1200" s="3"/>
      <c r="I1200" s="3"/>
      <c r="J1200" s="3"/>
      <c r="K1200" s="3"/>
      <c r="L1200" s="19"/>
    </row>
    <row r="1201" spans="1:12">
      <c r="A1201" s="3"/>
      <c r="B1201" t="str">
        <f>IF(_xlfn.XLOOKUP(A1201,PARAMETROS!A:A,PARAMETROS!B:B)=0,"",_xlfn.XLOOKUP(A1201,PARAMETROS!A:A,PARAMETROS!B:B))</f>
        <v/>
      </c>
      <c r="C1201" t="str">
        <f>IF(_xlfn.XLOOKUP(A1201,PARAMETROS!A:A,PARAMETROS!C:C)=0,"",_xlfn.XLOOKUP(A1201,PARAMETROS!A:A,PARAMETROS!C:C))</f>
        <v/>
      </c>
      <c r="D1201" t="str">
        <f>IF(_xlfn.XLOOKUP(A1201,PARAMETROS!A:A,PARAMETROS!D:D)=0,"",_xlfn.XLOOKUP(A1201,PARAMETROS!A:A,PARAMETROS!D:D))</f>
        <v/>
      </c>
      <c r="E1201" t="str">
        <f>IF(_xlfn.XLOOKUP('PREENCHIMENTO|LETIVAS'!A1201,PARAMETROS!A:A,PARAMETROS!I:I)=0,"",_xlfn.XLOOKUP('PREENCHIMENTO|LETIVAS'!A1201,PARAMETROS!A:A,PARAMETROS!I:I))</f>
        <v/>
      </c>
      <c r="F1201" s="3"/>
      <c r="G1201" s="3"/>
      <c r="H1201" s="3"/>
      <c r="I1201" s="3"/>
      <c r="J1201" s="3"/>
      <c r="K1201" s="3"/>
      <c r="L1201" s="19"/>
    </row>
    <row r="1202" spans="1:12">
      <c r="A1202" s="3"/>
      <c r="B1202" t="str">
        <f>IF(_xlfn.XLOOKUP(A1202,PARAMETROS!A:A,PARAMETROS!B:B)=0,"",_xlfn.XLOOKUP(A1202,PARAMETROS!A:A,PARAMETROS!B:B))</f>
        <v/>
      </c>
      <c r="C1202" t="str">
        <f>IF(_xlfn.XLOOKUP(A1202,PARAMETROS!A:A,PARAMETROS!C:C)=0,"",_xlfn.XLOOKUP(A1202,PARAMETROS!A:A,PARAMETROS!C:C))</f>
        <v/>
      </c>
      <c r="D1202" t="str">
        <f>IF(_xlfn.XLOOKUP(A1202,PARAMETROS!A:A,PARAMETROS!D:D)=0,"",_xlfn.XLOOKUP(A1202,PARAMETROS!A:A,PARAMETROS!D:D))</f>
        <v/>
      </c>
      <c r="E1202" t="str">
        <f>IF(_xlfn.XLOOKUP('PREENCHIMENTO|LETIVAS'!A1202,PARAMETROS!A:A,PARAMETROS!I:I)=0,"",_xlfn.XLOOKUP('PREENCHIMENTO|LETIVAS'!A1202,PARAMETROS!A:A,PARAMETROS!I:I))</f>
        <v/>
      </c>
      <c r="F1202" s="3"/>
      <c r="G1202" s="3"/>
      <c r="H1202" s="3"/>
      <c r="I1202" s="3"/>
      <c r="J1202" s="3"/>
      <c r="K1202" s="3"/>
      <c r="L1202" s="19"/>
    </row>
    <row r="1203" spans="1:12">
      <c r="A1203" s="3"/>
      <c r="B1203" t="str">
        <f>IF(_xlfn.XLOOKUP(A1203,PARAMETROS!A:A,PARAMETROS!B:B)=0,"",_xlfn.XLOOKUP(A1203,PARAMETROS!A:A,PARAMETROS!B:B))</f>
        <v/>
      </c>
      <c r="C1203" t="str">
        <f>IF(_xlfn.XLOOKUP(A1203,PARAMETROS!A:A,PARAMETROS!C:C)=0,"",_xlfn.XLOOKUP(A1203,PARAMETROS!A:A,PARAMETROS!C:C))</f>
        <v/>
      </c>
      <c r="D1203" t="str">
        <f>IF(_xlfn.XLOOKUP(A1203,PARAMETROS!A:A,PARAMETROS!D:D)=0,"",_xlfn.XLOOKUP(A1203,PARAMETROS!A:A,PARAMETROS!D:D))</f>
        <v/>
      </c>
      <c r="E1203" t="str">
        <f>IF(_xlfn.XLOOKUP('PREENCHIMENTO|LETIVAS'!A1203,PARAMETROS!A:A,PARAMETROS!I:I)=0,"",_xlfn.XLOOKUP('PREENCHIMENTO|LETIVAS'!A1203,PARAMETROS!A:A,PARAMETROS!I:I))</f>
        <v/>
      </c>
      <c r="F1203" s="3"/>
      <c r="G1203" s="3"/>
      <c r="H1203" s="3"/>
      <c r="I1203" s="3"/>
      <c r="J1203" s="3"/>
      <c r="K1203" s="3"/>
      <c r="L1203" s="19"/>
    </row>
    <row r="1204" spans="1:12">
      <c r="A1204" s="3"/>
      <c r="B1204" t="str">
        <f>IF(_xlfn.XLOOKUP(A1204,PARAMETROS!A:A,PARAMETROS!B:B)=0,"",_xlfn.XLOOKUP(A1204,PARAMETROS!A:A,PARAMETROS!B:B))</f>
        <v/>
      </c>
      <c r="C1204" t="str">
        <f>IF(_xlfn.XLOOKUP(A1204,PARAMETROS!A:A,PARAMETROS!C:C)=0,"",_xlfn.XLOOKUP(A1204,PARAMETROS!A:A,PARAMETROS!C:C))</f>
        <v/>
      </c>
      <c r="D1204" t="str">
        <f>IF(_xlfn.XLOOKUP(A1204,PARAMETROS!A:A,PARAMETROS!D:D)=0,"",_xlfn.XLOOKUP(A1204,PARAMETROS!A:A,PARAMETROS!D:D))</f>
        <v/>
      </c>
      <c r="E1204" t="str">
        <f>IF(_xlfn.XLOOKUP('PREENCHIMENTO|LETIVAS'!A1204,PARAMETROS!A:A,PARAMETROS!I:I)=0,"",_xlfn.XLOOKUP('PREENCHIMENTO|LETIVAS'!A1204,PARAMETROS!A:A,PARAMETROS!I:I))</f>
        <v/>
      </c>
      <c r="F1204" s="3"/>
      <c r="G1204" s="3"/>
      <c r="H1204" s="3"/>
      <c r="I1204" s="3"/>
      <c r="J1204" s="3"/>
      <c r="K1204" s="3"/>
      <c r="L1204" s="19"/>
    </row>
    <row r="1205" spans="1:12">
      <c r="A1205" s="3"/>
      <c r="B1205" t="str">
        <f>IF(_xlfn.XLOOKUP(A1205,PARAMETROS!A:A,PARAMETROS!B:B)=0,"",_xlfn.XLOOKUP(A1205,PARAMETROS!A:A,PARAMETROS!B:B))</f>
        <v/>
      </c>
      <c r="C1205" t="str">
        <f>IF(_xlfn.XLOOKUP(A1205,PARAMETROS!A:A,PARAMETROS!C:C)=0,"",_xlfn.XLOOKUP(A1205,PARAMETROS!A:A,PARAMETROS!C:C))</f>
        <v/>
      </c>
      <c r="D1205" t="str">
        <f>IF(_xlfn.XLOOKUP(A1205,PARAMETROS!A:A,PARAMETROS!D:D)=0,"",_xlfn.XLOOKUP(A1205,PARAMETROS!A:A,PARAMETROS!D:D))</f>
        <v/>
      </c>
      <c r="E1205" t="str">
        <f>IF(_xlfn.XLOOKUP('PREENCHIMENTO|LETIVAS'!A1205,PARAMETROS!A:A,PARAMETROS!I:I)=0,"",_xlfn.XLOOKUP('PREENCHIMENTO|LETIVAS'!A1205,PARAMETROS!A:A,PARAMETROS!I:I))</f>
        <v/>
      </c>
      <c r="F1205" s="3"/>
      <c r="G1205" s="3"/>
      <c r="H1205" s="3"/>
      <c r="I1205" s="3"/>
      <c r="J1205" s="3"/>
      <c r="K1205" s="3"/>
      <c r="L1205" s="19"/>
    </row>
    <row r="1206" spans="1:12">
      <c r="A1206" s="3"/>
      <c r="B1206" t="str">
        <f>IF(_xlfn.XLOOKUP(A1206,PARAMETROS!A:A,PARAMETROS!B:B)=0,"",_xlfn.XLOOKUP(A1206,PARAMETROS!A:A,PARAMETROS!B:B))</f>
        <v/>
      </c>
      <c r="C1206" t="str">
        <f>IF(_xlfn.XLOOKUP(A1206,PARAMETROS!A:A,PARAMETROS!C:C)=0,"",_xlfn.XLOOKUP(A1206,PARAMETROS!A:A,PARAMETROS!C:C))</f>
        <v/>
      </c>
      <c r="D1206" t="str">
        <f>IF(_xlfn.XLOOKUP(A1206,PARAMETROS!A:A,PARAMETROS!D:D)=0,"",_xlfn.XLOOKUP(A1206,PARAMETROS!A:A,PARAMETROS!D:D))</f>
        <v/>
      </c>
      <c r="E1206" t="str">
        <f>IF(_xlfn.XLOOKUP('PREENCHIMENTO|LETIVAS'!A1206,PARAMETROS!A:A,PARAMETROS!I:I)=0,"",_xlfn.XLOOKUP('PREENCHIMENTO|LETIVAS'!A1206,PARAMETROS!A:A,PARAMETROS!I:I))</f>
        <v/>
      </c>
      <c r="F1206" s="3"/>
      <c r="G1206" s="3"/>
      <c r="H1206" s="3"/>
      <c r="I1206" s="3"/>
      <c r="J1206" s="3"/>
      <c r="K1206" s="3"/>
      <c r="L1206" s="19"/>
    </row>
    <row r="1207" spans="1:12">
      <c r="A1207" s="3"/>
      <c r="B1207" t="str">
        <f>IF(_xlfn.XLOOKUP(A1207,PARAMETROS!A:A,PARAMETROS!B:B)=0,"",_xlfn.XLOOKUP(A1207,PARAMETROS!A:A,PARAMETROS!B:B))</f>
        <v/>
      </c>
      <c r="C1207" t="str">
        <f>IF(_xlfn.XLOOKUP(A1207,PARAMETROS!A:A,PARAMETROS!C:C)=0,"",_xlfn.XLOOKUP(A1207,PARAMETROS!A:A,PARAMETROS!C:C))</f>
        <v/>
      </c>
      <c r="D1207" t="str">
        <f>IF(_xlfn.XLOOKUP(A1207,PARAMETROS!A:A,PARAMETROS!D:D)=0,"",_xlfn.XLOOKUP(A1207,PARAMETROS!A:A,PARAMETROS!D:D))</f>
        <v/>
      </c>
      <c r="E1207" t="str">
        <f>IF(_xlfn.XLOOKUP('PREENCHIMENTO|LETIVAS'!A1207,PARAMETROS!A:A,PARAMETROS!I:I)=0,"",_xlfn.XLOOKUP('PREENCHIMENTO|LETIVAS'!A1207,PARAMETROS!A:A,PARAMETROS!I:I))</f>
        <v/>
      </c>
      <c r="F1207" s="3"/>
      <c r="G1207" s="3"/>
      <c r="H1207" s="3"/>
      <c r="I1207" s="3"/>
      <c r="J1207" s="3"/>
      <c r="K1207" s="3"/>
      <c r="L1207" s="19"/>
    </row>
    <row r="1208" spans="1:12">
      <c r="A1208" s="3"/>
      <c r="B1208" t="str">
        <f>IF(_xlfn.XLOOKUP(A1208,PARAMETROS!A:A,PARAMETROS!B:B)=0,"",_xlfn.XLOOKUP(A1208,PARAMETROS!A:A,PARAMETROS!B:B))</f>
        <v/>
      </c>
      <c r="C1208" t="str">
        <f>IF(_xlfn.XLOOKUP(A1208,PARAMETROS!A:A,PARAMETROS!C:C)=0,"",_xlfn.XLOOKUP(A1208,PARAMETROS!A:A,PARAMETROS!C:C))</f>
        <v/>
      </c>
      <c r="D1208" t="str">
        <f>IF(_xlfn.XLOOKUP(A1208,PARAMETROS!A:A,PARAMETROS!D:D)=0,"",_xlfn.XLOOKUP(A1208,PARAMETROS!A:A,PARAMETROS!D:D))</f>
        <v/>
      </c>
      <c r="E1208" t="str">
        <f>IF(_xlfn.XLOOKUP('PREENCHIMENTO|LETIVAS'!A1208,PARAMETROS!A:A,PARAMETROS!I:I)=0,"",_xlfn.XLOOKUP('PREENCHIMENTO|LETIVAS'!A1208,PARAMETROS!A:A,PARAMETROS!I:I))</f>
        <v/>
      </c>
      <c r="F1208" s="3"/>
      <c r="G1208" s="3"/>
      <c r="H1208" s="3"/>
      <c r="I1208" s="3"/>
      <c r="J1208" s="3"/>
      <c r="K1208" s="3"/>
      <c r="L1208" s="19"/>
    </row>
    <row r="1209" spans="1:12">
      <c r="A1209" s="3"/>
      <c r="B1209" t="str">
        <f>IF(_xlfn.XLOOKUP(A1209,PARAMETROS!A:A,PARAMETROS!B:B)=0,"",_xlfn.XLOOKUP(A1209,PARAMETROS!A:A,PARAMETROS!B:B))</f>
        <v/>
      </c>
      <c r="C1209" t="str">
        <f>IF(_xlfn.XLOOKUP(A1209,PARAMETROS!A:A,PARAMETROS!C:C)=0,"",_xlfn.XLOOKUP(A1209,PARAMETROS!A:A,PARAMETROS!C:C))</f>
        <v/>
      </c>
      <c r="D1209" t="str">
        <f>IF(_xlfn.XLOOKUP(A1209,PARAMETROS!A:A,PARAMETROS!D:D)=0,"",_xlfn.XLOOKUP(A1209,PARAMETROS!A:A,PARAMETROS!D:D))</f>
        <v/>
      </c>
      <c r="E1209" t="str">
        <f>IF(_xlfn.XLOOKUP('PREENCHIMENTO|LETIVAS'!A1209,PARAMETROS!A:A,PARAMETROS!I:I)=0,"",_xlfn.XLOOKUP('PREENCHIMENTO|LETIVAS'!A1209,PARAMETROS!A:A,PARAMETROS!I:I))</f>
        <v/>
      </c>
      <c r="F1209" s="3"/>
      <c r="G1209" s="3"/>
      <c r="H1209" s="3"/>
      <c r="I1209" s="3"/>
      <c r="J1209" s="3"/>
      <c r="K1209" s="3"/>
      <c r="L1209" s="19"/>
    </row>
    <row r="1210" spans="1:12">
      <c r="A1210" s="3"/>
      <c r="B1210" t="str">
        <f>IF(_xlfn.XLOOKUP(A1210,PARAMETROS!A:A,PARAMETROS!B:B)=0,"",_xlfn.XLOOKUP(A1210,PARAMETROS!A:A,PARAMETROS!B:B))</f>
        <v/>
      </c>
      <c r="C1210" t="str">
        <f>IF(_xlfn.XLOOKUP(A1210,PARAMETROS!A:A,PARAMETROS!C:C)=0,"",_xlfn.XLOOKUP(A1210,PARAMETROS!A:A,PARAMETROS!C:C))</f>
        <v/>
      </c>
      <c r="D1210" t="str">
        <f>IF(_xlfn.XLOOKUP(A1210,PARAMETROS!A:A,PARAMETROS!D:D)=0,"",_xlfn.XLOOKUP(A1210,PARAMETROS!A:A,PARAMETROS!D:D))</f>
        <v/>
      </c>
      <c r="E1210" t="str">
        <f>IF(_xlfn.XLOOKUP('PREENCHIMENTO|LETIVAS'!A1210,PARAMETROS!A:A,PARAMETROS!I:I)=0,"",_xlfn.XLOOKUP('PREENCHIMENTO|LETIVAS'!A1210,PARAMETROS!A:A,PARAMETROS!I:I))</f>
        <v/>
      </c>
      <c r="F1210" s="3"/>
      <c r="G1210" s="3"/>
      <c r="H1210" s="3"/>
      <c r="I1210" s="3"/>
      <c r="J1210" s="3"/>
      <c r="K1210" s="3"/>
      <c r="L1210" s="19"/>
    </row>
    <row r="1211" spans="1:12">
      <c r="A1211" s="3"/>
      <c r="B1211" t="str">
        <f>IF(_xlfn.XLOOKUP(A1211,PARAMETROS!A:A,PARAMETROS!B:B)=0,"",_xlfn.XLOOKUP(A1211,PARAMETROS!A:A,PARAMETROS!B:B))</f>
        <v/>
      </c>
      <c r="C1211" t="str">
        <f>IF(_xlfn.XLOOKUP(A1211,PARAMETROS!A:A,PARAMETROS!C:C)=0,"",_xlfn.XLOOKUP(A1211,PARAMETROS!A:A,PARAMETROS!C:C))</f>
        <v/>
      </c>
      <c r="D1211" t="str">
        <f>IF(_xlfn.XLOOKUP(A1211,PARAMETROS!A:A,PARAMETROS!D:D)=0,"",_xlfn.XLOOKUP(A1211,PARAMETROS!A:A,PARAMETROS!D:D))</f>
        <v/>
      </c>
      <c r="E1211" t="str">
        <f>IF(_xlfn.XLOOKUP('PREENCHIMENTO|LETIVAS'!A1211,PARAMETROS!A:A,PARAMETROS!I:I)=0,"",_xlfn.XLOOKUP('PREENCHIMENTO|LETIVAS'!A1211,PARAMETROS!A:A,PARAMETROS!I:I))</f>
        <v/>
      </c>
      <c r="F1211" s="3"/>
      <c r="G1211" s="3"/>
      <c r="H1211" s="3"/>
      <c r="I1211" s="3"/>
      <c r="J1211" s="3"/>
      <c r="K1211" s="3"/>
      <c r="L1211" s="19"/>
    </row>
    <row r="1212" spans="1:12">
      <c r="A1212" s="3"/>
      <c r="B1212" t="str">
        <f>IF(_xlfn.XLOOKUP(A1212,PARAMETROS!A:A,PARAMETROS!B:B)=0,"",_xlfn.XLOOKUP(A1212,PARAMETROS!A:A,PARAMETROS!B:B))</f>
        <v/>
      </c>
      <c r="C1212" t="str">
        <f>IF(_xlfn.XLOOKUP(A1212,PARAMETROS!A:A,PARAMETROS!C:C)=0,"",_xlfn.XLOOKUP(A1212,PARAMETROS!A:A,PARAMETROS!C:C))</f>
        <v/>
      </c>
      <c r="D1212" t="str">
        <f>IF(_xlfn.XLOOKUP(A1212,PARAMETROS!A:A,PARAMETROS!D:D)=0,"",_xlfn.XLOOKUP(A1212,PARAMETROS!A:A,PARAMETROS!D:D))</f>
        <v/>
      </c>
      <c r="E1212" t="str">
        <f>IF(_xlfn.XLOOKUP('PREENCHIMENTO|LETIVAS'!A1212,PARAMETROS!A:A,PARAMETROS!I:I)=0,"",_xlfn.XLOOKUP('PREENCHIMENTO|LETIVAS'!A1212,PARAMETROS!A:A,PARAMETROS!I:I))</f>
        <v/>
      </c>
      <c r="F1212" s="3"/>
      <c r="G1212" s="3"/>
      <c r="H1212" s="3"/>
      <c r="I1212" s="3"/>
      <c r="J1212" s="3"/>
      <c r="K1212" s="3"/>
      <c r="L1212" s="19"/>
    </row>
    <row r="1213" spans="1:12">
      <c r="A1213" s="3"/>
      <c r="B1213" t="str">
        <f>IF(_xlfn.XLOOKUP(A1213,PARAMETROS!A:A,PARAMETROS!B:B)=0,"",_xlfn.XLOOKUP(A1213,PARAMETROS!A:A,PARAMETROS!B:B))</f>
        <v/>
      </c>
      <c r="C1213" t="str">
        <f>IF(_xlfn.XLOOKUP(A1213,PARAMETROS!A:A,PARAMETROS!C:C)=0,"",_xlfn.XLOOKUP(A1213,PARAMETROS!A:A,PARAMETROS!C:C))</f>
        <v/>
      </c>
      <c r="D1213" t="str">
        <f>IF(_xlfn.XLOOKUP(A1213,PARAMETROS!A:A,PARAMETROS!D:D)=0,"",_xlfn.XLOOKUP(A1213,PARAMETROS!A:A,PARAMETROS!D:D))</f>
        <v/>
      </c>
      <c r="E1213" t="str">
        <f>IF(_xlfn.XLOOKUP('PREENCHIMENTO|LETIVAS'!A1213,PARAMETROS!A:A,PARAMETROS!I:I)=0,"",_xlfn.XLOOKUP('PREENCHIMENTO|LETIVAS'!A1213,PARAMETROS!A:A,PARAMETROS!I:I))</f>
        <v/>
      </c>
      <c r="F1213" s="3"/>
      <c r="G1213" s="3"/>
      <c r="H1213" s="3"/>
      <c r="I1213" s="3"/>
      <c r="J1213" s="3"/>
      <c r="K1213" s="3"/>
      <c r="L1213" s="19"/>
    </row>
    <row r="1214" spans="1:12">
      <c r="A1214" s="3"/>
      <c r="B1214" t="str">
        <f>IF(_xlfn.XLOOKUP(A1214,PARAMETROS!A:A,PARAMETROS!B:B)=0,"",_xlfn.XLOOKUP(A1214,PARAMETROS!A:A,PARAMETROS!B:B))</f>
        <v/>
      </c>
      <c r="C1214" t="str">
        <f>IF(_xlfn.XLOOKUP(A1214,PARAMETROS!A:A,PARAMETROS!C:C)=0,"",_xlfn.XLOOKUP(A1214,PARAMETROS!A:A,PARAMETROS!C:C))</f>
        <v/>
      </c>
      <c r="D1214" t="str">
        <f>IF(_xlfn.XLOOKUP(A1214,PARAMETROS!A:A,PARAMETROS!D:D)=0,"",_xlfn.XLOOKUP(A1214,PARAMETROS!A:A,PARAMETROS!D:D))</f>
        <v/>
      </c>
      <c r="E1214" t="str">
        <f>IF(_xlfn.XLOOKUP('PREENCHIMENTO|LETIVAS'!A1214,PARAMETROS!A:A,PARAMETROS!I:I)=0,"",_xlfn.XLOOKUP('PREENCHIMENTO|LETIVAS'!A1214,PARAMETROS!A:A,PARAMETROS!I:I))</f>
        <v/>
      </c>
      <c r="F1214" s="3"/>
      <c r="G1214" s="3"/>
      <c r="H1214" s="3"/>
      <c r="I1214" s="3"/>
      <c r="J1214" s="3"/>
      <c r="K1214" s="3"/>
      <c r="L1214" s="19"/>
    </row>
    <row r="1215" spans="1:12">
      <c r="A1215" s="3"/>
      <c r="B1215" t="str">
        <f>IF(_xlfn.XLOOKUP(A1215,PARAMETROS!A:A,PARAMETROS!B:B)=0,"",_xlfn.XLOOKUP(A1215,PARAMETROS!A:A,PARAMETROS!B:B))</f>
        <v/>
      </c>
      <c r="C1215" t="str">
        <f>IF(_xlfn.XLOOKUP(A1215,PARAMETROS!A:A,PARAMETROS!C:C)=0,"",_xlfn.XLOOKUP(A1215,PARAMETROS!A:A,PARAMETROS!C:C))</f>
        <v/>
      </c>
      <c r="D1215" t="str">
        <f>IF(_xlfn.XLOOKUP(A1215,PARAMETROS!A:A,PARAMETROS!D:D)=0,"",_xlfn.XLOOKUP(A1215,PARAMETROS!A:A,PARAMETROS!D:D))</f>
        <v/>
      </c>
      <c r="E1215" t="str">
        <f>IF(_xlfn.XLOOKUP('PREENCHIMENTO|LETIVAS'!A1215,PARAMETROS!A:A,PARAMETROS!I:I)=0,"",_xlfn.XLOOKUP('PREENCHIMENTO|LETIVAS'!A1215,PARAMETROS!A:A,PARAMETROS!I:I))</f>
        <v/>
      </c>
      <c r="F1215" s="3"/>
      <c r="G1215" s="3"/>
      <c r="H1215" s="3"/>
      <c r="I1215" s="3"/>
      <c r="J1215" s="3"/>
      <c r="K1215" s="3"/>
      <c r="L1215" s="19"/>
    </row>
    <row r="1216" spans="1:12">
      <c r="A1216" s="3"/>
      <c r="B1216" t="str">
        <f>IF(_xlfn.XLOOKUP(A1216,PARAMETROS!A:A,PARAMETROS!B:B)=0,"",_xlfn.XLOOKUP(A1216,PARAMETROS!A:A,PARAMETROS!B:B))</f>
        <v/>
      </c>
      <c r="C1216" t="str">
        <f>IF(_xlfn.XLOOKUP(A1216,PARAMETROS!A:A,PARAMETROS!C:C)=0,"",_xlfn.XLOOKUP(A1216,PARAMETROS!A:A,PARAMETROS!C:C))</f>
        <v/>
      </c>
      <c r="D1216" t="str">
        <f>IF(_xlfn.XLOOKUP(A1216,PARAMETROS!A:A,PARAMETROS!D:D)=0,"",_xlfn.XLOOKUP(A1216,PARAMETROS!A:A,PARAMETROS!D:D))</f>
        <v/>
      </c>
      <c r="E1216" t="str">
        <f>IF(_xlfn.XLOOKUP('PREENCHIMENTO|LETIVAS'!A1216,PARAMETROS!A:A,PARAMETROS!I:I)=0,"",_xlfn.XLOOKUP('PREENCHIMENTO|LETIVAS'!A1216,PARAMETROS!A:A,PARAMETROS!I:I))</f>
        <v/>
      </c>
      <c r="F1216" s="3"/>
      <c r="G1216" s="3"/>
      <c r="H1216" s="3"/>
      <c r="I1216" s="3"/>
      <c r="J1216" s="3"/>
      <c r="K1216" s="3"/>
      <c r="L1216" s="19"/>
    </row>
    <row r="1217" spans="1:12">
      <c r="A1217" s="3"/>
      <c r="B1217" t="str">
        <f>IF(_xlfn.XLOOKUP(A1217,PARAMETROS!A:A,PARAMETROS!B:B)=0,"",_xlfn.XLOOKUP(A1217,PARAMETROS!A:A,PARAMETROS!B:B))</f>
        <v/>
      </c>
      <c r="C1217" t="str">
        <f>IF(_xlfn.XLOOKUP(A1217,PARAMETROS!A:A,PARAMETROS!C:C)=0,"",_xlfn.XLOOKUP(A1217,PARAMETROS!A:A,PARAMETROS!C:C))</f>
        <v/>
      </c>
      <c r="D1217" t="str">
        <f>IF(_xlfn.XLOOKUP(A1217,PARAMETROS!A:A,PARAMETROS!D:D)=0,"",_xlfn.XLOOKUP(A1217,PARAMETROS!A:A,PARAMETROS!D:D))</f>
        <v/>
      </c>
      <c r="E1217" t="str">
        <f>IF(_xlfn.XLOOKUP('PREENCHIMENTO|LETIVAS'!A1217,PARAMETROS!A:A,PARAMETROS!I:I)=0,"",_xlfn.XLOOKUP('PREENCHIMENTO|LETIVAS'!A1217,PARAMETROS!A:A,PARAMETROS!I:I))</f>
        <v/>
      </c>
      <c r="F1217" s="3"/>
      <c r="G1217" s="3"/>
      <c r="H1217" s="3"/>
      <c r="I1217" s="3"/>
      <c r="J1217" s="3"/>
      <c r="K1217" s="3"/>
      <c r="L1217" s="19"/>
    </row>
    <row r="1218" spans="1:12">
      <c r="A1218" s="3"/>
      <c r="B1218" t="str">
        <f>IF(_xlfn.XLOOKUP(A1218,PARAMETROS!A:A,PARAMETROS!B:B)=0,"",_xlfn.XLOOKUP(A1218,PARAMETROS!A:A,PARAMETROS!B:B))</f>
        <v/>
      </c>
      <c r="C1218" t="str">
        <f>IF(_xlfn.XLOOKUP(A1218,PARAMETROS!A:A,PARAMETROS!C:C)=0,"",_xlfn.XLOOKUP(A1218,PARAMETROS!A:A,PARAMETROS!C:C))</f>
        <v/>
      </c>
      <c r="D1218" t="str">
        <f>IF(_xlfn.XLOOKUP(A1218,PARAMETROS!A:A,PARAMETROS!D:D)=0,"",_xlfn.XLOOKUP(A1218,PARAMETROS!A:A,PARAMETROS!D:D))</f>
        <v/>
      </c>
      <c r="E1218" t="str">
        <f>IF(_xlfn.XLOOKUP('PREENCHIMENTO|LETIVAS'!A1218,PARAMETROS!A:A,PARAMETROS!I:I)=0,"",_xlfn.XLOOKUP('PREENCHIMENTO|LETIVAS'!A1218,PARAMETROS!A:A,PARAMETROS!I:I))</f>
        <v/>
      </c>
      <c r="F1218" s="3"/>
      <c r="G1218" s="3"/>
      <c r="H1218" s="3"/>
      <c r="I1218" s="3"/>
      <c r="J1218" s="3"/>
      <c r="K1218" s="3"/>
      <c r="L1218" s="19"/>
    </row>
    <row r="1219" spans="1:12">
      <c r="A1219" s="3"/>
      <c r="B1219" t="str">
        <f>IF(_xlfn.XLOOKUP(A1219,PARAMETROS!A:A,PARAMETROS!B:B)=0,"",_xlfn.XLOOKUP(A1219,PARAMETROS!A:A,PARAMETROS!B:B))</f>
        <v/>
      </c>
      <c r="C1219" t="str">
        <f>IF(_xlfn.XLOOKUP(A1219,PARAMETROS!A:A,PARAMETROS!C:C)=0,"",_xlfn.XLOOKUP(A1219,PARAMETROS!A:A,PARAMETROS!C:C))</f>
        <v/>
      </c>
      <c r="D1219" t="str">
        <f>IF(_xlfn.XLOOKUP(A1219,PARAMETROS!A:A,PARAMETROS!D:D)=0,"",_xlfn.XLOOKUP(A1219,PARAMETROS!A:A,PARAMETROS!D:D))</f>
        <v/>
      </c>
      <c r="E1219" t="str">
        <f>IF(_xlfn.XLOOKUP('PREENCHIMENTO|LETIVAS'!A1219,PARAMETROS!A:A,PARAMETROS!I:I)=0,"",_xlfn.XLOOKUP('PREENCHIMENTO|LETIVAS'!A1219,PARAMETROS!A:A,PARAMETROS!I:I))</f>
        <v/>
      </c>
      <c r="F1219" s="3"/>
      <c r="G1219" s="3"/>
      <c r="H1219" s="3"/>
      <c r="I1219" s="3"/>
      <c r="J1219" s="3"/>
      <c r="K1219" s="3"/>
      <c r="L1219" s="19"/>
    </row>
    <row r="1220" spans="1:12">
      <c r="A1220" s="3"/>
      <c r="B1220" t="str">
        <f>IF(_xlfn.XLOOKUP(A1220,PARAMETROS!A:A,PARAMETROS!B:B)=0,"",_xlfn.XLOOKUP(A1220,PARAMETROS!A:A,PARAMETROS!B:B))</f>
        <v/>
      </c>
      <c r="C1220" t="str">
        <f>IF(_xlfn.XLOOKUP(A1220,PARAMETROS!A:A,PARAMETROS!C:C)=0,"",_xlfn.XLOOKUP(A1220,PARAMETROS!A:A,PARAMETROS!C:C))</f>
        <v/>
      </c>
      <c r="D1220" t="str">
        <f>IF(_xlfn.XLOOKUP(A1220,PARAMETROS!A:A,PARAMETROS!D:D)=0,"",_xlfn.XLOOKUP(A1220,PARAMETROS!A:A,PARAMETROS!D:D))</f>
        <v/>
      </c>
      <c r="E1220" t="str">
        <f>IF(_xlfn.XLOOKUP('PREENCHIMENTO|LETIVAS'!A1220,PARAMETROS!A:A,PARAMETROS!I:I)=0,"",_xlfn.XLOOKUP('PREENCHIMENTO|LETIVAS'!A1220,PARAMETROS!A:A,PARAMETROS!I:I))</f>
        <v/>
      </c>
      <c r="F1220" s="3"/>
      <c r="G1220" s="3"/>
      <c r="H1220" s="3"/>
      <c r="I1220" s="3"/>
      <c r="J1220" s="3"/>
      <c r="K1220" s="3"/>
      <c r="L1220" s="19"/>
    </row>
    <row r="1221" spans="1:12">
      <c r="A1221" s="3"/>
      <c r="B1221" t="str">
        <f>IF(_xlfn.XLOOKUP(A1221,PARAMETROS!A:A,PARAMETROS!B:B)=0,"",_xlfn.XLOOKUP(A1221,PARAMETROS!A:A,PARAMETROS!B:B))</f>
        <v/>
      </c>
      <c r="C1221" t="str">
        <f>IF(_xlfn.XLOOKUP(A1221,PARAMETROS!A:A,PARAMETROS!C:C)=0,"",_xlfn.XLOOKUP(A1221,PARAMETROS!A:A,PARAMETROS!C:C))</f>
        <v/>
      </c>
      <c r="D1221" t="str">
        <f>IF(_xlfn.XLOOKUP(A1221,PARAMETROS!A:A,PARAMETROS!D:D)=0,"",_xlfn.XLOOKUP(A1221,PARAMETROS!A:A,PARAMETROS!D:D))</f>
        <v/>
      </c>
      <c r="E1221" t="str">
        <f>IF(_xlfn.XLOOKUP('PREENCHIMENTO|LETIVAS'!A1221,PARAMETROS!A:A,PARAMETROS!I:I)=0,"",_xlfn.XLOOKUP('PREENCHIMENTO|LETIVAS'!A1221,PARAMETROS!A:A,PARAMETROS!I:I))</f>
        <v/>
      </c>
      <c r="F1221" s="3"/>
      <c r="G1221" s="3"/>
      <c r="H1221" s="3"/>
      <c r="I1221" s="3"/>
      <c r="J1221" s="3"/>
      <c r="K1221" s="3"/>
      <c r="L1221" s="19"/>
    </row>
    <row r="1222" spans="1:12">
      <c r="A1222" s="3"/>
      <c r="B1222" t="str">
        <f>IF(_xlfn.XLOOKUP(A1222,PARAMETROS!A:A,PARAMETROS!B:B)=0,"",_xlfn.XLOOKUP(A1222,PARAMETROS!A:A,PARAMETROS!B:B))</f>
        <v/>
      </c>
      <c r="C1222" t="str">
        <f>IF(_xlfn.XLOOKUP(A1222,PARAMETROS!A:A,PARAMETROS!C:C)=0,"",_xlfn.XLOOKUP(A1222,PARAMETROS!A:A,PARAMETROS!C:C))</f>
        <v/>
      </c>
      <c r="D1222" t="str">
        <f>IF(_xlfn.XLOOKUP(A1222,PARAMETROS!A:A,PARAMETROS!D:D)=0,"",_xlfn.XLOOKUP(A1222,PARAMETROS!A:A,PARAMETROS!D:D))</f>
        <v/>
      </c>
      <c r="E1222" t="str">
        <f>IF(_xlfn.XLOOKUP('PREENCHIMENTO|LETIVAS'!A1222,PARAMETROS!A:A,PARAMETROS!I:I)=0,"",_xlfn.XLOOKUP('PREENCHIMENTO|LETIVAS'!A1222,PARAMETROS!A:A,PARAMETROS!I:I))</f>
        <v/>
      </c>
      <c r="F1222" s="3"/>
      <c r="G1222" s="3"/>
      <c r="H1222" s="3"/>
      <c r="I1222" s="3"/>
      <c r="J1222" s="3"/>
      <c r="K1222" s="3"/>
      <c r="L1222" s="19"/>
    </row>
    <row r="1223" spans="1:12">
      <c r="A1223" s="3"/>
      <c r="B1223" t="str">
        <f>IF(_xlfn.XLOOKUP(A1223,PARAMETROS!A:A,PARAMETROS!B:B)=0,"",_xlfn.XLOOKUP(A1223,PARAMETROS!A:A,PARAMETROS!B:B))</f>
        <v/>
      </c>
      <c r="C1223" t="str">
        <f>IF(_xlfn.XLOOKUP(A1223,PARAMETROS!A:A,PARAMETROS!C:C)=0,"",_xlfn.XLOOKUP(A1223,PARAMETROS!A:A,PARAMETROS!C:C))</f>
        <v/>
      </c>
      <c r="D1223" t="str">
        <f>IF(_xlfn.XLOOKUP(A1223,PARAMETROS!A:A,PARAMETROS!D:D)=0,"",_xlfn.XLOOKUP(A1223,PARAMETROS!A:A,PARAMETROS!D:D))</f>
        <v/>
      </c>
      <c r="E1223" t="str">
        <f>IF(_xlfn.XLOOKUP('PREENCHIMENTO|LETIVAS'!A1223,PARAMETROS!A:A,PARAMETROS!I:I)=0,"",_xlfn.XLOOKUP('PREENCHIMENTO|LETIVAS'!A1223,PARAMETROS!A:A,PARAMETROS!I:I))</f>
        <v/>
      </c>
      <c r="F1223" s="3"/>
      <c r="G1223" s="3"/>
      <c r="H1223" s="3"/>
      <c r="I1223" s="3"/>
      <c r="J1223" s="3"/>
      <c r="K1223" s="3"/>
      <c r="L1223" s="19"/>
    </row>
    <row r="1224" spans="1:12">
      <c r="A1224" s="3"/>
      <c r="B1224" t="str">
        <f>IF(_xlfn.XLOOKUP(A1224,PARAMETROS!A:A,PARAMETROS!B:B)=0,"",_xlfn.XLOOKUP(A1224,PARAMETROS!A:A,PARAMETROS!B:B))</f>
        <v/>
      </c>
      <c r="C1224" t="str">
        <f>IF(_xlfn.XLOOKUP(A1224,PARAMETROS!A:A,PARAMETROS!C:C)=0,"",_xlfn.XLOOKUP(A1224,PARAMETROS!A:A,PARAMETROS!C:C))</f>
        <v/>
      </c>
      <c r="D1224" t="str">
        <f>IF(_xlfn.XLOOKUP(A1224,PARAMETROS!A:A,PARAMETROS!D:D)=0,"",_xlfn.XLOOKUP(A1224,PARAMETROS!A:A,PARAMETROS!D:D))</f>
        <v/>
      </c>
      <c r="E1224" t="str">
        <f>IF(_xlfn.XLOOKUP('PREENCHIMENTO|LETIVAS'!A1224,PARAMETROS!A:A,PARAMETROS!I:I)=0,"",_xlfn.XLOOKUP('PREENCHIMENTO|LETIVAS'!A1224,PARAMETROS!A:A,PARAMETROS!I:I))</f>
        <v/>
      </c>
      <c r="F1224" s="3"/>
      <c r="G1224" s="3"/>
      <c r="H1224" s="3"/>
      <c r="I1224" s="3"/>
      <c r="J1224" s="3"/>
      <c r="K1224" s="3"/>
      <c r="L1224" s="19"/>
    </row>
    <row r="1225" spans="1:12">
      <c r="A1225" s="3"/>
      <c r="B1225" t="str">
        <f>IF(_xlfn.XLOOKUP(A1225,PARAMETROS!A:A,PARAMETROS!B:B)=0,"",_xlfn.XLOOKUP(A1225,PARAMETROS!A:A,PARAMETROS!B:B))</f>
        <v/>
      </c>
      <c r="C1225" t="str">
        <f>IF(_xlfn.XLOOKUP(A1225,PARAMETROS!A:A,PARAMETROS!C:C)=0,"",_xlfn.XLOOKUP(A1225,PARAMETROS!A:A,PARAMETROS!C:C))</f>
        <v/>
      </c>
      <c r="D1225" t="str">
        <f>IF(_xlfn.XLOOKUP(A1225,PARAMETROS!A:A,PARAMETROS!D:D)=0,"",_xlfn.XLOOKUP(A1225,PARAMETROS!A:A,PARAMETROS!D:D))</f>
        <v/>
      </c>
      <c r="E1225" t="str">
        <f>IF(_xlfn.XLOOKUP('PREENCHIMENTO|LETIVAS'!A1225,PARAMETROS!A:A,PARAMETROS!I:I)=0,"",_xlfn.XLOOKUP('PREENCHIMENTO|LETIVAS'!A1225,PARAMETROS!A:A,PARAMETROS!I:I))</f>
        <v/>
      </c>
      <c r="F1225" s="3"/>
      <c r="G1225" s="3"/>
      <c r="H1225" s="3"/>
      <c r="I1225" s="3"/>
      <c r="J1225" s="3"/>
      <c r="K1225" s="3"/>
      <c r="L1225" s="19"/>
    </row>
    <row r="1226" spans="1:12">
      <c r="A1226" s="3"/>
      <c r="B1226" t="str">
        <f>IF(_xlfn.XLOOKUP(A1226,PARAMETROS!A:A,PARAMETROS!B:B)=0,"",_xlfn.XLOOKUP(A1226,PARAMETROS!A:A,PARAMETROS!B:B))</f>
        <v/>
      </c>
      <c r="C1226" t="str">
        <f>IF(_xlfn.XLOOKUP(A1226,PARAMETROS!A:A,PARAMETROS!C:C)=0,"",_xlfn.XLOOKUP(A1226,PARAMETROS!A:A,PARAMETROS!C:C))</f>
        <v/>
      </c>
      <c r="D1226" t="str">
        <f>IF(_xlfn.XLOOKUP(A1226,PARAMETROS!A:A,PARAMETROS!D:D)=0,"",_xlfn.XLOOKUP(A1226,PARAMETROS!A:A,PARAMETROS!D:D))</f>
        <v/>
      </c>
      <c r="E1226" t="str">
        <f>IF(_xlfn.XLOOKUP('PREENCHIMENTO|LETIVAS'!A1226,PARAMETROS!A:A,PARAMETROS!I:I)=0,"",_xlfn.XLOOKUP('PREENCHIMENTO|LETIVAS'!A1226,PARAMETROS!A:A,PARAMETROS!I:I))</f>
        <v/>
      </c>
      <c r="F1226" s="3"/>
      <c r="G1226" s="3"/>
      <c r="H1226" s="3"/>
      <c r="I1226" s="3"/>
      <c r="J1226" s="3"/>
      <c r="K1226" s="3"/>
      <c r="L1226" s="19"/>
    </row>
    <row r="1227" spans="1:12">
      <c r="A1227" s="3"/>
      <c r="B1227" t="str">
        <f>IF(_xlfn.XLOOKUP(A1227,PARAMETROS!A:A,PARAMETROS!B:B)=0,"",_xlfn.XLOOKUP(A1227,PARAMETROS!A:A,PARAMETROS!B:B))</f>
        <v/>
      </c>
      <c r="C1227" t="str">
        <f>IF(_xlfn.XLOOKUP(A1227,PARAMETROS!A:A,PARAMETROS!C:C)=0,"",_xlfn.XLOOKUP(A1227,PARAMETROS!A:A,PARAMETROS!C:C))</f>
        <v/>
      </c>
      <c r="D1227" t="str">
        <f>IF(_xlfn.XLOOKUP(A1227,PARAMETROS!A:A,PARAMETROS!D:D)=0,"",_xlfn.XLOOKUP(A1227,PARAMETROS!A:A,PARAMETROS!D:D))</f>
        <v/>
      </c>
      <c r="E1227" t="str">
        <f>IF(_xlfn.XLOOKUP('PREENCHIMENTO|LETIVAS'!A1227,PARAMETROS!A:A,PARAMETROS!I:I)=0,"",_xlfn.XLOOKUP('PREENCHIMENTO|LETIVAS'!A1227,PARAMETROS!A:A,PARAMETROS!I:I))</f>
        <v/>
      </c>
      <c r="F1227" s="3"/>
      <c r="G1227" s="3"/>
      <c r="H1227" s="3"/>
      <c r="I1227" s="3"/>
      <c r="J1227" s="3"/>
      <c r="K1227" s="3"/>
      <c r="L1227" s="19"/>
    </row>
    <row r="1228" spans="1:12">
      <c r="A1228" s="3"/>
      <c r="B1228" t="str">
        <f>IF(_xlfn.XLOOKUP(A1228,PARAMETROS!A:A,PARAMETROS!B:B)=0,"",_xlfn.XLOOKUP(A1228,PARAMETROS!A:A,PARAMETROS!B:B))</f>
        <v/>
      </c>
      <c r="C1228" t="str">
        <f>IF(_xlfn.XLOOKUP(A1228,PARAMETROS!A:A,PARAMETROS!C:C)=0,"",_xlfn.XLOOKUP(A1228,PARAMETROS!A:A,PARAMETROS!C:C))</f>
        <v/>
      </c>
      <c r="D1228" t="str">
        <f>IF(_xlfn.XLOOKUP(A1228,PARAMETROS!A:A,PARAMETROS!D:D)=0,"",_xlfn.XLOOKUP(A1228,PARAMETROS!A:A,PARAMETROS!D:D))</f>
        <v/>
      </c>
      <c r="E1228" t="str">
        <f>IF(_xlfn.XLOOKUP('PREENCHIMENTO|LETIVAS'!A1228,PARAMETROS!A:A,PARAMETROS!I:I)=0,"",_xlfn.XLOOKUP('PREENCHIMENTO|LETIVAS'!A1228,PARAMETROS!A:A,PARAMETROS!I:I))</f>
        <v/>
      </c>
      <c r="F1228" s="3"/>
      <c r="G1228" s="3"/>
      <c r="H1228" s="3"/>
      <c r="I1228" s="3"/>
      <c r="J1228" s="3"/>
      <c r="K1228" s="3"/>
      <c r="L1228" s="19"/>
    </row>
    <row r="1229" spans="1:12">
      <c r="A1229" s="3"/>
      <c r="B1229" t="str">
        <f>IF(_xlfn.XLOOKUP(A1229,PARAMETROS!A:A,PARAMETROS!B:B)=0,"",_xlfn.XLOOKUP(A1229,PARAMETROS!A:A,PARAMETROS!B:B))</f>
        <v/>
      </c>
      <c r="C1229" t="str">
        <f>IF(_xlfn.XLOOKUP(A1229,PARAMETROS!A:A,PARAMETROS!C:C)=0,"",_xlfn.XLOOKUP(A1229,PARAMETROS!A:A,PARAMETROS!C:C))</f>
        <v/>
      </c>
      <c r="D1229" t="str">
        <f>IF(_xlfn.XLOOKUP(A1229,PARAMETROS!A:A,PARAMETROS!D:D)=0,"",_xlfn.XLOOKUP(A1229,PARAMETROS!A:A,PARAMETROS!D:D))</f>
        <v/>
      </c>
      <c r="E1229" t="str">
        <f>IF(_xlfn.XLOOKUP('PREENCHIMENTO|LETIVAS'!A1229,PARAMETROS!A:A,PARAMETROS!I:I)=0,"",_xlfn.XLOOKUP('PREENCHIMENTO|LETIVAS'!A1229,PARAMETROS!A:A,PARAMETROS!I:I))</f>
        <v/>
      </c>
      <c r="F1229" s="3"/>
      <c r="G1229" s="3"/>
      <c r="H1229" s="3"/>
      <c r="I1229" s="3"/>
      <c r="J1229" s="3"/>
      <c r="K1229" s="3"/>
      <c r="L1229" s="19"/>
    </row>
    <row r="1230" spans="1:12">
      <c r="A1230" s="3"/>
      <c r="B1230" t="str">
        <f>IF(_xlfn.XLOOKUP(A1230,PARAMETROS!A:A,PARAMETROS!B:B)=0,"",_xlfn.XLOOKUP(A1230,PARAMETROS!A:A,PARAMETROS!B:B))</f>
        <v/>
      </c>
      <c r="C1230" t="str">
        <f>IF(_xlfn.XLOOKUP(A1230,PARAMETROS!A:A,PARAMETROS!C:C)=0,"",_xlfn.XLOOKUP(A1230,PARAMETROS!A:A,PARAMETROS!C:C))</f>
        <v/>
      </c>
      <c r="D1230" t="str">
        <f>IF(_xlfn.XLOOKUP(A1230,PARAMETROS!A:A,PARAMETROS!D:D)=0,"",_xlfn.XLOOKUP(A1230,PARAMETROS!A:A,PARAMETROS!D:D))</f>
        <v/>
      </c>
      <c r="E1230" t="str">
        <f>IF(_xlfn.XLOOKUP('PREENCHIMENTO|LETIVAS'!A1230,PARAMETROS!A:A,PARAMETROS!I:I)=0,"",_xlfn.XLOOKUP('PREENCHIMENTO|LETIVAS'!A1230,PARAMETROS!A:A,PARAMETROS!I:I))</f>
        <v/>
      </c>
      <c r="F1230" s="3"/>
      <c r="G1230" s="3"/>
      <c r="H1230" s="3"/>
      <c r="I1230" s="3"/>
      <c r="J1230" s="3"/>
      <c r="K1230" s="3"/>
      <c r="L1230" s="19"/>
    </row>
    <row r="1231" spans="1:12">
      <c r="A1231" s="3"/>
      <c r="B1231" t="str">
        <f>IF(_xlfn.XLOOKUP(A1231,PARAMETROS!A:A,PARAMETROS!B:B)=0,"",_xlfn.XLOOKUP(A1231,PARAMETROS!A:A,PARAMETROS!B:B))</f>
        <v/>
      </c>
      <c r="C1231" t="str">
        <f>IF(_xlfn.XLOOKUP(A1231,PARAMETROS!A:A,PARAMETROS!C:C)=0,"",_xlfn.XLOOKUP(A1231,PARAMETROS!A:A,PARAMETROS!C:C))</f>
        <v/>
      </c>
      <c r="D1231" t="str">
        <f>IF(_xlfn.XLOOKUP(A1231,PARAMETROS!A:A,PARAMETROS!D:D)=0,"",_xlfn.XLOOKUP(A1231,PARAMETROS!A:A,PARAMETROS!D:D))</f>
        <v/>
      </c>
      <c r="E1231" t="str">
        <f>IF(_xlfn.XLOOKUP('PREENCHIMENTO|LETIVAS'!A1231,PARAMETROS!A:A,PARAMETROS!I:I)=0,"",_xlfn.XLOOKUP('PREENCHIMENTO|LETIVAS'!A1231,PARAMETROS!A:A,PARAMETROS!I:I))</f>
        <v/>
      </c>
      <c r="F1231" s="3"/>
      <c r="G1231" s="3"/>
      <c r="H1231" s="3"/>
      <c r="I1231" s="3"/>
      <c r="J1231" s="3"/>
      <c r="K1231" s="3"/>
      <c r="L1231" s="19"/>
    </row>
    <row r="1232" spans="1:12">
      <c r="A1232" s="3"/>
      <c r="B1232" t="str">
        <f>IF(_xlfn.XLOOKUP(A1232,PARAMETROS!A:A,PARAMETROS!B:B)=0,"",_xlfn.XLOOKUP(A1232,PARAMETROS!A:A,PARAMETROS!B:B))</f>
        <v/>
      </c>
      <c r="C1232" t="str">
        <f>IF(_xlfn.XLOOKUP(A1232,PARAMETROS!A:A,PARAMETROS!C:C)=0,"",_xlfn.XLOOKUP(A1232,PARAMETROS!A:A,PARAMETROS!C:C))</f>
        <v/>
      </c>
      <c r="D1232" t="str">
        <f>IF(_xlfn.XLOOKUP(A1232,PARAMETROS!A:A,PARAMETROS!D:D)=0,"",_xlfn.XLOOKUP(A1232,PARAMETROS!A:A,PARAMETROS!D:D))</f>
        <v/>
      </c>
      <c r="E1232" t="str">
        <f>IF(_xlfn.XLOOKUP('PREENCHIMENTO|LETIVAS'!A1232,PARAMETROS!A:A,PARAMETROS!I:I)=0,"",_xlfn.XLOOKUP('PREENCHIMENTO|LETIVAS'!A1232,PARAMETROS!A:A,PARAMETROS!I:I))</f>
        <v/>
      </c>
      <c r="F1232" s="3"/>
      <c r="G1232" s="3"/>
      <c r="H1232" s="3"/>
      <c r="I1232" s="3"/>
      <c r="J1232" s="3"/>
      <c r="K1232" s="3"/>
      <c r="L1232" s="19"/>
    </row>
    <row r="1233" spans="1:12">
      <c r="A1233" s="3"/>
      <c r="B1233" t="str">
        <f>IF(_xlfn.XLOOKUP(A1233,PARAMETROS!A:A,PARAMETROS!B:B)=0,"",_xlfn.XLOOKUP(A1233,PARAMETROS!A:A,PARAMETROS!B:B))</f>
        <v/>
      </c>
      <c r="C1233" t="str">
        <f>IF(_xlfn.XLOOKUP(A1233,PARAMETROS!A:A,PARAMETROS!C:C)=0,"",_xlfn.XLOOKUP(A1233,PARAMETROS!A:A,PARAMETROS!C:C))</f>
        <v/>
      </c>
      <c r="D1233" t="str">
        <f>IF(_xlfn.XLOOKUP(A1233,PARAMETROS!A:A,PARAMETROS!D:D)=0,"",_xlfn.XLOOKUP(A1233,PARAMETROS!A:A,PARAMETROS!D:D))</f>
        <v/>
      </c>
      <c r="E1233" t="str">
        <f>IF(_xlfn.XLOOKUP('PREENCHIMENTO|LETIVAS'!A1233,PARAMETROS!A:A,PARAMETROS!I:I)=0,"",_xlfn.XLOOKUP('PREENCHIMENTO|LETIVAS'!A1233,PARAMETROS!A:A,PARAMETROS!I:I))</f>
        <v/>
      </c>
      <c r="F1233" s="3"/>
      <c r="G1233" s="3"/>
      <c r="H1233" s="3"/>
      <c r="I1233" s="3"/>
      <c r="J1233" s="3"/>
      <c r="K1233" s="3"/>
      <c r="L1233" s="19"/>
    </row>
    <row r="1234" spans="1:12">
      <c r="A1234" s="3"/>
      <c r="B1234" t="str">
        <f>IF(_xlfn.XLOOKUP(A1234,PARAMETROS!A:A,PARAMETROS!B:B)=0,"",_xlfn.XLOOKUP(A1234,PARAMETROS!A:A,PARAMETROS!B:B))</f>
        <v/>
      </c>
      <c r="C1234" t="str">
        <f>IF(_xlfn.XLOOKUP(A1234,PARAMETROS!A:A,PARAMETROS!C:C)=0,"",_xlfn.XLOOKUP(A1234,PARAMETROS!A:A,PARAMETROS!C:C))</f>
        <v/>
      </c>
      <c r="D1234" t="str">
        <f>IF(_xlfn.XLOOKUP(A1234,PARAMETROS!A:A,PARAMETROS!D:D)=0,"",_xlfn.XLOOKUP(A1234,PARAMETROS!A:A,PARAMETROS!D:D))</f>
        <v/>
      </c>
      <c r="E1234" t="str">
        <f>IF(_xlfn.XLOOKUP('PREENCHIMENTO|LETIVAS'!A1234,PARAMETROS!A:A,PARAMETROS!I:I)=0,"",_xlfn.XLOOKUP('PREENCHIMENTO|LETIVAS'!A1234,PARAMETROS!A:A,PARAMETROS!I:I))</f>
        <v/>
      </c>
      <c r="F1234" s="3"/>
      <c r="G1234" s="3"/>
      <c r="H1234" s="3"/>
      <c r="I1234" s="3"/>
      <c r="J1234" s="3"/>
      <c r="K1234" s="3"/>
      <c r="L1234" s="19"/>
    </row>
    <row r="1235" spans="1:12">
      <c r="A1235" s="3"/>
      <c r="B1235" t="str">
        <f>IF(_xlfn.XLOOKUP(A1235,PARAMETROS!A:A,PARAMETROS!B:B)=0,"",_xlfn.XLOOKUP(A1235,PARAMETROS!A:A,PARAMETROS!B:B))</f>
        <v/>
      </c>
      <c r="C1235" t="str">
        <f>IF(_xlfn.XLOOKUP(A1235,PARAMETROS!A:A,PARAMETROS!C:C)=0,"",_xlfn.XLOOKUP(A1235,PARAMETROS!A:A,PARAMETROS!C:C))</f>
        <v/>
      </c>
      <c r="D1235" t="str">
        <f>IF(_xlfn.XLOOKUP(A1235,PARAMETROS!A:A,PARAMETROS!D:D)=0,"",_xlfn.XLOOKUP(A1235,PARAMETROS!A:A,PARAMETROS!D:D))</f>
        <v/>
      </c>
      <c r="E1235" t="str">
        <f>IF(_xlfn.XLOOKUP('PREENCHIMENTO|LETIVAS'!A1235,PARAMETROS!A:A,PARAMETROS!I:I)=0,"",_xlfn.XLOOKUP('PREENCHIMENTO|LETIVAS'!A1235,PARAMETROS!A:A,PARAMETROS!I:I))</f>
        <v/>
      </c>
      <c r="F1235" s="3"/>
      <c r="G1235" s="3"/>
      <c r="H1235" s="3"/>
      <c r="I1235" s="3"/>
      <c r="J1235" s="3"/>
      <c r="K1235" s="3"/>
      <c r="L1235" s="19"/>
    </row>
    <row r="1236" spans="1:12">
      <c r="A1236" s="3"/>
      <c r="B1236" t="str">
        <f>IF(_xlfn.XLOOKUP(A1236,PARAMETROS!A:A,PARAMETROS!B:B)=0,"",_xlfn.XLOOKUP(A1236,PARAMETROS!A:A,PARAMETROS!B:B))</f>
        <v/>
      </c>
      <c r="C1236" t="str">
        <f>IF(_xlfn.XLOOKUP(A1236,PARAMETROS!A:A,PARAMETROS!C:C)=0,"",_xlfn.XLOOKUP(A1236,PARAMETROS!A:A,PARAMETROS!C:C))</f>
        <v/>
      </c>
      <c r="D1236" t="str">
        <f>IF(_xlfn.XLOOKUP(A1236,PARAMETROS!A:A,PARAMETROS!D:D)=0,"",_xlfn.XLOOKUP(A1236,PARAMETROS!A:A,PARAMETROS!D:D))</f>
        <v/>
      </c>
      <c r="E1236" t="str">
        <f>IF(_xlfn.XLOOKUP('PREENCHIMENTO|LETIVAS'!A1236,PARAMETROS!A:A,PARAMETROS!I:I)=0,"",_xlfn.XLOOKUP('PREENCHIMENTO|LETIVAS'!A1236,PARAMETROS!A:A,PARAMETROS!I:I))</f>
        <v/>
      </c>
      <c r="F1236" s="3"/>
      <c r="G1236" s="3"/>
      <c r="H1236" s="3"/>
      <c r="I1236" s="3"/>
      <c r="J1236" s="3"/>
      <c r="K1236" s="3"/>
      <c r="L1236" s="19"/>
    </row>
    <row r="1237" spans="1:12">
      <c r="A1237" s="3"/>
      <c r="B1237" t="str">
        <f>IF(_xlfn.XLOOKUP(A1237,PARAMETROS!A:A,PARAMETROS!B:B)=0,"",_xlfn.XLOOKUP(A1237,PARAMETROS!A:A,PARAMETROS!B:B))</f>
        <v/>
      </c>
      <c r="C1237" t="str">
        <f>IF(_xlfn.XLOOKUP(A1237,PARAMETROS!A:A,PARAMETROS!C:C)=0,"",_xlfn.XLOOKUP(A1237,PARAMETROS!A:A,PARAMETROS!C:C))</f>
        <v/>
      </c>
      <c r="D1237" t="str">
        <f>IF(_xlfn.XLOOKUP(A1237,PARAMETROS!A:A,PARAMETROS!D:D)=0,"",_xlfn.XLOOKUP(A1237,PARAMETROS!A:A,PARAMETROS!D:D))</f>
        <v/>
      </c>
      <c r="E1237" t="str">
        <f>IF(_xlfn.XLOOKUP('PREENCHIMENTO|LETIVAS'!A1237,PARAMETROS!A:A,PARAMETROS!I:I)=0,"",_xlfn.XLOOKUP('PREENCHIMENTO|LETIVAS'!A1237,PARAMETROS!A:A,PARAMETROS!I:I))</f>
        <v/>
      </c>
      <c r="F1237" s="3"/>
      <c r="G1237" s="3"/>
      <c r="H1237" s="3"/>
      <c r="I1237" s="3"/>
      <c r="J1237" s="3"/>
      <c r="K1237" s="3"/>
      <c r="L1237" s="19"/>
    </row>
    <row r="1238" spans="1:12">
      <c r="A1238" s="3"/>
      <c r="B1238" t="str">
        <f>IF(_xlfn.XLOOKUP(A1238,PARAMETROS!A:A,PARAMETROS!B:B)=0,"",_xlfn.XLOOKUP(A1238,PARAMETROS!A:A,PARAMETROS!B:B))</f>
        <v/>
      </c>
      <c r="C1238" t="str">
        <f>IF(_xlfn.XLOOKUP(A1238,PARAMETROS!A:A,PARAMETROS!C:C)=0,"",_xlfn.XLOOKUP(A1238,PARAMETROS!A:A,PARAMETROS!C:C))</f>
        <v/>
      </c>
      <c r="D1238" t="str">
        <f>IF(_xlfn.XLOOKUP(A1238,PARAMETROS!A:A,PARAMETROS!D:D)=0,"",_xlfn.XLOOKUP(A1238,PARAMETROS!A:A,PARAMETROS!D:D))</f>
        <v/>
      </c>
      <c r="E1238" t="str">
        <f>IF(_xlfn.XLOOKUP('PREENCHIMENTO|LETIVAS'!A1238,PARAMETROS!A:A,PARAMETROS!I:I)=0,"",_xlfn.XLOOKUP('PREENCHIMENTO|LETIVAS'!A1238,PARAMETROS!A:A,PARAMETROS!I:I))</f>
        <v/>
      </c>
      <c r="F1238" s="3"/>
      <c r="G1238" s="3"/>
      <c r="H1238" s="3"/>
      <c r="I1238" s="3"/>
      <c r="J1238" s="3"/>
      <c r="K1238" s="3"/>
      <c r="L1238" s="19"/>
    </row>
    <row r="1239" spans="1:12">
      <c r="A1239" s="3"/>
      <c r="B1239" t="str">
        <f>IF(_xlfn.XLOOKUP(A1239,PARAMETROS!A:A,PARAMETROS!B:B)=0,"",_xlfn.XLOOKUP(A1239,PARAMETROS!A:A,PARAMETROS!B:B))</f>
        <v/>
      </c>
      <c r="C1239" t="str">
        <f>IF(_xlfn.XLOOKUP(A1239,PARAMETROS!A:A,PARAMETROS!C:C)=0,"",_xlfn.XLOOKUP(A1239,PARAMETROS!A:A,PARAMETROS!C:C))</f>
        <v/>
      </c>
      <c r="D1239" t="str">
        <f>IF(_xlfn.XLOOKUP(A1239,PARAMETROS!A:A,PARAMETROS!D:D)=0,"",_xlfn.XLOOKUP(A1239,PARAMETROS!A:A,PARAMETROS!D:D))</f>
        <v/>
      </c>
      <c r="E1239" t="str">
        <f>IF(_xlfn.XLOOKUP('PREENCHIMENTO|LETIVAS'!A1239,PARAMETROS!A:A,PARAMETROS!I:I)=0,"",_xlfn.XLOOKUP('PREENCHIMENTO|LETIVAS'!A1239,PARAMETROS!A:A,PARAMETROS!I:I))</f>
        <v/>
      </c>
      <c r="F1239" s="3"/>
      <c r="G1239" s="3"/>
      <c r="H1239" s="3"/>
      <c r="I1239" s="3"/>
      <c r="J1239" s="3"/>
      <c r="K1239" s="3"/>
      <c r="L1239" s="19"/>
    </row>
    <row r="1240" spans="1:12">
      <c r="A1240" s="3"/>
      <c r="B1240" t="str">
        <f>IF(_xlfn.XLOOKUP(A1240,PARAMETROS!A:A,PARAMETROS!B:B)=0,"",_xlfn.XLOOKUP(A1240,PARAMETROS!A:A,PARAMETROS!B:B))</f>
        <v/>
      </c>
      <c r="C1240" t="str">
        <f>IF(_xlfn.XLOOKUP(A1240,PARAMETROS!A:A,PARAMETROS!C:C)=0,"",_xlfn.XLOOKUP(A1240,PARAMETROS!A:A,PARAMETROS!C:C))</f>
        <v/>
      </c>
      <c r="D1240" t="str">
        <f>IF(_xlfn.XLOOKUP(A1240,PARAMETROS!A:A,PARAMETROS!D:D)=0,"",_xlfn.XLOOKUP(A1240,PARAMETROS!A:A,PARAMETROS!D:D))</f>
        <v/>
      </c>
      <c r="E1240" t="str">
        <f>IF(_xlfn.XLOOKUP('PREENCHIMENTO|LETIVAS'!A1240,PARAMETROS!A:A,PARAMETROS!I:I)=0,"",_xlfn.XLOOKUP('PREENCHIMENTO|LETIVAS'!A1240,PARAMETROS!A:A,PARAMETROS!I:I))</f>
        <v/>
      </c>
      <c r="F1240" s="3"/>
      <c r="G1240" s="3"/>
      <c r="H1240" s="3"/>
      <c r="I1240" s="3"/>
      <c r="J1240" s="3"/>
      <c r="K1240" s="3"/>
      <c r="L1240" s="19"/>
    </row>
    <row r="1241" spans="1:12">
      <c r="A1241" s="3"/>
      <c r="B1241" t="str">
        <f>IF(_xlfn.XLOOKUP(A1241,PARAMETROS!A:A,PARAMETROS!B:B)=0,"",_xlfn.XLOOKUP(A1241,PARAMETROS!A:A,PARAMETROS!B:B))</f>
        <v/>
      </c>
      <c r="C1241" t="str">
        <f>IF(_xlfn.XLOOKUP(A1241,PARAMETROS!A:A,PARAMETROS!C:C)=0,"",_xlfn.XLOOKUP(A1241,PARAMETROS!A:A,PARAMETROS!C:C))</f>
        <v/>
      </c>
      <c r="D1241" t="str">
        <f>IF(_xlfn.XLOOKUP(A1241,PARAMETROS!A:A,PARAMETROS!D:D)=0,"",_xlfn.XLOOKUP(A1241,PARAMETROS!A:A,PARAMETROS!D:D))</f>
        <v/>
      </c>
      <c r="E1241" t="str">
        <f>IF(_xlfn.XLOOKUP('PREENCHIMENTO|LETIVAS'!A1241,PARAMETROS!A:A,PARAMETROS!I:I)=0,"",_xlfn.XLOOKUP('PREENCHIMENTO|LETIVAS'!A1241,PARAMETROS!A:A,PARAMETROS!I:I))</f>
        <v/>
      </c>
      <c r="F1241" s="3"/>
      <c r="G1241" s="3"/>
      <c r="H1241" s="3"/>
      <c r="I1241" s="3"/>
      <c r="J1241" s="3"/>
      <c r="K1241" s="3"/>
      <c r="L1241" s="19"/>
    </row>
    <row r="1242" spans="1:12">
      <c r="A1242" s="3"/>
      <c r="B1242" t="str">
        <f>IF(_xlfn.XLOOKUP(A1242,PARAMETROS!A:A,PARAMETROS!B:B)=0,"",_xlfn.XLOOKUP(A1242,PARAMETROS!A:A,PARAMETROS!B:B))</f>
        <v/>
      </c>
      <c r="C1242" t="str">
        <f>IF(_xlfn.XLOOKUP(A1242,PARAMETROS!A:A,PARAMETROS!C:C)=0,"",_xlfn.XLOOKUP(A1242,PARAMETROS!A:A,PARAMETROS!C:C))</f>
        <v/>
      </c>
      <c r="D1242" t="str">
        <f>IF(_xlfn.XLOOKUP(A1242,PARAMETROS!A:A,PARAMETROS!D:D)=0,"",_xlfn.XLOOKUP(A1242,PARAMETROS!A:A,PARAMETROS!D:D))</f>
        <v/>
      </c>
      <c r="E1242" t="str">
        <f>IF(_xlfn.XLOOKUP('PREENCHIMENTO|LETIVAS'!A1242,PARAMETROS!A:A,PARAMETROS!I:I)=0,"",_xlfn.XLOOKUP('PREENCHIMENTO|LETIVAS'!A1242,PARAMETROS!A:A,PARAMETROS!I:I))</f>
        <v/>
      </c>
      <c r="F1242" s="3"/>
      <c r="G1242" s="3"/>
      <c r="H1242" s="3"/>
      <c r="I1242" s="3"/>
      <c r="J1242" s="3"/>
      <c r="K1242" s="3"/>
      <c r="L1242" s="19"/>
    </row>
    <row r="1243" spans="1:12">
      <c r="A1243" s="3"/>
      <c r="B1243" t="str">
        <f>IF(_xlfn.XLOOKUP(A1243,PARAMETROS!A:A,PARAMETROS!B:B)=0,"",_xlfn.XLOOKUP(A1243,PARAMETROS!A:A,PARAMETROS!B:B))</f>
        <v/>
      </c>
      <c r="C1243" t="str">
        <f>IF(_xlfn.XLOOKUP(A1243,PARAMETROS!A:A,PARAMETROS!C:C)=0,"",_xlfn.XLOOKUP(A1243,PARAMETROS!A:A,PARAMETROS!C:C))</f>
        <v/>
      </c>
      <c r="D1243" t="str">
        <f>IF(_xlfn.XLOOKUP(A1243,PARAMETROS!A:A,PARAMETROS!D:D)=0,"",_xlfn.XLOOKUP(A1243,PARAMETROS!A:A,PARAMETROS!D:D))</f>
        <v/>
      </c>
      <c r="E1243" t="str">
        <f>IF(_xlfn.XLOOKUP('PREENCHIMENTO|LETIVAS'!A1243,PARAMETROS!A:A,PARAMETROS!I:I)=0,"",_xlfn.XLOOKUP('PREENCHIMENTO|LETIVAS'!A1243,PARAMETROS!A:A,PARAMETROS!I:I))</f>
        <v/>
      </c>
      <c r="F1243" s="3"/>
      <c r="G1243" s="3"/>
      <c r="H1243" s="3"/>
      <c r="I1243" s="3"/>
      <c r="J1243" s="3"/>
      <c r="K1243" s="3"/>
      <c r="L1243" s="19"/>
    </row>
    <row r="1244" spans="1:12">
      <c r="A1244" s="3"/>
      <c r="B1244" t="str">
        <f>IF(_xlfn.XLOOKUP(A1244,PARAMETROS!A:A,PARAMETROS!B:B)=0,"",_xlfn.XLOOKUP(A1244,PARAMETROS!A:A,PARAMETROS!B:B))</f>
        <v/>
      </c>
      <c r="C1244" t="str">
        <f>IF(_xlfn.XLOOKUP(A1244,PARAMETROS!A:A,PARAMETROS!C:C)=0,"",_xlfn.XLOOKUP(A1244,PARAMETROS!A:A,PARAMETROS!C:C))</f>
        <v/>
      </c>
      <c r="D1244" t="str">
        <f>IF(_xlfn.XLOOKUP(A1244,PARAMETROS!A:A,PARAMETROS!D:D)=0,"",_xlfn.XLOOKUP(A1244,PARAMETROS!A:A,PARAMETROS!D:D))</f>
        <v/>
      </c>
      <c r="E1244" t="str">
        <f>IF(_xlfn.XLOOKUP('PREENCHIMENTO|LETIVAS'!A1244,PARAMETROS!A:A,PARAMETROS!I:I)=0,"",_xlfn.XLOOKUP('PREENCHIMENTO|LETIVAS'!A1244,PARAMETROS!A:A,PARAMETROS!I:I))</f>
        <v/>
      </c>
      <c r="F1244" s="3"/>
      <c r="G1244" s="3"/>
      <c r="H1244" s="3"/>
      <c r="I1244" s="3"/>
      <c r="J1244" s="3"/>
      <c r="K1244" s="3"/>
      <c r="L1244" s="19"/>
    </row>
    <row r="1245" spans="1:12">
      <c r="A1245" s="3"/>
      <c r="B1245" t="str">
        <f>IF(_xlfn.XLOOKUP(A1245,PARAMETROS!A:A,PARAMETROS!B:B)=0,"",_xlfn.XLOOKUP(A1245,PARAMETROS!A:A,PARAMETROS!B:B))</f>
        <v/>
      </c>
      <c r="C1245" t="str">
        <f>IF(_xlfn.XLOOKUP(A1245,PARAMETROS!A:A,PARAMETROS!C:C)=0,"",_xlfn.XLOOKUP(A1245,PARAMETROS!A:A,PARAMETROS!C:C))</f>
        <v/>
      </c>
      <c r="D1245" t="str">
        <f>IF(_xlfn.XLOOKUP(A1245,PARAMETROS!A:A,PARAMETROS!D:D)=0,"",_xlfn.XLOOKUP(A1245,PARAMETROS!A:A,PARAMETROS!D:D))</f>
        <v/>
      </c>
      <c r="E1245" t="str">
        <f>IF(_xlfn.XLOOKUP('PREENCHIMENTO|LETIVAS'!A1245,PARAMETROS!A:A,PARAMETROS!I:I)=0,"",_xlfn.XLOOKUP('PREENCHIMENTO|LETIVAS'!A1245,PARAMETROS!A:A,PARAMETROS!I:I))</f>
        <v/>
      </c>
      <c r="F1245" s="3"/>
      <c r="G1245" s="3"/>
      <c r="H1245" s="3"/>
      <c r="I1245" s="3"/>
      <c r="J1245" s="3"/>
      <c r="K1245" s="3"/>
      <c r="L1245" s="19"/>
    </row>
    <row r="1246" spans="1:12">
      <c r="A1246" s="3"/>
      <c r="B1246" t="str">
        <f>IF(_xlfn.XLOOKUP(A1246,PARAMETROS!A:A,PARAMETROS!B:B)=0,"",_xlfn.XLOOKUP(A1246,PARAMETROS!A:A,PARAMETROS!B:B))</f>
        <v/>
      </c>
      <c r="C1246" t="str">
        <f>IF(_xlfn.XLOOKUP(A1246,PARAMETROS!A:A,PARAMETROS!C:C)=0,"",_xlfn.XLOOKUP(A1246,PARAMETROS!A:A,PARAMETROS!C:C))</f>
        <v/>
      </c>
      <c r="D1246" t="str">
        <f>IF(_xlfn.XLOOKUP(A1246,PARAMETROS!A:A,PARAMETROS!D:D)=0,"",_xlfn.XLOOKUP(A1246,PARAMETROS!A:A,PARAMETROS!D:D))</f>
        <v/>
      </c>
      <c r="E1246" t="str">
        <f>IF(_xlfn.XLOOKUP('PREENCHIMENTO|LETIVAS'!A1246,PARAMETROS!A:A,PARAMETROS!I:I)=0,"",_xlfn.XLOOKUP('PREENCHIMENTO|LETIVAS'!A1246,PARAMETROS!A:A,PARAMETROS!I:I))</f>
        <v/>
      </c>
      <c r="F1246" s="3"/>
      <c r="G1246" s="3"/>
      <c r="H1246" s="3"/>
      <c r="I1246" s="3"/>
      <c r="J1246" s="3"/>
      <c r="K1246" s="3"/>
      <c r="L1246" s="19"/>
    </row>
    <row r="1247" spans="1:12">
      <c r="A1247" s="3"/>
      <c r="B1247" t="str">
        <f>IF(_xlfn.XLOOKUP(A1247,PARAMETROS!A:A,PARAMETROS!B:B)=0,"",_xlfn.XLOOKUP(A1247,PARAMETROS!A:A,PARAMETROS!B:B))</f>
        <v/>
      </c>
      <c r="C1247" t="str">
        <f>IF(_xlfn.XLOOKUP(A1247,PARAMETROS!A:A,PARAMETROS!C:C)=0,"",_xlfn.XLOOKUP(A1247,PARAMETROS!A:A,PARAMETROS!C:C))</f>
        <v/>
      </c>
      <c r="D1247" t="str">
        <f>IF(_xlfn.XLOOKUP(A1247,PARAMETROS!A:A,PARAMETROS!D:D)=0,"",_xlfn.XLOOKUP(A1247,PARAMETROS!A:A,PARAMETROS!D:D))</f>
        <v/>
      </c>
      <c r="E1247" t="str">
        <f>IF(_xlfn.XLOOKUP('PREENCHIMENTO|LETIVAS'!A1247,PARAMETROS!A:A,PARAMETROS!I:I)=0,"",_xlfn.XLOOKUP('PREENCHIMENTO|LETIVAS'!A1247,PARAMETROS!A:A,PARAMETROS!I:I))</f>
        <v/>
      </c>
      <c r="F1247" s="3"/>
      <c r="G1247" s="3"/>
      <c r="H1247" s="3"/>
      <c r="I1247" s="3"/>
      <c r="J1247" s="3"/>
      <c r="K1247" s="3"/>
      <c r="L1247" s="19"/>
    </row>
    <row r="1248" spans="1:12">
      <c r="A1248" s="3"/>
      <c r="B1248" t="str">
        <f>IF(_xlfn.XLOOKUP(A1248,PARAMETROS!A:A,PARAMETROS!B:B)=0,"",_xlfn.XLOOKUP(A1248,PARAMETROS!A:A,PARAMETROS!B:B))</f>
        <v/>
      </c>
      <c r="C1248" t="str">
        <f>IF(_xlfn.XLOOKUP(A1248,PARAMETROS!A:A,PARAMETROS!C:C)=0,"",_xlfn.XLOOKUP(A1248,PARAMETROS!A:A,PARAMETROS!C:C))</f>
        <v/>
      </c>
      <c r="D1248" t="str">
        <f>IF(_xlfn.XLOOKUP(A1248,PARAMETROS!A:A,PARAMETROS!D:D)=0,"",_xlfn.XLOOKUP(A1248,PARAMETROS!A:A,PARAMETROS!D:D))</f>
        <v/>
      </c>
      <c r="E1248" t="str">
        <f>IF(_xlfn.XLOOKUP('PREENCHIMENTO|LETIVAS'!A1248,PARAMETROS!A:A,PARAMETROS!I:I)=0,"",_xlfn.XLOOKUP('PREENCHIMENTO|LETIVAS'!A1248,PARAMETROS!A:A,PARAMETROS!I:I))</f>
        <v/>
      </c>
      <c r="F1248" s="3"/>
      <c r="G1248" s="3"/>
      <c r="H1248" s="3"/>
      <c r="I1248" s="3"/>
      <c r="J1248" s="3"/>
      <c r="K1248" s="3"/>
      <c r="L1248" s="19"/>
    </row>
    <row r="1249" spans="1:12">
      <c r="A1249" s="3"/>
      <c r="B1249" t="str">
        <f>IF(_xlfn.XLOOKUP(A1249,PARAMETROS!A:A,PARAMETROS!B:B)=0,"",_xlfn.XLOOKUP(A1249,PARAMETROS!A:A,PARAMETROS!B:B))</f>
        <v/>
      </c>
      <c r="C1249" t="str">
        <f>IF(_xlfn.XLOOKUP(A1249,PARAMETROS!A:A,PARAMETROS!C:C)=0,"",_xlfn.XLOOKUP(A1249,PARAMETROS!A:A,PARAMETROS!C:C))</f>
        <v/>
      </c>
      <c r="D1249" t="str">
        <f>IF(_xlfn.XLOOKUP(A1249,PARAMETROS!A:A,PARAMETROS!D:D)=0,"",_xlfn.XLOOKUP(A1249,PARAMETROS!A:A,PARAMETROS!D:D))</f>
        <v/>
      </c>
      <c r="E1249" t="str">
        <f>IF(_xlfn.XLOOKUP('PREENCHIMENTO|LETIVAS'!A1249,PARAMETROS!A:A,PARAMETROS!I:I)=0,"",_xlfn.XLOOKUP('PREENCHIMENTO|LETIVAS'!A1249,PARAMETROS!A:A,PARAMETROS!I:I))</f>
        <v/>
      </c>
      <c r="F1249" s="3"/>
      <c r="G1249" s="3"/>
      <c r="H1249" s="3"/>
      <c r="I1249" s="3"/>
      <c r="J1249" s="3"/>
      <c r="K1249" s="3"/>
      <c r="L1249" s="19"/>
    </row>
    <row r="1250" spans="1:12">
      <c r="A1250" s="3"/>
      <c r="B1250" t="str">
        <f>IF(_xlfn.XLOOKUP(A1250,PARAMETROS!A:A,PARAMETROS!B:B)=0,"",_xlfn.XLOOKUP(A1250,PARAMETROS!A:A,PARAMETROS!B:B))</f>
        <v/>
      </c>
      <c r="C1250" t="str">
        <f>IF(_xlfn.XLOOKUP(A1250,PARAMETROS!A:A,PARAMETROS!C:C)=0,"",_xlfn.XLOOKUP(A1250,PARAMETROS!A:A,PARAMETROS!C:C))</f>
        <v/>
      </c>
      <c r="D1250" t="str">
        <f>IF(_xlfn.XLOOKUP(A1250,PARAMETROS!A:A,PARAMETROS!D:D)=0,"",_xlfn.XLOOKUP(A1250,PARAMETROS!A:A,PARAMETROS!D:D))</f>
        <v/>
      </c>
      <c r="E1250" t="str">
        <f>IF(_xlfn.XLOOKUP('PREENCHIMENTO|LETIVAS'!A1250,PARAMETROS!A:A,PARAMETROS!I:I)=0,"",_xlfn.XLOOKUP('PREENCHIMENTO|LETIVAS'!A1250,PARAMETROS!A:A,PARAMETROS!I:I))</f>
        <v/>
      </c>
      <c r="F1250" s="3"/>
      <c r="G1250" s="3"/>
      <c r="H1250" s="3"/>
      <c r="I1250" s="3"/>
      <c r="J1250" s="3"/>
      <c r="K1250" s="3"/>
      <c r="L1250" s="19"/>
    </row>
    <row r="1251" spans="1:12">
      <c r="A1251" s="3"/>
      <c r="B1251" t="str">
        <f>IF(_xlfn.XLOOKUP(A1251,PARAMETROS!A:A,PARAMETROS!B:B)=0,"",_xlfn.XLOOKUP(A1251,PARAMETROS!A:A,PARAMETROS!B:B))</f>
        <v/>
      </c>
      <c r="C1251" t="str">
        <f>IF(_xlfn.XLOOKUP(A1251,PARAMETROS!A:A,PARAMETROS!C:C)=0,"",_xlfn.XLOOKUP(A1251,PARAMETROS!A:A,PARAMETROS!C:C))</f>
        <v/>
      </c>
      <c r="D1251" t="str">
        <f>IF(_xlfn.XLOOKUP(A1251,PARAMETROS!A:A,PARAMETROS!D:D)=0,"",_xlfn.XLOOKUP(A1251,PARAMETROS!A:A,PARAMETROS!D:D))</f>
        <v/>
      </c>
      <c r="E1251" t="str">
        <f>IF(_xlfn.XLOOKUP('PREENCHIMENTO|LETIVAS'!A1251,PARAMETROS!A:A,PARAMETROS!I:I)=0,"",_xlfn.XLOOKUP('PREENCHIMENTO|LETIVAS'!A1251,PARAMETROS!A:A,PARAMETROS!I:I))</f>
        <v/>
      </c>
      <c r="F1251" s="3"/>
      <c r="G1251" s="3"/>
      <c r="H1251" s="3"/>
      <c r="I1251" s="3"/>
      <c r="J1251" s="3"/>
      <c r="K1251" s="3"/>
      <c r="L1251" s="19"/>
    </row>
    <row r="1252" spans="1:12">
      <c r="A1252" s="3"/>
      <c r="B1252" t="str">
        <f>IF(_xlfn.XLOOKUP(A1252,PARAMETROS!A:A,PARAMETROS!B:B)=0,"",_xlfn.XLOOKUP(A1252,PARAMETROS!A:A,PARAMETROS!B:B))</f>
        <v/>
      </c>
      <c r="C1252" t="str">
        <f>IF(_xlfn.XLOOKUP(A1252,PARAMETROS!A:A,PARAMETROS!C:C)=0,"",_xlfn.XLOOKUP(A1252,PARAMETROS!A:A,PARAMETROS!C:C))</f>
        <v/>
      </c>
      <c r="D1252" t="str">
        <f>IF(_xlfn.XLOOKUP(A1252,PARAMETROS!A:A,PARAMETROS!D:D)=0,"",_xlfn.XLOOKUP(A1252,PARAMETROS!A:A,PARAMETROS!D:D))</f>
        <v/>
      </c>
      <c r="E1252" t="str">
        <f>IF(_xlfn.XLOOKUP('PREENCHIMENTO|LETIVAS'!A1252,PARAMETROS!A:A,PARAMETROS!I:I)=0,"",_xlfn.XLOOKUP('PREENCHIMENTO|LETIVAS'!A1252,PARAMETROS!A:A,PARAMETROS!I:I))</f>
        <v/>
      </c>
      <c r="F1252" s="3"/>
      <c r="G1252" s="3"/>
      <c r="H1252" s="3"/>
      <c r="I1252" s="3"/>
      <c r="J1252" s="3"/>
      <c r="K1252" s="3"/>
      <c r="L1252" s="19"/>
    </row>
    <row r="1253" spans="1:12">
      <c r="A1253" s="3"/>
      <c r="B1253" t="str">
        <f>IF(_xlfn.XLOOKUP(A1253,PARAMETROS!A:A,PARAMETROS!B:B)=0,"",_xlfn.XLOOKUP(A1253,PARAMETROS!A:A,PARAMETROS!B:B))</f>
        <v/>
      </c>
      <c r="C1253" t="str">
        <f>IF(_xlfn.XLOOKUP(A1253,PARAMETROS!A:A,PARAMETROS!C:C)=0,"",_xlfn.XLOOKUP(A1253,PARAMETROS!A:A,PARAMETROS!C:C))</f>
        <v/>
      </c>
      <c r="D1253" t="str">
        <f>IF(_xlfn.XLOOKUP(A1253,PARAMETROS!A:A,PARAMETROS!D:D)=0,"",_xlfn.XLOOKUP(A1253,PARAMETROS!A:A,PARAMETROS!D:D))</f>
        <v/>
      </c>
      <c r="E1253" t="str">
        <f>IF(_xlfn.XLOOKUP('PREENCHIMENTO|LETIVAS'!A1253,PARAMETROS!A:A,PARAMETROS!I:I)=0,"",_xlfn.XLOOKUP('PREENCHIMENTO|LETIVAS'!A1253,PARAMETROS!A:A,PARAMETROS!I:I))</f>
        <v/>
      </c>
      <c r="F1253" s="3"/>
      <c r="G1253" s="3"/>
      <c r="H1253" s="3"/>
      <c r="I1253" s="3"/>
      <c r="J1253" s="3"/>
      <c r="K1253" s="3"/>
      <c r="L1253" s="19"/>
    </row>
    <row r="1254" spans="1:12">
      <c r="A1254" s="3"/>
      <c r="B1254" t="str">
        <f>IF(_xlfn.XLOOKUP(A1254,PARAMETROS!A:A,PARAMETROS!B:B)=0,"",_xlfn.XLOOKUP(A1254,PARAMETROS!A:A,PARAMETROS!B:B))</f>
        <v/>
      </c>
      <c r="C1254" t="str">
        <f>IF(_xlfn.XLOOKUP(A1254,PARAMETROS!A:A,PARAMETROS!C:C)=0,"",_xlfn.XLOOKUP(A1254,PARAMETROS!A:A,PARAMETROS!C:C))</f>
        <v/>
      </c>
      <c r="D1254" t="str">
        <f>IF(_xlfn.XLOOKUP(A1254,PARAMETROS!A:A,PARAMETROS!D:D)=0,"",_xlfn.XLOOKUP(A1254,PARAMETROS!A:A,PARAMETROS!D:D))</f>
        <v/>
      </c>
      <c r="E1254" t="str">
        <f>IF(_xlfn.XLOOKUP('PREENCHIMENTO|LETIVAS'!A1254,PARAMETROS!A:A,PARAMETROS!I:I)=0,"",_xlfn.XLOOKUP('PREENCHIMENTO|LETIVAS'!A1254,PARAMETROS!A:A,PARAMETROS!I:I))</f>
        <v/>
      </c>
      <c r="F1254" s="3"/>
      <c r="G1254" s="3"/>
      <c r="H1254" s="3"/>
      <c r="I1254" s="3"/>
      <c r="J1254" s="3"/>
      <c r="K1254" s="3"/>
      <c r="L1254" s="19"/>
    </row>
    <row r="1255" spans="1:12">
      <c r="A1255" s="3"/>
      <c r="B1255" t="str">
        <f>IF(_xlfn.XLOOKUP(A1255,PARAMETROS!A:A,PARAMETROS!B:B)=0,"",_xlfn.XLOOKUP(A1255,PARAMETROS!A:A,PARAMETROS!B:B))</f>
        <v/>
      </c>
      <c r="C1255" t="str">
        <f>IF(_xlfn.XLOOKUP(A1255,PARAMETROS!A:A,PARAMETROS!C:C)=0,"",_xlfn.XLOOKUP(A1255,PARAMETROS!A:A,PARAMETROS!C:C))</f>
        <v/>
      </c>
      <c r="D1255" t="str">
        <f>IF(_xlfn.XLOOKUP(A1255,PARAMETROS!A:A,PARAMETROS!D:D)=0,"",_xlfn.XLOOKUP(A1255,PARAMETROS!A:A,PARAMETROS!D:D))</f>
        <v/>
      </c>
      <c r="E1255" t="str">
        <f>IF(_xlfn.XLOOKUP('PREENCHIMENTO|LETIVAS'!A1255,PARAMETROS!A:A,PARAMETROS!I:I)=0,"",_xlfn.XLOOKUP('PREENCHIMENTO|LETIVAS'!A1255,PARAMETROS!A:A,PARAMETROS!I:I))</f>
        <v/>
      </c>
      <c r="F1255" s="3"/>
      <c r="G1255" s="3"/>
      <c r="H1255" s="3"/>
      <c r="I1255" s="3"/>
      <c r="J1255" s="3"/>
      <c r="K1255" s="3"/>
      <c r="L1255" s="19"/>
    </row>
    <row r="1256" spans="1:12">
      <c r="A1256" s="3"/>
      <c r="B1256" t="str">
        <f>IF(_xlfn.XLOOKUP(A1256,PARAMETROS!A:A,PARAMETROS!B:B)=0,"",_xlfn.XLOOKUP(A1256,PARAMETROS!A:A,PARAMETROS!B:B))</f>
        <v/>
      </c>
      <c r="C1256" t="str">
        <f>IF(_xlfn.XLOOKUP(A1256,PARAMETROS!A:A,PARAMETROS!C:C)=0,"",_xlfn.XLOOKUP(A1256,PARAMETROS!A:A,PARAMETROS!C:C))</f>
        <v/>
      </c>
      <c r="D1256" t="str">
        <f>IF(_xlfn.XLOOKUP(A1256,PARAMETROS!A:A,PARAMETROS!D:D)=0,"",_xlfn.XLOOKUP(A1256,PARAMETROS!A:A,PARAMETROS!D:D))</f>
        <v/>
      </c>
      <c r="E1256" t="str">
        <f>IF(_xlfn.XLOOKUP('PREENCHIMENTO|LETIVAS'!A1256,PARAMETROS!A:A,PARAMETROS!I:I)=0,"",_xlfn.XLOOKUP('PREENCHIMENTO|LETIVAS'!A1256,PARAMETROS!A:A,PARAMETROS!I:I))</f>
        <v/>
      </c>
      <c r="F1256" s="3"/>
      <c r="G1256" s="3"/>
      <c r="H1256" s="3"/>
      <c r="I1256" s="3"/>
      <c r="J1256" s="3"/>
      <c r="K1256" s="3"/>
      <c r="L1256" s="19"/>
    </row>
    <row r="1257" spans="1:12">
      <c r="A1257" s="3"/>
      <c r="B1257" t="str">
        <f>IF(_xlfn.XLOOKUP(A1257,PARAMETROS!A:A,PARAMETROS!B:B)=0,"",_xlfn.XLOOKUP(A1257,PARAMETROS!A:A,PARAMETROS!B:B))</f>
        <v/>
      </c>
      <c r="C1257" t="str">
        <f>IF(_xlfn.XLOOKUP(A1257,PARAMETROS!A:A,PARAMETROS!C:C)=0,"",_xlfn.XLOOKUP(A1257,PARAMETROS!A:A,PARAMETROS!C:C))</f>
        <v/>
      </c>
      <c r="D1257" t="str">
        <f>IF(_xlfn.XLOOKUP(A1257,PARAMETROS!A:A,PARAMETROS!D:D)=0,"",_xlfn.XLOOKUP(A1257,PARAMETROS!A:A,PARAMETROS!D:D))</f>
        <v/>
      </c>
      <c r="E1257" t="str">
        <f>IF(_xlfn.XLOOKUP('PREENCHIMENTO|LETIVAS'!A1257,PARAMETROS!A:A,PARAMETROS!I:I)=0,"",_xlfn.XLOOKUP('PREENCHIMENTO|LETIVAS'!A1257,PARAMETROS!A:A,PARAMETROS!I:I))</f>
        <v/>
      </c>
      <c r="F1257" s="3"/>
      <c r="G1257" s="3"/>
      <c r="H1257" s="3"/>
      <c r="I1257" s="3"/>
      <c r="J1257" s="3"/>
      <c r="K1257" s="3"/>
      <c r="L1257" s="19"/>
    </row>
    <row r="1258" spans="1:12">
      <c r="A1258" s="3"/>
      <c r="B1258" t="str">
        <f>IF(_xlfn.XLOOKUP(A1258,PARAMETROS!A:A,PARAMETROS!B:B)=0,"",_xlfn.XLOOKUP(A1258,PARAMETROS!A:A,PARAMETROS!B:B))</f>
        <v/>
      </c>
      <c r="C1258" t="str">
        <f>IF(_xlfn.XLOOKUP(A1258,PARAMETROS!A:A,PARAMETROS!C:C)=0,"",_xlfn.XLOOKUP(A1258,PARAMETROS!A:A,PARAMETROS!C:C))</f>
        <v/>
      </c>
      <c r="D1258" t="str">
        <f>IF(_xlfn.XLOOKUP(A1258,PARAMETROS!A:A,PARAMETROS!D:D)=0,"",_xlfn.XLOOKUP(A1258,PARAMETROS!A:A,PARAMETROS!D:D))</f>
        <v/>
      </c>
      <c r="E1258" t="str">
        <f>IF(_xlfn.XLOOKUP('PREENCHIMENTO|LETIVAS'!A1258,PARAMETROS!A:A,PARAMETROS!I:I)=0,"",_xlfn.XLOOKUP('PREENCHIMENTO|LETIVAS'!A1258,PARAMETROS!A:A,PARAMETROS!I:I))</f>
        <v/>
      </c>
      <c r="F1258" s="3"/>
      <c r="G1258" s="3"/>
      <c r="H1258" s="3"/>
      <c r="I1258" s="3"/>
      <c r="J1258" s="3"/>
      <c r="K1258" s="3"/>
      <c r="L1258" s="19"/>
    </row>
    <row r="1259" spans="1:12">
      <c r="A1259" s="3"/>
      <c r="B1259" t="str">
        <f>IF(_xlfn.XLOOKUP(A1259,PARAMETROS!A:A,PARAMETROS!B:B)=0,"",_xlfn.XLOOKUP(A1259,PARAMETROS!A:A,PARAMETROS!B:B))</f>
        <v/>
      </c>
      <c r="C1259" t="str">
        <f>IF(_xlfn.XLOOKUP(A1259,PARAMETROS!A:A,PARAMETROS!C:C)=0,"",_xlfn.XLOOKUP(A1259,PARAMETROS!A:A,PARAMETROS!C:C))</f>
        <v/>
      </c>
      <c r="D1259" t="str">
        <f>IF(_xlfn.XLOOKUP(A1259,PARAMETROS!A:A,PARAMETROS!D:D)=0,"",_xlfn.XLOOKUP(A1259,PARAMETROS!A:A,PARAMETROS!D:D))</f>
        <v/>
      </c>
      <c r="E1259" t="str">
        <f>IF(_xlfn.XLOOKUP('PREENCHIMENTO|LETIVAS'!A1259,PARAMETROS!A:A,PARAMETROS!I:I)=0,"",_xlfn.XLOOKUP('PREENCHIMENTO|LETIVAS'!A1259,PARAMETROS!A:A,PARAMETROS!I:I))</f>
        <v/>
      </c>
      <c r="F1259" s="3"/>
      <c r="G1259" s="3"/>
      <c r="H1259" s="3"/>
      <c r="I1259" s="3"/>
      <c r="J1259" s="3"/>
      <c r="K1259" s="3"/>
      <c r="L1259" s="19"/>
    </row>
    <row r="1260" spans="1:12">
      <c r="A1260" s="3"/>
      <c r="B1260" t="str">
        <f>IF(_xlfn.XLOOKUP(A1260,PARAMETROS!A:A,PARAMETROS!B:B)=0,"",_xlfn.XLOOKUP(A1260,PARAMETROS!A:A,PARAMETROS!B:B))</f>
        <v/>
      </c>
      <c r="C1260" t="str">
        <f>IF(_xlfn.XLOOKUP(A1260,PARAMETROS!A:A,PARAMETROS!C:C)=0,"",_xlfn.XLOOKUP(A1260,PARAMETROS!A:A,PARAMETROS!C:C))</f>
        <v/>
      </c>
      <c r="D1260" t="str">
        <f>IF(_xlfn.XLOOKUP(A1260,PARAMETROS!A:A,PARAMETROS!D:D)=0,"",_xlfn.XLOOKUP(A1260,PARAMETROS!A:A,PARAMETROS!D:D))</f>
        <v/>
      </c>
      <c r="E1260" t="str">
        <f>IF(_xlfn.XLOOKUP('PREENCHIMENTO|LETIVAS'!A1260,PARAMETROS!A:A,PARAMETROS!I:I)=0,"",_xlfn.XLOOKUP('PREENCHIMENTO|LETIVAS'!A1260,PARAMETROS!A:A,PARAMETROS!I:I))</f>
        <v/>
      </c>
      <c r="F1260" s="3"/>
      <c r="G1260" s="3"/>
      <c r="H1260" s="3"/>
      <c r="I1260" s="3"/>
      <c r="J1260" s="3"/>
      <c r="K1260" s="3"/>
      <c r="L1260" s="19"/>
    </row>
    <row r="1261" spans="1:12">
      <c r="A1261" s="3"/>
      <c r="B1261" t="str">
        <f>IF(_xlfn.XLOOKUP(A1261,PARAMETROS!A:A,PARAMETROS!B:B)=0,"",_xlfn.XLOOKUP(A1261,PARAMETROS!A:A,PARAMETROS!B:B))</f>
        <v/>
      </c>
      <c r="C1261" t="str">
        <f>IF(_xlfn.XLOOKUP(A1261,PARAMETROS!A:A,PARAMETROS!C:C)=0,"",_xlfn.XLOOKUP(A1261,PARAMETROS!A:A,PARAMETROS!C:C))</f>
        <v/>
      </c>
      <c r="D1261" t="str">
        <f>IF(_xlfn.XLOOKUP(A1261,PARAMETROS!A:A,PARAMETROS!D:D)=0,"",_xlfn.XLOOKUP(A1261,PARAMETROS!A:A,PARAMETROS!D:D))</f>
        <v/>
      </c>
      <c r="E1261" t="str">
        <f>IF(_xlfn.XLOOKUP('PREENCHIMENTO|LETIVAS'!A1261,PARAMETROS!A:A,PARAMETROS!I:I)=0,"",_xlfn.XLOOKUP('PREENCHIMENTO|LETIVAS'!A1261,PARAMETROS!A:A,PARAMETROS!I:I))</f>
        <v/>
      </c>
      <c r="F1261" s="3"/>
      <c r="G1261" s="3"/>
      <c r="H1261" s="3"/>
      <c r="I1261" s="3"/>
      <c r="J1261" s="3"/>
      <c r="K1261" s="3"/>
      <c r="L1261" s="19"/>
    </row>
    <row r="1262" spans="1:12">
      <c r="A1262" s="3"/>
      <c r="B1262" t="str">
        <f>IF(_xlfn.XLOOKUP(A1262,PARAMETROS!A:A,PARAMETROS!B:B)=0,"",_xlfn.XLOOKUP(A1262,PARAMETROS!A:A,PARAMETROS!B:B))</f>
        <v/>
      </c>
      <c r="C1262" t="str">
        <f>IF(_xlfn.XLOOKUP(A1262,PARAMETROS!A:A,PARAMETROS!C:C)=0,"",_xlfn.XLOOKUP(A1262,PARAMETROS!A:A,PARAMETROS!C:C))</f>
        <v/>
      </c>
      <c r="D1262" t="str">
        <f>IF(_xlfn.XLOOKUP(A1262,PARAMETROS!A:A,PARAMETROS!D:D)=0,"",_xlfn.XLOOKUP(A1262,PARAMETROS!A:A,PARAMETROS!D:D))</f>
        <v/>
      </c>
      <c r="E1262" t="str">
        <f>IF(_xlfn.XLOOKUP('PREENCHIMENTO|LETIVAS'!A1262,PARAMETROS!A:A,PARAMETROS!I:I)=0,"",_xlfn.XLOOKUP('PREENCHIMENTO|LETIVAS'!A1262,PARAMETROS!A:A,PARAMETROS!I:I))</f>
        <v/>
      </c>
      <c r="F1262" s="3"/>
      <c r="G1262" s="3"/>
      <c r="H1262" s="3"/>
      <c r="I1262" s="3"/>
      <c r="J1262" s="3"/>
      <c r="K1262" s="3"/>
      <c r="L1262" s="19"/>
    </row>
    <row r="1263" spans="1:12">
      <c r="A1263" s="3"/>
      <c r="B1263" t="str">
        <f>IF(_xlfn.XLOOKUP(A1263,PARAMETROS!A:A,PARAMETROS!B:B)=0,"",_xlfn.XLOOKUP(A1263,PARAMETROS!A:A,PARAMETROS!B:B))</f>
        <v/>
      </c>
      <c r="C1263" t="str">
        <f>IF(_xlfn.XLOOKUP(A1263,PARAMETROS!A:A,PARAMETROS!C:C)=0,"",_xlfn.XLOOKUP(A1263,PARAMETROS!A:A,PARAMETROS!C:C))</f>
        <v/>
      </c>
      <c r="D1263" t="str">
        <f>IF(_xlfn.XLOOKUP(A1263,PARAMETROS!A:A,PARAMETROS!D:D)=0,"",_xlfn.XLOOKUP(A1263,PARAMETROS!A:A,PARAMETROS!D:D))</f>
        <v/>
      </c>
      <c r="E1263" t="str">
        <f>IF(_xlfn.XLOOKUP('PREENCHIMENTO|LETIVAS'!A1263,PARAMETROS!A:A,PARAMETROS!I:I)=0,"",_xlfn.XLOOKUP('PREENCHIMENTO|LETIVAS'!A1263,PARAMETROS!A:A,PARAMETROS!I:I))</f>
        <v/>
      </c>
      <c r="F1263" s="3"/>
      <c r="G1263" s="3"/>
      <c r="H1263" s="3"/>
      <c r="I1263" s="3"/>
      <c r="J1263" s="3"/>
      <c r="K1263" s="3"/>
      <c r="L1263" s="19"/>
    </row>
    <row r="1264" spans="1:12">
      <c r="A1264" s="3"/>
      <c r="B1264" t="str">
        <f>IF(_xlfn.XLOOKUP(A1264,PARAMETROS!A:A,PARAMETROS!B:B)=0,"",_xlfn.XLOOKUP(A1264,PARAMETROS!A:A,PARAMETROS!B:B))</f>
        <v/>
      </c>
      <c r="C1264" t="str">
        <f>IF(_xlfn.XLOOKUP(A1264,PARAMETROS!A:A,PARAMETROS!C:C)=0,"",_xlfn.XLOOKUP(A1264,PARAMETROS!A:A,PARAMETROS!C:C))</f>
        <v/>
      </c>
      <c r="D1264" t="str">
        <f>IF(_xlfn.XLOOKUP(A1264,PARAMETROS!A:A,PARAMETROS!D:D)=0,"",_xlfn.XLOOKUP(A1264,PARAMETROS!A:A,PARAMETROS!D:D))</f>
        <v/>
      </c>
      <c r="E1264" t="str">
        <f>IF(_xlfn.XLOOKUP('PREENCHIMENTO|LETIVAS'!A1264,PARAMETROS!A:A,PARAMETROS!I:I)=0,"",_xlfn.XLOOKUP('PREENCHIMENTO|LETIVAS'!A1264,PARAMETROS!A:A,PARAMETROS!I:I))</f>
        <v/>
      </c>
      <c r="F1264" s="3"/>
      <c r="G1264" s="3"/>
      <c r="H1264" s="3"/>
      <c r="I1264" s="3"/>
      <c r="J1264" s="3"/>
      <c r="K1264" s="3"/>
      <c r="L1264" s="19"/>
    </row>
    <row r="1265" spans="1:12">
      <c r="A1265" s="3"/>
      <c r="B1265" t="str">
        <f>IF(_xlfn.XLOOKUP(A1265,PARAMETROS!A:A,PARAMETROS!B:B)=0,"",_xlfn.XLOOKUP(A1265,PARAMETROS!A:A,PARAMETROS!B:B))</f>
        <v/>
      </c>
      <c r="C1265" t="str">
        <f>IF(_xlfn.XLOOKUP(A1265,PARAMETROS!A:A,PARAMETROS!C:C)=0,"",_xlfn.XLOOKUP(A1265,PARAMETROS!A:A,PARAMETROS!C:C))</f>
        <v/>
      </c>
      <c r="D1265" t="str">
        <f>IF(_xlfn.XLOOKUP(A1265,PARAMETROS!A:A,PARAMETROS!D:D)=0,"",_xlfn.XLOOKUP(A1265,PARAMETROS!A:A,PARAMETROS!D:D))</f>
        <v/>
      </c>
      <c r="E1265" t="str">
        <f>IF(_xlfn.XLOOKUP('PREENCHIMENTO|LETIVAS'!A1265,PARAMETROS!A:A,PARAMETROS!I:I)=0,"",_xlfn.XLOOKUP('PREENCHIMENTO|LETIVAS'!A1265,PARAMETROS!A:A,PARAMETROS!I:I))</f>
        <v/>
      </c>
      <c r="F1265" s="3"/>
      <c r="G1265" s="3"/>
      <c r="H1265" s="3"/>
      <c r="I1265" s="3"/>
      <c r="J1265" s="3"/>
      <c r="K1265" s="3"/>
      <c r="L1265" s="19"/>
    </row>
    <row r="1266" spans="1:12">
      <c r="A1266" s="3"/>
      <c r="B1266" t="str">
        <f>IF(_xlfn.XLOOKUP(A1266,PARAMETROS!A:A,PARAMETROS!B:B)=0,"",_xlfn.XLOOKUP(A1266,PARAMETROS!A:A,PARAMETROS!B:B))</f>
        <v/>
      </c>
      <c r="C1266" t="str">
        <f>IF(_xlfn.XLOOKUP(A1266,PARAMETROS!A:A,PARAMETROS!C:C)=0,"",_xlfn.XLOOKUP(A1266,PARAMETROS!A:A,PARAMETROS!C:C))</f>
        <v/>
      </c>
      <c r="D1266" t="str">
        <f>IF(_xlfn.XLOOKUP(A1266,PARAMETROS!A:A,PARAMETROS!D:D)=0,"",_xlfn.XLOOKUP(A1266,PARAMETROS!A:A,PARAMETROS!D:D))</f>
        <v/>
      </c>
      <c r="E1266" t="str">
        <f>IF(_xlfn.XLOOKUP('PREENCHIMENTO|LETIVAS'!A1266,PARAMETROS!A:A,PARAMETROS!I:I)=0,"",_xlfn.XLOOKUP('PREENCHIMENTO|LETIVAS'!A1266,PARAMETROS!A:A,PARAMETROS!I:I))</f>
        <v/>
      </c>
      <c r="F1266" s="3"/>
      <c r="G1266" s="3"/>
      <c r="H1266" s="3"/>
      <c r="I1266" s="3"/>
      <c r="J1266" s="3"/>
      <c r="K1266" s="3"/>
      <c r="L1266" s="19"/>
    </row>
    <row r="1267" spans="1:12">
      <c r="A1267" s="3"/>
      <c r="B1267" t="str">
        <f>IF(_xlfn.XLOOKUP(A1267,PARAMETROS!A:A,PARAMETROS!B:B)=0,"",_xlfn.XLOOKUP(A1267,PARAMETROS!A:A,PARAMETROS!B:B))</f>
        <v/>
      </c>
      <c r="C1267" t="str">
        <f>IF(_xlfn.XLOOKUP(A1267,PARAMETROS!A:A,PARAMETROS!C:C)=0,"",_xlfn.XLOOKUP(A1267,PARAMETROS!A:A,PARAMETROS!C:C))</f>
        <v/>
      </c>
      <c r="D1267" t="str">
        <f>IF(_xlfn.XLOOKUP(A1267,PARAMETROS!A:A,PARAMETROS!D:D)=0,"",_xlfn.XLOOKUP(A1267,PARAMETROS!A:A,PARAMETROS!D:D))</f>
        <v/>
      </c>
      <c r="E1267" t="str">
        <f>IF(_xlfn.XLOOKUP('PREENCHIMENTO|LETIVAS'!A1267,PARAMETROS!A:A,PARAMETROS!I:I)=0,"",_xlfn.XLOOKUP('PREENCHIMENTO|LETIVAS'!A1267,PARAMETROS!A:A,PARAMETROS!I:I))</f>
        <v/>
      </c>
      <c r="F1267" s="3"/>
      <c r="G1267" s="3"/>
      <c r="H1267" s="3"/>
      <c r="I1267" s="3"/>
      <c r="J1267" s="3"/>
      <c r="K1267" s="3"/>
      <c r="L1267" s="19"/>
    </row>
    <row r="1268" spans="1:12">
      <c r="A1268" s="3"/>
      <c r="B1268" t="str">
        <f>IF(_xlfn.XLOOKUP(A1268,PARAMETROS!A:A,PARAMETROS!B:B)=0,"",_xlfn.XLOOKUP(A1268,PARAMETROS!A:A,PARAMETROS!B:B))</f>
        <v/>
      </c>
      <c r="C1268" t="str">
        <f>IF(_xlfn.XLOOKUP(A1268,PARAMETROS!A:A,PARAMETROS!C:C)=0,"",_xlfn.XLOOKUP(A1268,PARAMETROS!A:A,PARAMETROS!C:C))</f>
        <v/>
      </c>
      <c r="D1268" t="str">
        <f>IF(_xlfn.XLOOKUP(A1268,PARAMETROS!A:A,PARAMETROS!D:D)=0,"",_xlfn.XLOOKUP(A1268,PARAMETROS!A:A,PARAMETROS!D:D))</f>
        <v/>
      </c>
      <c r="E1268" t="str">
        <f>IF(_xlfn.XLOOKUP('PREENCHIMENTO|LETIVAS'!A1268,PARAMETROS!A:A,PARAMETROS!I:I)=0,"",_xlfn.XLOOKUP('PREENCHIMENTO|LETIVAS'!A1268,PARAMETROS!A:A,PARAMETROS!I:I))</f>
        <v/>
      </c>
      <c r="F1268" s="3"/>
      <c r="G1268" s="3"/>
      <c r="H1268" s="3"/>
      <c r="I1268" s="3"/>
      <c r="J1268" s="3"/>
      <c r="K1268" s="3"/>
      <c r="L1268" s="19"/>
    </row>
    <row r="1269" spans="1:12">
      <c r="A1269" s="3"/>
      <c r="B1269" t="str">
        <f>IF(_xlfn.XLOOKUP(A1269,PARAMETROS!A:A,PARAMETROS!B:B)=0,"",_xlfn.XLOOKUP(A1269,PARAMETROS!A:A,PARAMETROS!B:B))</f>
        <v/>
      </c>
      <c r="C1269" t="str">
        <f>IF(_xlfn.XLOOKUP(A1269,PARAMETROS!A:A,PARAMETROS!C:C)=0,"",_xlfn.XLOOKUP(A1269,PARAMETROS!A:A,PARAMETROS!C:C))</f>
        <v/>
      </c>
      <c r="D1269" t="str">
        <f>IF(_xlfn.XLOOKUP(A1269,PARAMETROS!A:A,PARAMETROS!D:D)=0,"",_xlfn.XLOOKUP(A1269,PARAMETROS!A:A,PARAMETROS!D:D))</f>
        <v/>
      </c>
      <c r="E1269" t="str">
        <f>IF(_xlfn.XLOOKUP('PREENCHIMENTO|LETIVAS'!A1269,PARAMETROS!A:A,PARAMETROS!I:I)=0,"",_xlfn.XLOOKUP('PREENCHIMENTO|LETIVAS'!A1269,PARAMETROS!A:A,PARAMETROS!I:I))</f>
        <v/>
      </c>
      <c r="F1269" s="3"/>
      <c r="G1269" s="3"/>
      <c r="H1269" s="3"/>
      <c r="I1269" s="3"/>
      <c r="J1269" s="3"/>
      <c r="K1269" s="3"/>
      <c r="L1269" s="19"/>
    </row>
    <row r="1270" spans="1:12">
      <c r="A1270" s="3"/>
      <c r="B1270" t="str">
        <f>IF(_xlfn.XLOOKUP(A1270,PARAMETROS!A:A,PARAMETROS!B:B)=0,"",_xlfn.XLOOKUP(A1270,PARAMETROS!A:A,PARAMETROS!B:B))</f>
        <v/>
      </c>
      <c r="C1270" t="str">
        <f>IF(_xlfn.XLOOKUP(A1270,PARAMETROS!A:A,PARAMETROS!C:C)=0,"",_xlfn.XLOOKUP(A1270,PARAMETROS!A:A,PARAMETROS!C:C))</f>
        <v/>
      </c>
      <c r="D1270" t="str">
        <f>IF(_xlfn.XLOOKUP(A1270,PARAMETROS!A:A,PARAMETROS!D:D)=0,"",_xlfn.XLOOKUP(A1270,PARAMETROS!A:A,PARAMETROS!D:D))</f>
        <v/>
      </c>
      <c r="E1270" t="str">
        <f>IF(_xlfn.XLOOKUP('PREENCHIMENTO|LETIVAS'!A1270,PARAMETROS!A:A,PARAMETROS!I:I)=0,"",_xlfn.XLOOKUP('PREENCHIMENTO|LETIVAS'!A1270,PARAMETROS!A:A,PARAMETROS!I:I))</f>
        <v/>
      </c>
      <c r="F1270" s="3"/>
      <c r="G1270" s="3"/>
      <c r="H1270" s="3"/>
      <c r="I1270" s="3"/>
      <c r="J1270" s="3"/>
      <c r="K1270" s="3"/>
      <c r="L1270" s="19"/>
    </row>
    <row r="1271" spans="1:12">
      <c r="A1271" s="3"/>
      <c r="B1271" t="str">
        <f>IF(_xlfn.XLOOKUP(A1271,PARAMETROS!A:A,PARAMETROS!B:B)=0,"",_xlfn.XLOOKUP(A1271,PARAMETROS!A:A,PARAMETROS!B:B))</f>
        <v/>
      </c>
      <c r="C1271" t="str">
        <f>IF(_xlfn.XLOOKUP(A1271,PARAMETROS!A:A,PARAMETROS!C:C)=0,"",_xlfn.XLOOKUP(A1271,PARAMETROS!A:A,PARAMETROS!C:C))</f>
        <v/>
      </c>
      <c r="D1271" t="str">
        <f>IF(_xlfn.XLOOKUP(A1271,PARAMETROS!A:A,PARAMETROS!D:D)=0,"",_xlfn.XLOOKUP(A1271,PARAMETROS!A:A,PARAMETROS!D:D))</f>
        <v/>
      </c>
      <c r="E1271" t="str">
        <f>IF(_xlfn.XLOOKUP('PREENCHIMENTO|LETIVAS'!A1271,PARAMETROS!A:A,PARAMETROS!I:I)=0,"",_xlfn.XLOOKUP('PREENCHIMENTO|LETIVAS'!A1271,PARAMETROS!A:A,PARAMETROS!I:I))</f>
        <v/>
      </c>
      <c r="F1271" s="3"/>
      <c r="G1271" s="3"/>
      <c r="H1271" s="3"/>
      <c r="I1271" s="3"/>
      <c r="J1271" s="3"/>
      <c r="K1271" s="3"/>
      <c r="L1271" s="19"/>
    </row>
    <row r="1272" spans="1:12">
      <c r="A1272" s="3"/>
      <c r="B1272" t="str">
        <f>IF(_xlfn.XLOOKUP(A1272,PARAMETROS!A:A,PARAMETROS!B:B)=0,"",_xlfn.XLOOKUP(A1272,PARAMETROS!A:A,PARAMETROS!B:B))</f>
        <v/>
      </c>
      <c r="C1272" t="str">
        <f>IF(_xlfn.XLOOKUP(A1272,PARAMETROS!A:A,PARAMETROS!C:C)=0,"",_xlfn.XLOOKUP(A1272,PARAMETROS!A:A,PARAMETROS!C:C))</f>
        <v/>
      </c>
      <c r="D1272" t="str">
        <f>IF(_xlfn.XLOOKUP(A1272,PARAMETROS!A:A,PARAMETROS!D:D)=0,"",_xlfn.XLOOKUP(A1272,PARAMETROS!A:A,PARAMETROS!D:D))</f>
        <v/>
      </c>
      <c r="E1272" t="str">
        <f>IF(_xlfn.XLOOKUP('PREENCHIMENTO|LETIVAS'!A1272,PARAMETROS!A:A,PARAMETROS!I:I)=0,"",_xlfn.XLOOKUP('PREENCHIMENTO|LETIVAS'!A1272,PARAMETROS!A:A,PARAMETROS!I:I))</f>
        <v/>
      </c>
      <c r="F1272" s="3"/>
      <c r="G1272" s="3"/>
      <c r="H1272" s="3"/>
      <c r="I1272" s="3"/>
      <c r="J1272" s="3"/>
      <c r="K1272" s="3"/>
      <c r="L1272" s="19"/>
    </row>
    <row r="1273" spans="1:12">
      <c r="A1273" s="3"/>
      <c r="B1273" t="str">
        <f>IF(_xlfn.XLOOKUP(A1273,PARAMETROS!A:A,PARAMETROS!B:B)=0,"",_xlfn.XLOOKUP(A1273,PARAMETROS!A:A,PARAMETROS!B:B))</f>
        <v/>
      </c>
      <c r="C1273" t="str">
        <f>IF(_xlfn.XLOOKUP(A1273,PARAMETROS!A:A,PARAMETROS!C:C)=0,"",_xlfn.XLOOKUP(A1273,PARAMETROS!A:A,PARAMETROS!C:C))</f>
        <v/>
      </c>
      <c r="D1273" t="str">
        <f>IF(_xlfn.XLOOKUP(A1273,PARAMETROS!A:A,PARAMETROS!D:D)=0,"",_xlfn.XLOOKUP(A1273,PARAMETROS!A:A,PARAMETROS!D:D))</f>
        <v/>
      </c>
      <c r="E1273" t="str">
        <f>IF(_xlfn.XLOOKUP('PREENCHIMENTO|LETIVAS'!A1273,PARAMETROS!A:A,PARAMETROS!I:I)=0,"",_xlfn.XLOOKUP('PREENCHIMENTO|LETIVAS'!A1273,PARAMETROS!A:A,PARAMETROS!I:I))</f>
        <v/>
      </c>
      <c r="F1273" s="3"/>
      <c r="G1273" s="3"/>
      <c r="H1273" s="3"/>
      <c r="I1273" s="3"/>
      <c r="J1273" s="3"/>
      <c r="K1273" s="3"/>
      <c r="L1273" s="19"/>
    </row>
    <row r="1274" spans="1:12">
      <c r="A1274" s="3"/>
      <c r="B1274" t="str">
        <f>IF(_xlfn.XLOOKUP(A1274,PARAMETROS!A:A,PARAMETROS!B:B)=0,"",_xlfn.XLOOKUP(A1274,PARAMETROS!A:A,PARAMETROS!B:B))</f>
        <v/>
      </c>
      <c r="C1274" t="str">
        <f>IF(_xlfn.XLOOKUP(A1274,PARAMETROS!A:A,PARAMETROS!C:C)=0,"",_xlfn.XLOOKUP(A1274,PARAMETROS!A:A,PARAMETROS!C:C))</f>
        <v/>
      </c>
      <c r="D1274" t="str">
        <f>IF(_xlfn.XLOOKUP(A1274,PARAMETROS!A:A,PARAMETROS!D:D)=0,"",_xlfn.XLOOKUP(A1274,PARAMETROS!A:A,PARAMETROS!D:D))</f>
        <v/>
      </c>
      <c r="E1274" t="str">
        <f>IF(_xlfn.XLOOKUP('PREENCHIMENTO|LETIVAS'!A1274,PARAMETROS!A:A,PARAMETROS!I:I)=0,"",_xlfn.XLOOKUP('PREENCHIMENTO|LETIVAS'!A1274,PARAMETROS!A:A,PARAMETROS!I:I))</f>
        <v/>
      </c>
      <c r="F1274" s="3"/>
      <c r="G1274" s="3"/>
      <c r="H1274" s="3"/>
      <c r="I1274" s="3"/>
      <c r="J1274" s="3"/>
      <c r="K1274" s="3"/>
      <c r="L1274" s="19"/>
    </row>
    <row r="1275" spans="1:12">
      <c r="A1275" s="3"/>
      <c r="B1275" t="str">
        <f>IF(_xlfn.XLOOKUP(A1275,PARAMETROS!A:A,PARAMETROS!B:B)=0,"",_xlfn.XLOOKUP(A1275,PARAMETROS!A:A,PARAMETROS!B:B))</f>
        <v/>
      </c>
      <c r="C1275" t="str">
        <f>IF(_xlfn.XLOOKUP(A1275,PARAMETROS!A:A,PARAMETROS!C:C)=0,"",_xlfn.XLOOKUP(A1275,PARAMETROS!A:A,PARAMETROS!C:C))</f>
        <v/>
      </c>
      <c r="D1275" t="str">
        <f>IF(_xlfn.XLOOKUP(A1275,PARAMETROS!A:A,PARAMETROS!D:D)=0,"",_xlfn.XLOOKUP(A1275,PARAMETROS!A:A,PARAMETROS!D:D))</f>
        <v/>
      </c>
      <c r="E1275" t="str">
        <f>IF(_xlfn.XLOOKUP('PREENCHIMENTO|LETIVAS'!A1275,PARAMETROS!A:A,PARAMETROS!I:I)=0,"",_xlfn.XLOOKUP('PREENCHIMENTO|LETIVAS'!A1275,PARAMETROS!A:A,PARAMETROS!I:I))</f>
        <v/>
      </c>
      <c r="F1275" s="3"/>
      <c r="G1275" s="3"/>
      <c r="H1275" s="3"/>
      <c r="I1275" s="3"/>
      <c r="J1275" s="3"/>
      <c r="K1275" s="3"/>
      <c r="L1275" s="19"/>
    </row>
    <row r="1276" spans="1:12">
      <c r="A1276" s="3"/>
      <c r="B1276" t="str">
        <f>IF(_xlfn.XLOOKUP(A1276,PARAMETROS!A:A,PARAMETROS!B:B)=0,"",_xlfn.XLOOKUP(A1276,PARAMETROS!A:A,PARAMETROS!B:B))</f>
        <v/>
      </c>
      <c r="C1276" t="str">
        <f>IF(_xlfn.XLOOKUP(A1276,PARAMETROS!A:A,PARAMETROS!C:C)=0,"",_xlfn.XLOOKUP(A1276,PARAMETROS!A:A,PARAMETROS!C:C))</f>
        <v/>
      </c>
      <c r="D1276" t="str">
        <f>IF(_xlfn.XLOOKUP(A1276,PARAMETROS!A:A,PARAMETROS!D:D)=0,"",_xlfn.XLOOKUP(A1276,PARAMETROS!A:A,PARAMETROS!D:D))</f>
        <v/>
      </c>
      <c r="E1276" t="str">
        <f>IF(_xlfn.XLOOKUP('PREENCHIMENTO|LETIVAS'!A1276,PARAMETROS!A:A,PARAMETROS!I:I)=0,"",_xlfn.XLOOKUP('PREENCHIMENTO|LETIVAS'!A1276,PARAMETROS!A:A,PARAMETROS!I:I))</f>
        <v/>
      </c>
      <c r="F1276" s="3"/>
      <c r="G1276" s="3"/>
      <c r="H1276" s="3"/>
      <c r="I1276" s="3"/>
      <c r="J1276" s="3"/>
      <c r="K1276" s="3"/>
      <c r="L1276" s="19"/>
    </row>
    <row r="1277" spans="1:12">
      <c r="A1277" s="3"/>
      <c r="B1277" t="str">
        <f>IF(_xlfn.XLOOKUP(A1277,PARAMETROS!A:A,PARAMETROS!B:B)=0,"",_xlfn.XLOOKUP(A1277,PARAMETROS!A:A,PARAMETROS!B:B))</f>
        <v/>
      </c>
      <c r="C1277" t="str">
        <f>IF(_xlfn.XLOOKUP(A1277,PARAMETROS!A:A,PARAMETROS!C:C)=0,"",_xlfn.XLOOKUP(A1277,PARAMETROS!A:A,PARAMETROS!C:C))</f>
        <v/>
      </c>
      <c r="D1277" t="str">
        <f>IF(_xlfn.XLOOKUP(A1277,PARAMETROS!A:A,PARAMETROS!D:D)=0,"",_xlfn.XLOOKUP(A1277,PARAMETROS!A:A,PARAMETROS!D:D))</f>
        <v/>
      </c>
      <c r="E1277" t="str">
        <f>IF(_xlfn.XLOOKUP('PREENCHIMENTO|LETIVAS'!A1277,PARAMETROS!A:A,PARAMETROS!I:I)=0,"",_xlfn.XLOOKUP('PREENCHIMENTO|LETIVAS'!A1277,PARAMETROS!A:A,PARAMETROS!I:I))</f>
        <v/>
      </c>
      <c r="F1277" s="3"/>
      <c r="G1277" s="3"/>
      <c r="H1277" s="3"/>
      <c r="I1277" s="3"/>
      <c r="J1277" s="3"/>
      <c r="K1277" s="3"/>
      <c r="L1277" s="19"/>
    </row>
    <row r="1278" spans="1:12">
      <c r="A1278" s="3"/>
      <c r="B1278" t="str">
        <f>IF(_xlfn.XLOOKUP(A1278,PARAMETROS!A:A,PARAMETROS!B:B)=0,"",_xlfn.XLOOKUP(A1278,PARAMETROS!A:A,PARAMETROS!B:B))</f>
        <v/>
      </c>
      <c r="C1278" t="str">
        <f>IF(_xlfn.XLOOKUP(A1278,PARAMETROS!A:A,PARAMETROS!C:C)=0,"",_xlfn.XLOOKUP(A1278,PARAMETROS!A:A,PARAMETROS!C:C))</f>
        <v/>
      </c>
      <c r="D1278" t="str">
        <f>IF(_xlfn.XLOOKUP(A1278,PARAMETROS!A:A,PARAMETROS!D:D)=0,"",_xlfn.XLOOKUP(A1278,PARAMETROS!A:A,PARAMETROS!D:D))</f>
        <v/>
      </c>
      <c r="E1278" t="str">
        <f>IF(_xlfn.XLOOKUP('PREENCHIMENTO|LETIVAS'!A1278,PARAMETROS!A:A,PARAMETROS!I:I)=0,"",_xlfn.XLOOKUP('PREENCHIMENTO|LETIVAS'!A1278,PARAMETROS!A:A,PARAMETROS!I:I))</f>
        <v/>
      </c>
      <c r="F1278" s="3"/>
      <c r="G1278" s="3"/>
      <c r="H1278" s="3"/>
      <c r="I1278" s="3"/>
      <c r="J1278" s="3"/>
      <c r="K1278" s="3"/>
      <c r="L1278" s="19"/>
    </row>
    <row r="1279" spans="1:12">
      <c r="A1279" s="3"/>
      <c r="B1279" t="str">
        <f>IF(_xlfn.XLOOKUP(A1279,PARAMETROS!A:A,PARAMETROS!B:B)=0,"",_xlfn.XLOOKUP(A1279,PARAMETROS!A:A,PARAMETROS!B:B))</f>
        <v/>
      </c>
      <c r="C1279" t="str">
        <f>IF(_xlfn.XLOOKUP(A1279,PARAMETROS!A:A,PARAMETROS!C:C)=0,"",_xlfn.XLOOKUP(A1279,PARAMETROS!A:A,PARAMETROS!C:C))</f>
        <v/>
      </c>
      <c r="D1279" t="str">
        <f>IF(_xlfn.XLOOKUP(A1279,PARAMETROS!A:A,PARAMETROS!D:D)=0,"",_xlfn.XLOOKUP(A1279,PARAMETROS!A:A,PARAMETROS!D:D))</f>
        <v/>
      </c>
      <c r="E1279" t="str">
        <f>IF(_xlfn.XLOOKUP('PREENCHIMENTO|LETIVAS'!A1279,PARAMETROS!A:A,PARAMETROS!I:I)=0,"",_xlfn.XLOOKUP('PREENCHIMENTO|LETIVAS'!A1279,PARAMETROS!A:A,PARAMETROS!I:I))</f>
        <v/>
      </c>
      <c r="F1279" s="3"/>
      <c r="G1279" s="3"/>
      <c r="H1279" s="3"/>
      <c r="I1279" s="3"/>
      <c r="J1279" s="3"/>
      <c r="K1279" s="3"/>
      <c r="L1279" s="19"/>
    </row>
    <row r="1280" spans="1:12">
      <c r="A1280" s="3"/>
      <c r="B1280" t="str">
        <f>IF(_xlfn.XLOOKUP(A1280,PARAMETROS!A:A,PARAMETROS!B:B)=0,"",_xlfn.XLOOKUP(A1280,PARAMETROS!A:A,PARAMETROS!B:B))</f>
        <v/>
      </c>
      <c r="C1280" t="str">
        <f>IF(_xlfn.XLOOKUP(A1280,PARAMETROS!A:A,PARAMETROS!C:C)=0,"",_xlfn.XLOOKUP(A1280,PARAMETROS!A:A,PARAMETROS!C:C))</f>
        <v/>
      </c>
      <c r="D1280" t="str">
        <f>IF(_xlfn.XLOOKUP(A1280,PARAMETROS!A:A,PARAMETROS!D:D)=0,"",_xlfn.XLOOKUP(A1280,PARAMETROS!A:A,PARAMETROS!D:D))</f>
        <v/>
      </c>
      <c r="E1280" t="str">
        <f>IF(_xlfn.XLOOKUP('PREENCHIMENTO|LETIVAS'!A1280,PARAMETROS!A:A,PARAMETROS!I:I)=0,"",_xlfn.XLOOKUP('PREENCHIMENTO|LETIVAS'!A1280,PARAMETROS!A:A,PARAMETROS!I:I))</f>
        <v/>
      </c>
      <c r="F1280" s="3"/>
      <c r="G1280" s="3"/>
      <c r="H1280" s="3"/>
      <c r="I1280" s="3"/>
      <c r="J1280" s="3"/>
      <c r="K1280" s="3"/>
      <c r="L1280" s="19"/>
    </row>
    <row r="1281" spans="1:12">
      <c r="A1281" s="3"/>
      <c r="B1281" t="str">
        <f>IF(_xlfn.XLOOKUP(A1281,PARAMETROS!A:A,PARAMETROS!B:B)=0,"",_xlfn.XLOOKUP(A1281,PARAMETROS!A:A,PARAMETROS!B:B))</f>
        <v/>
      </c>
      <c r="C1281" t="str">
        <f>IF(_xlfn.XLOOKUP(A1281,PARAMETROS!A:A,PARAMETROS!C:C)=0,"",_xlfn.XLOOKUP(A1281,PARAMETROS!A:A,PARAMETROS!C:C))</f>
        <v/>
      </c>
      <c r="D1281" t="str">
        <f>IF(_xlfn.XLOOKUP(A1281,PARAMETROS!A:A,PARAMETROS!D:D)=0,"",_xlfn.XLOOKUP(A1281,PARAMETROS!A:A,PARAMETROS!D:D))</f>
        <v/>
      </c>
      <c r="E1281" t="str">
        <f>IF(_xlfn.XLOOKUP('PREENCHIMENTO|LETIVAS'!A1281,PARAMETROS!A:A,PARAMETROS!I:I)=0,"",_xlfn.XLOOKUP('PREENCHIMENTO|LETIVAS'!A1281,PARAMETROS!A:A,PARAMETROS!I:I))</f>
        <v/>
      </c>
      <c r="F1281" s="3"/>
      <c r="G1281" s="3"/>
      <c r="H1281" s="3"/>
      <c r="I1281" s="3"/>
      <c r="J1281" s="3"/>
      <c r="K1281" s="3"/>
      <c r="L1281" s="19"/>
    </row>
    <row r="1282" spans="1:12">
      <c r="A1282" s="3"/>
      <c r="B1282" t="str">
        <f>IF(_xlfn.XLOOKUP(A1282,PARAMETROS!A:A,PARAMETROS!B:B)=0,"",_xlfn.XLOOKUP(A1282,PARAMETROS!A:A,PARAMETROS!B:B))</f>
        <v/>
      </c>
      <c r="C1282" t="str">
        <f>IF(_xlfn.XLOOKUP(A1282,PARAMETROS!A:A,PARAMETROS!C:C)=0,"",_xlfn.XLOOKUP(A1282,PARAMETROS!A:A,PARAMETROS!C:C))</f>
        <v/>
      </c>
      <c r="D1282" t="str">
        <f>IF(_xlfn.XLOOKUP(A1282,PARAMETROS!A:A,PARAMETROS!D:D)=0,"",_xlfn.XLOOKUP(A1282,PARAMETROS!A:A,PARAMETROS!D:D))</f>
        <v/>
      </c>
      <c r="E1282" t="str">
        <f>IF(_xlfn.XLOOKUP('PREENCHIMENTO|LETIVAS'!A1282,PARAMETROS!A:A,PARAMETROS!I:I)=0,"",_xlfn.XLOOKUP('PREENCHIMENTO|LETIVAS'!A1282,PARAMETROS!A:A,PARAMETROS!I:I))</f>
        <v/>
      </c>
      <c r="F1282" s="3"/>
      <c r="G1282" s="3"/>
      <c r="H1282" s="3"/>
      <c r="I1282" s="3"/>
      <c r="J1282" s="3"/>
      <c r="K1282" s="3"/>
      <c r="L1282" s="19"/>
    </row>
    <row r="1283" spans="1:12">
      <c r="A1283" s="3"/>
      <c r="B1283" t="str">
        <f>IF(_xlfn.XLOOKUP(A1283,PARAMETROS!A:A,PARAMETROS!B:B)=0,"",_xlfn.XLOOKUP(A1283,PARAMETROS!A:A,PARAMETROS!B:B))</f>
        <v/>
      </c>
      <c r="C1283" t="str">
        <f>IF(_xlfn.XLOOKUP(A1283,PARAMETROS!A:A,PARAMETROS!C:C)=0,"",_xlfn.XLOOKUP(A1283,PARAMETROS!A:A,PARAMETROS!C:C))</f>
        <v/>
      </c>
      <c r="D1283" t="str">
        <f>IF(_xlfn.XLOOKUP(A1283,PARAMETROS!A:A,PARAMETROS!D:D)=0,"",_xlfn.XLOOKUP(A1283,PARAMETROS!A:A,PARAMETROS!D:D))</f>
        <v/>
      </c>
      <c r="E1283" t="str">
        <f>IF(_xlfn.XLOOKUP('PREENCHIMENTO|LETIVAS'!A1283,PARAMETROS!A:A,PARAMETROS!I:I)=0,"",_xlfn.XLOOKUP('PREENCHIMENTO|LETIVAS'!A1283,PARAMETROS!A:A,PARAMETROS!I:I))</f>
        <v/>
      </c>
      <c r="F1283" s="3"/>
      <c r="G1283" s="3"/>
      <c r="H1283" s="3"/>
      <c r="I1283" s="3"/>
      <c r="J1283" s="3"/>
      <c r="K1283" s="3"/>
      <c r="L1283" s="19"/>
    </row>
    <row r="1284" spans="1:12">
      <c r="A1284" s="3"/>
      <c r="B1284" t="str">
        <f>IF(_xlfn.XLOOKUP(A1284,PARAMETROS!A:A,PARAMETROS!B:B)=0,"",_xlfn.XLOOKUP(A1284,PARAMETROS!A:A,PARAMETROS!B:B))</f>
        <v/>
      </c>
      <c r="C1284" t="str">
        <f>IF(_xlfn.XLOOKUP(A1284,PARAMETROS!A:A,PARAMETROS!C:C)=0,"",_xlfn.XLOOKUP(A1284,PARAMETROS!A:A,PARAMETROS!C:C))</f>
        <v/>
      </c>
      <c r="D1284" t="str">
        <f>IF(_xlfn.XLOOKUP(A1284,PARAMETROS!A:A,PARAMETROS!D:D)=0,"",_xlfn.XLOOKUP(A1284,PARAMETROS!A:A,PARAMETROS!D:D))</f>
        <v/>
      </c>
      <c r="E1284" t="str">
        <f>IF(_xlfn.XLOOKUP('PREENCHIMENTO|LETIVAS'!A1284,PARAMETROS!A:A,PARAMETROS!I:I)=0,"",_xlfn.XLOOKUP('PREENCHIMENTO|LETIVAS'!A1284,PARAMETROS!A:A,PARAMETROS!I:I))</f>
        <v/>
      </c>
      <c r="F1284" s="3"/>
      <c r="G1284" s="3"/>
      <c r="H1284" s="3"/>
      <c r="I1284" s="3"/>
      <c r="J1284" s="3"/>
      <c r="K1284" s="3"/>
      <c r="L1284" s="19"/>
    </row>
    <row r="1285" spans="1:12">
      <c r="A1285" s="3"/>
      <c r="B1285" t="str">
        <f>IF(_xlfn.XLOOKUP(A1285,PARAMETROS!A:A,PARAMETROS!B:B)=0,"",_xlfn.XLOOKUP(A1285,PARAMETROS!A:A,PARAMETROS!B:B))</f>
        <v/>
      </c>
      <c r="C1285" t="str">
        <f>IF(_xlfn.XLOOKUP(A1285,PARAMETROS!A:A,PARAMETROS!C:C)=0,"",_xlfn.XLOOKUP(A1285,PARAMETROS!A:A,PARAMETROS!C:C))</f>
        <v/>
      </c>
      <c r="D1285" t="str">
        <f>IF(_xlfn.XLOOKUP(A1285,PARAMETROS!A:A,PARAMETROS!D:D)=0,"",_xlfn.XLOOKUP(A1285,PARAMETROS!A:A,PARAMETROS!D:D))</f>
        <v/>
      </c>
      <c r="E1285" t="str">
        <f>IF(_xlfn.XLOOKUP('PREENCHIMENTO|LETIVAS'!A1285,PARAMETROS!A:A,PARAMETROS!I:I)=0,"",_xlfn.XLOOKUP('PREENCHIMENTO|LETIVAS'!A1285,PARAMETROS!A:A,PARAMETROS!I:I))</f>
        <v/>
      </c>
      <c r="F1285" s="3"/>
      <c r="G1285" s="3"/>
      <c r="H1285" s="3"/>
      <c r="I1285" s="3"/>
      <c r="J1285" s="3"/>
      <c r="K1285" s="3"/>
      <c r="L1285" s="19"/>
    </row>
    <row r="1286" spans="1:12">
      <c r="A1286" s="3"/>
      <c r="B1286" t="str">
        <f>IF(_xlfn.XLOOKUP(A1286,PARAMETROS!A:A,PARAMETROS!B:B)=0,"",_xlfn.XLOOKUP(A1286,PARAMETROS!A:A,PARAMETROS!B:B))</f>
        <v/>
      </c>
      <c r="C1286" t="str">
        <f>IF(_xlfn.XLOOKUP(A1286,PARAMETROS!A:A,PARAMETROS!C:C)=0,"",_xlfn.XLOOKUP(A1286,PARAMETROS!A:A,PARAMETROS!C:C))</f>
        <v/>
      </c>
      <c r="D1286" t="str">
        <f>IF(_xlfn.XLOOKUP(A1286,PARAMETROS!A:A,PARAMETROS!D:D)=0,"",_xlfn.XLOOKUP(A1286,PARAMETROS!A:A,PARAMETROS!D:D))</f>
        <v/>
      </c>
      <c r="E1286" t="str">
        <f>IF(_xlfn.XLOOKUP('PREENCHIMENTO|LETIVAS'!A1286,PARAMETROS!A:A,PARAMETROS!I:I)=0,"",_xlfn.XLOOKUP('PREENCHIMENTO|LETIVAS'!A1286,PARAMETROS!A:A,PARAMETROS!I:I))</f>
        <v/>
      </c>
      <c r="F1286" s="3"/>
      <c r="G1286" s="3"/>
      <c r="H1286" s="3"/>
      <c r="I1286" s="3"/>
      <c r="J1286" s="3"/>
      <c r="K1286" s="3"/>
      <c r="L1286" s="19"/>
    </row>
    <row r="1287" spans="1:12">
      <c r="A1287" s="3"/>
      <c r="B1287" t="str">
        <f>IF(_xlfn.XLOOKUP(A1287,PARAMETROS!A:A,PARAMETROS!B:B)=0,"",_xlfn.XLOOKUP(A1287,PARAMETROS!A:A,PARAMETROS!B:B))</f>
        <v/>
      </c>
      <c r="C1287" t="str">
        <f>IF(_xlfn.XLOOKUP(A1287,PARAMETROS!A:A,PARAMETROS!C:C)=0,"",_xlfn.XLOOKUP(A1287,PARAMETROS!A:A,PARAMETROS!C:C))</f>
        <v/>
      </c>
      <c r="D1287" t="str">
        <f>IF(_xlfn.XLOOKUP(A1287,PARAMETROS!A:A,PARAMETROS!D:D)=0,"",_xlfn.XLOOKUP(A1287,PARAMETROS!A:A,PARAMETROS!D:D))</f>
        <v/>
      </c>
      <c r="E1287" t="str">
        <f>IF(_xlfn.XLOOKUP('PREENCHIMENTO|LETIVAS'!A1287,PARAMETROS!A:A,PARAMETROS!I:I)=0,"",_xlfn.XLOOKUP('PREENCHIMENTO|LETIVAS'!A1287,PARAMETROS!A:A,PARAMETROS!I:I))</f>
        <v/>
      </c>
      <c r="F1287" s="3"/>
      <c r="G1287" s="3"/>
      <c r="H1287" s="3"/>
      <c r="I1287" s="3"/>
      <c r="J1287" s="3"/>
      <c r="K1287" s="3"/>
      <c r="L1287" s="19"/>
    </row>
    <row r="1288" spans="1:12">
      <c r="A1288" s="3"/>
      <c r="B1288" t="str">
        <f>IF(_xlfn.XLOOKUP(A1288,PARAMETROS!A:A,PARAMETROS!B:B)=0,"",_xlfn.XLOOKUP(A1288,PARAMETROS!A:A,PARAMETROS!B:B))</f>
        <v/>
      </c>
      <c r="C1288" t="str">
        <f>IF(_xlfn.XLOOKUP(A1288,PARAMETROS!A:A,PARAMETROS!C:C)=0,"",_xlfn.XLOOKUP(A1288,PARAMETROS!A:A,PARAMETROS!C:C))</f>
        <v/>
      </c>
      <c r="D1288" t="str">
        <f>IF(_xlfn.XLOOKUP(A1288,PARAMETROS!A:A,PARAMETROS!D:D)=0,"",_xlfn.XLOOKUP(A1288,PARAMETROS!A:A,PARAMETROS!D:D))</f>
        <v/>
      </c>
      <c r="E1288" t="str">
        <f>IF(_xlfn.XLOOKUP('PREENCHIMENTO|LETIVAS'!A1288,PARAMETROS!A:A,PARAMETROS!I:I)=0,"",_xlfn.XLOOKUP('PREENCHIMENTO|LETIVAS'!A1288,PARAMETROS!A:A,PARAMETROS!I:I))</f>
        <v/>
      </c>
      <c r="F1288" s="3"/>
      <c r="G1288" s="3"/>
      <c r="H1288" s="3"/>
      <c r="I1288" s="3"/>
      <c r="J1288" s="3"/>
      <c r="K1288" s="3"/>
      <c r="L1288" s="19"/>
    </row>
    <row r="1289" spans="1:12">
      <c r="A1289" s="3"/>
      <c r="B1289" t="str">
        <f>IF(_xlfn.XLOOKUP(A1289,PARAMETROS!A:A,PARAMETROS!B:B)=0,"",_xlfn.XLOOKUP(A1289,PARAMETROS!A:A,PARAMETROS!B:B))</f>
        <v/>
      </c>
      <c r="C1289" t="str">
        <f>IF(_xlfn.XLOOKUP(A1289,PARAMETROS!A:A,PARAMETROS!C:C)=0,"",_xlfn.XLOOKUP(A1289,PARAMETROS!A:A,PARAMETROS!C:C))</f>
        <v/>
      </c>
      <c r="D1289" t="str">
        <f>IF(_xlfn.XLOOKUP(A1289,PARAMETROS!A:A,PARAMETROS!D:D)=0,"",_xlfn.XLOOKUP(A1289,PARAMETROS!A:A,PARAMETROS!D:D))</f>
        <v/>
      </c>
      <c r="E1289" t="str">
        <f>IF(_xlfn.XLOOKUP('PREENCHIMENTO|LETIVAS'!A1289,PARAMETROS!A:A,PARAMETROS!I:I)=0,"",_xlfn.XLOOKUP('PREENCHIMENTO|LETIVAS'!A1289,PARAMETROS!A:A,PARAMETROS!I:I))</f>
        <v/>
      </c>
      <c r="F1289" s="3"/>
      <c r="G1289" s="3"/>
      <c r="H1289" s="3"/>
      <c r="I1289" s="3"/>
      <c r="J1289" s="3"/>
      <c r="K1289" s="3"/>
      <c r="L1289" s="19"/>
    </row>
    <row r="1290" spans="1:12">
      <c r="A1290" s="3"/>
      <c r="B1290" t="str">
        <f>IF(_xlfn.XLOOKUP(A1290,PARAMETROS!A:A,PARAMETROS!B:B)=0,"",_xlfn.XLOOKUP(A1290,PARAMETROS!A:A,PARAMETROS!B:B))</f>
        <v/>
      </c>
      <c r="C1290" t="str">
        <f>IF(_xlfn.XLOOKUP(A1290,PARAMETROS!A:A,PARAMETROS!C:C)=0,"",_xlfn.XLOOKUP(A1290,PARAMETROS!A:A,PARAMETROS!C:C))</f>
        <v/>
      </c>
      <c r="D1290" t="str">
        <f>IF(_xlfn.XLOOKUP(A1290,PARAMETROS!A:A,PARAMETROS!D:D)=0,"",_xlfn.XLOOKUP(A1290,PARAMETROS!A:A,PARAMETROS!D:D))</f>
        <v/>
      </c>
      <c r="E1290" t="str">
        <f>IF(_xlfn.XLOOKUP('PREENCHIMENTO|LETIVAS'!A1290,PARAMETROS!A:A,PARAMETROS!I:I)=0,"",_xlfn.XLOOKUP('PREENCHIMENTO|LETIVAS'!A1290,PARAMETROS!A:A,PARAMETROS!I:I))</f>
        <v/>
      </c>
      <c r="F1290" s="3"/>
      <c r="G1290" s="3"/>
      <c r="H1290" s="3"/>
      <c r="I1290" s="3"/>
      <c r="J1290" s="3"/>
      <c r="K1290" s="3"/>
      <c r="L1290" s="19"/>
    </row>
    <row r="1291" spans="1:12">
      <c r="A1291" s="3"/>
      <c r="B1291" t="str">
        <f>IF(_xlfn.XLOOKUP(A1291,PARAMETROS!A:A,PARAMETROS!B:B)=0,"",_xlfn.XLOOKUP(A1291,PARAMETROS!A:A,PARAMETROS!B:B))</f>
        <v/>
      </c>
      <c r="C1291" t="str">
        <f>IF(_xlfn.XLOOKUP(A1291,PARAMETROS!A:A,PARAMETROS!C:C)=0,"",_xlfn.XLOOKUP(A1291,PARAMETROS!A:A,PARAMETROS!C:C))</f>
        <v/>
      </c>
      <c r="D1291" t="str">
        <f>IF(_xlfn.XLOOKUP(A1291,PARAMETROS!A:A,PARAMETROS!D:D)=0,"",_xlfn.XLOOKUP(A1291,PARAMETROS!A:A,PARAMETROS!D:D))</f>
        <v/>
      </c>
      <c r="E1291" t="str">
        <f>IF(_xlfn.XLOOKUP('PREENCHIMENTO|LETIVAS'!A1291,PARAMETROS!A:A,PARAMETROS!I:I)=0,"",_xlfn.XLOOKUP('PREENCHIMENTO|LETIVAS'!A1291,PARAMETROS!A:A,PARAMETROS!I:I))</f>
        <v/>
      </c>
      <c r="F1291" s="3"/>
      <c r="G1291" s="3"/>
      <c r="H1291" s="3"/>
      <c r="I1291" s="3"/>
      <c r="J1291" s="3"/>
      <c r="K1291" s="3"/>
      <c r="L1291" s="19"/>
    </row>
    <row r="1292" spans="1:12">
      <c r="A1292" s="3"/>
      <c r="B1292" t="str">
        <f>IF(_xlfn.XLOOKUP(A1292,PARAMETROS!A:A,PARAMETROS!B:B)=0,"",_xlfn.XLOOKUP(A1292,PARAMETROS!A:A,PARAMETROS!B:B))</f>
        <v/>
      </c>
      <c r="C1292" t="str">
        <f>IF(_xlfn.XLOOKUP(A1292,PARAMETROS!A:A,PARAMETROS!C:C)=0,"",_xlfn.XLOOKUP(A1292,PARAMETROS!A:A,PARAMETROS!C:C))</f>
        <v/>
      </c>
      <c r="D1292" t="str">
        <f>IF(_xlfn.XLOOKUP(A1292,PARAMETROS!A:A,PARAMETROS!D:D)=0,"",_xlfn.XLOOKUP(A1292,PARAMETROS!A:A,PARAMETROS!D:D))</f>
        <v/>
      </c>
      <c r="E1292" t="str">
        <f>IF(_xlfn.XLOOKUP('PREENCHIMENTO|LETIVAS'!A1292,PARAMETROS!A:A,PARAMETROS!I:I)=0,"",_xlfn.XLOOKUP('PREENCHIMENTO|LETIVAS'!A1292,PARAMETROS!A:A,PARAMETROS!I:I))</f>
        <v/>
      </c>
      <c r="F1292" s="3"/>
      <c r="G1292" s="3"/>
      <c r="H1292" s="3"/>
      <c r="I1292" s="3"/>
      <c r="J1292" s="3"/>
      <c r="K1292" s="3"/>
      <c r="L1292" s="19"/>
    </row>
    <row r="1293" spans="1:12">
      <c r="A1293" s="3"/>
      <c r="B1293" t="str">
        <f>IF(_xlfn.XLOOKUP(A1293,PARAMETROS!A:A,PARAMETROS!B:B)=0,"",_xlfn.XLOOKUP(A1293,PARAMETROS!A:A,PARAMETROS!B:B))</f>
        <v/>
      </c>
      <c r="C1293" t="str">
        <f>IF(_xlfn.XLOOKUP(A1293,PARAMETROS!A:A,PARAMETROS!C:C)=0,"",_xlfn.XLOOKUP(A1293,PARAMETROS!A:A,PARAMETROS!C:C))</f>
        <v/>
      </c>
      <c r="D1293" t="str">
        <f>IF(_xlfn.XLOOKUP(A1293,PARAMETROS!A:A,PARAMETROS!D:D)=0,"",_xlfn.XLOOKUP(A1293,PARAMETROS!A:A,PARAMETROS!D:D))</f>
        <v/>
      </c>
      <c r="E1293" t="str">
        <f>IF(_xlfn.XLOOKUP('PREENCHIMENTO|LETIVAS'!A1293,PARAMETROS!A:A,PARAMETROS!I:I)=0,"",_xlfn.XLOOKUP('PREENCHIMENTO|LETIVAS'!A1293,PARAMETROS!A:A,PARAMETROS!I:I))</f>
        <v/>
      </c>
      <c r="F1293" s="3"/>
      <c r="G1293" s="3"/>
      <c r="H1293" s="3"/>
      <c r="I1293" s="3"/>
      <c r="J1293" s="3"/>
      <c r="K1293" s="3"/>
      <c r="L1293" s="19"/>
    </row>
    <row r="1294" spans="1:12">
      <c r="A1294" s="3"/>
      <c r="B1294" t="str">
        <f>IF(_xlfn.XLOOKUP(A1294,PARAMETROS!A:A,PARAMETROS!B:B)=0,"",_xlfn.XLOOKUP(A1294,PARAMETROS!A:A,PARAMETROS!B:B))</f>
        <v/>
      </c>
      <c r="C1294" t="str">
        <f>IF(_xlfn.XLOOKUP(A1294,PARAMETROS!A:A,PARAMETROS!C:C)=0,"",_xlfn.XLOOKUP(A1294,PARAMETROS!A:A,PARAMETROS!C:C))</f>
        <v/>
      </c>
      <c r="D1294" t="str">
        <f>IF(_xlfn.XLOOKUP(A1294,PARAMETROS!A:A,PARAMETROS!D:D)=0,"",_xlfn.XLOOKUP(A1294,PARAMETROS!A:A,PARAMETROS!D:D))</f>
        <v/>
      </c>
      <c r="E1294" t="str">
        <f>IF(_xlfn.XLOOKUP('PREENCHIMENTO|LETIVAS'!A1294,PARAMETROS!A:A,PARAMETROS!I:I)=0,"",_xlfn.XLOOKUP('PREENCHIMENTO|LETIVAS'!A1294,PARAMETROS!A:A,PARAMETROS!I:I))</f>
        <v/>
      </c>
      <c r="F1294" s="3"/>
      <c r="G1294" s="3"/>
      <c r="H1294" s="3"/>
      <c r="I1294" s="3"/>
      <c r="J1294" s="3"/>
      <c r="K1294" s="3"/>
      <c r="L1294" s="19"/>
    </row>
    <row r="1295" spans="1:12">
      <c r="A1295" s="3"/>
      <c r="B1295" t="str">
        <f>IF(_xlfn.XLOOKUP(A1295,PARAMETROS!A:A,PARAMETROS!B:B)=0,"",_xlfn.XLOOKUP(A1295,PARAMETROS!A:A,PARAMETROS!B:B))</f>
        <v/>
      </c>
      <c r="C1295" t="str">
        <f>IF(_xlfn.XLOOKUP(A1295,PARAMETROS!A:A,PARAMETROS!C:C)=0,"",_xlfn.XLOOKUP(A1295,PARAMETROS!A:A,PARAMETROS!C:C))</f>
        <v/>
      </c>
      <c r="D1295" t="str">
        <f>IF(_xlfn.XLOOKUP(A1295,PARAMETROS!A:A,PARAMETROS!D:D)=0,"",_xlfn.XLOOKUP(A1295,PARAMETROS!A:A,PARAMETROS!D:D))</f>
        <v/>
      </c>
      <c r="E1295" t="str">
        <f>IF(_xlfn.XLOOKUP('PREENCHIMENTO|LETIVAS'!A1295,PARAMETROS!A:A,PARAMETROS!I:I)=0,"",_xlfn.XLOOKUP('PREENCHIMENTO|LETIVAS'!A1295,PARAMETROS!A:A,PARAMETROS!I:I))</f>
        <v/>
      </c>
      <c r="F1295" s="3"/>
      <c r="G1295" s="3"/>
      <c r="H1295" s="3"/>
      <c r="I1295" s="3"/>
      <c r="J1295" s="3"/>
      <c r="K1295" s="3"/>
      <c r="L1295" s="19"/>
    </row>
    <row r="1296" spans="1:12">
      <c r="A1296" s="3"/>
      <c r="B1296" t="str">
        <f>IF(_xlfn.XLOOKUP(A1296,PARAMETROS!A:A,PARAMETROS!B:B)=0,"",_xlfn.XLOOKUP(A1296,PARAMETROS!A:A,PARAMETROS!B:B))</f>
        <v/>
      </c>
      <c r="C1296" t="str">
        <f>IF(_xlfn.XLOOKUP(A1296,PARAMETROS!A:A,PARAMETROS!C:C)=0,"",_xlfn.XLOOKUP(A1296,PARAMETROS!A:A,PARAMETROS!C:C))</f>
        <v/>
      </c>
      <c r="D1296" t="str">
        <f>IF(_xlfn.XLOOKUP(A1296,PARAMETROS!A:A,PARAMETROS!D:D)=0,"",_xlfn.XLOOKUP(A1296,PARAMETROS!A:A,PARAMETROS!D:D))</f>
        <v/>
      </c>
      <c r="E1296" t="str">
        <f>IF(_xlfn.XLOOKUP('PREENCHIMENTO|LETIVAS'!A1296,PARAMETROS!A:A,PARAMETROS!I:I)=0,"",_xlfn.XLOOKUP('PREENCHIMENTO|LETIVAS'!A1296,PARAMETROS!A:A,PARAMETROS!I:I))</f>
        <v/>
      </c>
      <c r="F1296" s="3"/>
      <c r="G1296" s="3"/>
      <c r="H1296" s="3"/>
      <c r="I1296" s="3"/>
      <c r="J1296" s="3"/>
      <c r="K1296" s="3"/>
      <c r="L1296" s="19"/>
    </row>
    <row r="1297" spans="1:12">
      <c r="A1297" s="3"/>
      <c r="B1297" t="str">
        <f>IF(_xlfn.XLOOKUP(A1297,PARAMETROS!A:A,PARAMETROS!B:B)=0,"",_xlfn.XLOOKUP(A1297,PARAMETROS!A:A,PARAMETROS!B:B))</f>
        <v/>
      </c>
      <c r="C1297" t="str">
        <f>IF(_xlfn.XLOOKUP(A1297,PARAMETROS!A:A,PARAMETROS!C:C)=0,"",_xlfn.XLOOKUP(A1297,PARAMETROS!A:A,PARAMETROS!C:C))</f>
        <v/>
      </c>
      <c r="D1297" t="str">
        <f>IF(_xlfn.XLOOKUP(A1297,PARAMETROS!A:A,PARAMETROS!D:D)=0,"",_xlfn.XLOOKUP(A1297,PARAMETROS!A:A,PARAMETROS!D:D))</f>
        <v/>
      </c>
      <c r="E1297" t="str">
        <f>IF(_xlfn.XLOOKUP('PREENCHIMENTO|LETIVAS'!A1297,PARAMETROS!A:A,PARAMETROS!I:I)=0,"",_xlfn.XLOOKUP('PREENCHIMENTO|LETIVAS'!A1297,PARAMETROS!A:A,PARAMETROS!I:I))</f>
        <v/>
      </c>
      <c r="F1297" s="3"/>
      <c r="G1297" s="3"/>
      <c r="H1297" s="3"/>
      <c r="I1297" s="3"/>
      <c r="J1297" s="3"/>
      <c r="K1297" s="3"/>
      <c r="L1297" s="19"/>
    </row>
    <row r="1298" spans="1:12">
      <c r="A1298" s="3"/>
      <c r="B1298" t="str">
        <f>IF(_xlfn.XLOOKUP(A1298,PARAMETROS!A:A,PARAMETROS!B:B)=0,"",_xlfn.XLOOKUP(A1298,PARAMETROS!A:A,PARAMETROS!B:B))</f>
        <v/>
      </c>
      <c r="C1298" t="str">
        <f>IF(_xlfn.XLOOKUP(A1298,PARAMETROS!A:A,PARAMETROS!C:C)=0,"",_xlfn.XLOOKUP(A1298,PARAMETROS!A:A,PARAMETROS!C:C))</f>
        <v/>
      </c>
      <c r="D1298" t="str">
        <f>IF(_xlfn.XLOOKUP(A1298,PARAMETROS!A:A,PARAMETROS!D:D)=0,"",_xlfn.XLOOKUP(A1298,PARAMETROS!A:A,PARAMETROS!D:D))</f>
        <v/>
      </c>
      <c r="E1298" t="str">
        <f>IF(_xlfn.XLOOKUP('PREENCHIMENTO|LETIVAS'!A1298,PARAMETROS!A:A,PARAMETROS!I:I)=0,"",_xlfn.XLOOKUP('PREENCHIMENTO|LETIVAS'!A1298,PARAMETROS!A:A,PARAMETROS!I:I))</f>
        <v/>
      </c>
      <c r="F1298" s="3"/>
      <c r="G1298" s="3"/>
      <c r="H1298" s="3"/>
      <c r="I1298" s="3"/>
      <c r="J1298" s="3"/>
      <c r="K1298" s="3"/>
      <c r="L1298" s="19"/>
    </row>
    <row r="1299" spans="1:12">
      <c r="A1299" s="3"/>
      <c r="B1299" t="str">
        <f>IF(_xlfn.XLOOKUP(A1299,PARAMETROS!A:A,PARAMETROS!B:B)=0,"",_xlfn.XLOOKUP(A1299,PARAMETROS!A:A,PARAMETROS!B:B))</f>
        <v/>
      </c>
      <c r="C1299" t="str">
        <f>IF(_xlfn.XLOOKUP(A1299,PARAMETROS!A:A,PARAMETROS!C:C)=0,"",_xlfn.XLOOKUP(A1299,PARAMETROS!A:A,PARAMETROS!C:C))</f>
        <v/>
      </c>
      <c r="D1299" t="str">
        <f>IF(_xlfn.XLOOKUP(A1299,PARAMETROS!A:A,PARAMETROS!D:D)=0,"",_xlfn.XLOOKUP(A1299,PARAMETROS!A:A,PARAMETROS!D:D))</f>
        <v/>
      </c>
      <c r="E1299" t="str">
        <f>IF(_xlfn.XLOOKUP('PREENCHIMENTO|LETIVAS'!A1299,PARAMETROS!A:A,PARAMETROS!I:I)=0,"",_xlfn.XLOOKUP('PREENCHIMENTO|LETIVAS'!A1299,PARAMETROS!A:A,PARAMETROS!I:I))</f>
        <v/>
      </c>
      <c r="F1299" s="3"/>
      <c r="G1299" s="3"/>
      <c r="H1299" s="3"/>
      <c r="I1299" s="3"/>
      <c r="J1299" s="3"/>
      <c r="K1299" s="3"/>
      <c r="L1299" s="19"/>
    </row>
    <row r="1300" spans="1:12">
      <c r="A1300" s="3"/>
      <c r="B1300" t="str">
        <f>IF(_xlfn.XLOOKUP(A1300,PARAMETROS!A:A,PARAMETROS!B:B)=0,"",_xlfn.XLOOKUP(A1300,PARAMETROS!A:A,PARAMETROS!B:B))</f>
        <v/>
      </c>
      <c r="C1300" t="str">
        <f>IF(_xlfn.XLOOKUP(A1300,PARAMETROS!A:A,PARAMETROS!C:C)=0,"",_xlfn.XLOOKUP(A1300,PARAMETROS!A:A,PARAMETROS!C:C))</f>
        <v/>
      </c>
      <c r="D1300" t="str">
        <f>IF(_xlfn.XLOOKUP(A1300,PARAMETROS!A:A,PARAMETROS!D:D)=0,"",_xlfn.XLOOKUP(A1300,PARAMETROS!A:A,PARAMETROS!D:D))</f>
        <v/>
      </c>
      <c r="E1300" t="str">
        <f>IF(_xlfn.XLOOKUP('PREENCHIMENTO|LETIVAS'!A1300,PARAMETROS!A:A,PARAMETROS!I:I)=0,"",_xlfn.XLOOKUP('PREENCHIMENTO|LETIVAS'!A1300,PARAMETROS!A:A,PARAMETROS!I:I))</f>
        <v/>
      </c>
      <c r="F1300" s="3"/>
      <c r="G1300" s="3"/>
      <c r="H1300" s="3"/>
      <c r="I1300" s="3"/>
      <c r="J1300" s="3"/>
      <c r="K1300" s="3"/>
      <c r="L1300" s="19"/>
    </row>
    <row r="1301" spans="1:12">
      <c r="A1301" s="3"/>
      <c r="B1301" t="str">
        <f>IF(_xlfn.XLOOKUP(A1301,PARAMETROS!A:A,PARAMETROS!B:B)=0,"",_xlfn.XLOOKUP(A1301,PARAMETROS!A:A,PARAMETROS!B:B))</f>
        <v/>
      </c>
      <c r="C1301" t="str">
        <f>IF(_xlfn.XLOOKUP(A1301,PARAMETROS!A:A,PARAMETROS!C:C)=0,"",_xlfn.XLOOKUP(A1301,PARAMETROS!A:A,PARAMETROS!C:C))</f>
        <v/>
      </c>
      <c r="D1301" t="str">
        <f>IF(_xlfn.XLOOKUP(A1301,PARAMETROS!A:A,PARAMETROS!D:D)=0,"",_xlfn.XLOOKUP(A1301,PARAMETROS!A:A,PARAMETROS!D:D))</f>
        <v/>
      </c>
      <c r="E1301" t="str">
        <f>IF(_xlfn.XLOOKUP('PREENCHIMENTO|LETIVAS'!A1301,PARAMETROS!A:A,PARAMETROS!I:I)=0,"",_xlfn.XLOOKUP('PREENCHIMENTO|LETIVAS'!A1301,PARAMETROS!A:A,PARAMETROS!I:I))</f>
        <v/>
      </c>
      <c r="F1301" s="3"/>
      <c r="G1301" s="3"/>
      <c r="H1301" s="3"/>
      <c r="I1301" s="3"/>
      <c r="J1301" s="3"/>
      <c r="K1301" s="3"/>
      <c r="L1301" s="19"/>
    </row>
    <row r="1302" spans="1:12">
      <c r="A1302" s="3"/>
      <c r="B1302" t="str">
        <f>IF(_xlfn.XLOOKUP(A1302,PARAMETROS!A:A,PARAMETROS!B:B)=0,"",_xlfn.XLOOKUP(A1302,PARAMETROS!A:A,PARAMETROS!B:B))</f>
        <v/>
      </c>
      <c r="C1302" t="str">
        <f>IF(_xlfn.XLOOKUP(A1302,PARAMETROS!A:A,PARAMETROS!C:C)=0,"",_xlfn.XLOOKUP(A1302,PARAMETROS!A:A,PARAMETROS!C:C))</f>
        <v/>
      </c>
      <c r="D1302" t="str">
        <f>IF(_xlfn.XLOOKUP(A1302,PARAMETROS!A:A,PARAMETROS!D:D)=0,"",_xlfn.XLOOKUP(A1302,PARAMETROS!A:A,PARAMETROS!D:D))</f>
        <v/>
      </c>
      <c r="E1302" t="str">
        <f>IF(_xlfn.XLOOKUP('PREENCHIMENTO|LETIVAS'!A1302,PARAMETROS!A:A,PARAMETROS!I:I)=0,"",_xlfn.XLOOKUP('PREENCHIMENTO|LETIVAS'!A1302,PARAMETROS!A:A,PARAMETROS!I:I))</f>
        <v/>
      </c>
      <c r="F1302" s="3"/>
      <c r="G1302" s="3"/>
      <c r="H1302" s="3"/>
      <c r="I1302" s="3"/>
      <c r="J1302" s="3"/>
      <c r="K1302" s="3"/>
      <c r="L1302" s="19"/>
    </row>
    <row r="1303" spans="1:12">
      <c r="A1303" s="3"/>
      <c r="B1303" t="str">
        <f>IF(_xlfn.XLOOKUP(A1303,PARAMETROS!A:A,PARAMETROS!B:B)=0,"",_xlfn.XLOOKUP(A1303,PARAMETROS!A:A,PARAMETROS!B:B))</f>
        <v/>
      </c>
      <c r="C1303" t="str">
        <f>IF(_xlfn.XLOOKUP(A1303,PARAMETROS!A:A,PARAMETROS!C:C)=0,"",_xlfn.XLOOKUP(A1303,PARAMETROS!A:A,PARAMETROS!C:C))</f>
        <v/>
      </c>
      <c r="D1303" t="str">
        <f>IF(_xlfn.XLOOKUP(A1303,PARAMETROS!A:A,PARAMETROS!D:D)=0,"",_xlfn.XLOOKUP(A1303,PARAMETROS!A:A,PARAMETROS!D:D))</f>
        <v/>
      </c>
      <c r="E1303" t="str">
        <f>IF(_xlfn.XLOOKUP('PREENCHIMENTO|LETIVAS'!A1303,PARAMETROS!A:A,PARAMETROS!I:I)=0,"",_xlfn.XLOOKUP('PREENCHIMENTO|LETIVAS'!A1303,PARAMETROS!A:A,PARAMETROS!I:I))</f>
        <v/>
      </c>
      <c r="F1303" s="3"/>
      <c r="G1303" s="3"/>
      <c r="H1303" s="3"/>
      <c r="I1303" s="3"/>
      <c r="J1303" s="3"/>
      <c r="K1303" s="3"/>
      <c r="L1303" s="19"/>
    </row>
    <row r="1304" spans="1:12">
      <c r="A1304" s="3"/>
      <c r="B1304" t="str">
        <f>IF(_xlfn.XLOOKUP(A1304,PARAMETROS!A:A,PARAMETROS!B:B)=0,"",_xlfn.XLOOKUP(A1304,PARAMETROS!A:A,PARAMETROS!B:B))</f>
        <v/>
      </c>
      <c r="C1304" t="str">
        <f>IF(_xlfn.XLOOKUP(A1304,PARAMETROS!A:A,PARAMETROS!C:C)=0,"",_xlfn.XLOOKUP(A1304,PARAMETROS!A:A,PARAMETROS!C:C))</f>
        <v/>
      </c>
      <c r="D1304" t="str">
        <f>IF(_xlfn.XLOOKUP(A1304,PARAMETROS!A:A,PARAMETROS!D:D)=0,"",_xlfn.XLOOKUP(A1304,PARAMETROS!A:A,PARAMETROS!D:D))</f>
        <v/>
      </c>
      <c r="E1304" t="str">
        <f>IF(_xlfn.XLOOKUP('PREENCHIMENTO|LETIVAS'!A1304,PARAMETROS!A:A,PARAMETROS!I:I)=0,"",_xlfn.XLOOKUP('PREENCHIMENTO|LETIVAS'!A1304,PARAMETROS!A:A,PARAMETROS!I:I))</f>
        <v/>
      </c>
      <c r="F1304" s="3"/>
      <c r="G1304" s="3"/>
      <c r="H1304" s="3"/>
      <c r="I1304" s="3"/>
      <c r="J1304" s="3"/>
      <c r="K1304" s="3"/>
      <c r="L1304" s="19"/>
    </row>
    <row r="1305" spans="1:12">
      <c r="A1305" s="3"/>
      <c r="B1305" t="str">
        <f>IF(_xlfn.XLOOKUP(A1305,PARAMETROS!A:A,PARAMETROS!B:B)=0,"",_xlfn.XLOOKUP(A1305,PARAMETROS!A:A,PARAMETROS!B:B))</f>
        <v/>
      </c>
      <c r="C1305" t="str">
        <f>IF(_xlfn.XLOOKUP(A1305,PARAMETROS!A:A,PARAMETROS!C:C)=0,"",_xlfn.XLOOKUP(A1305,PARAMETROS!A:A,PARAMETROS!C:C))</f>
        <v/>
      </c>
      <c r="D1305" t="str">
        <f>IF(_xlfn.XLOOKUP(A1305,PARAMETROS!A:A,PARAMETROS!D:D)=0,"",_xlfn.XLOOKUP(A1305,PARAMETROS!A:A,PARAMETROS!D:D))</f>
        <v/>
      </c>
      <c r="E1305" t="str">
        <f>IF(_xlfn.XLOOKUP('PREENCHIMENTO|LETIVAS'!A1305,PARAMETROS!A:A,PARAMETROS!I:I)=0,"",_xlfn.XLOOKUP('PREENCHIMENTO|LETIVAS'!A1305,PARAMETROS!A:A,PARAMETROS!I:I))</f>
        <v/>
      </c>
      <c r="F1305" s="3"/>
      <c r="G1305" s="3"/>
      <c r="H1305" s="3"/>
      <c r="I1305" s="3"/>
      <c r="J1305" s="3"/>
      <c r="K1305" s="3"/>
      <c r="L1305" s="19"/>
    </row>
    <row r="1306" spans="1:12">
      <c r="A1306" s="3"/>
      <c r="B1306" t="str">
        <f>IF(_xlfn.XLOOKUP(A1306,PARAMETROS!A:A,PARAMETROS!B:B)=0,"",_xlfn.XLOOKUP(A1306,PARAMETROS!A:A,PARAMETROS!B:B))</f>
        <v/>
      </c>
      <c r="C1306" t="str">
        <f>IF(_xlfn.XLOOKUP(A1306,PARAMETROS!A:A,PARAMETROS!C:C)=0,"",_xlfn.XLOOKUP(A1306,PARAMETROS!A:A,PARAMETROS!C:C))</f>
        <v/>
      </c>
      <c r="D1306" t="str">
        <f>IF(_xlfn.XLOOKUP(A1306,PARAMETROS!A:A,PARAMETROS!D:D)=0,"",_xlfn.XLOOKUP(A1306,PARAMETROS!A:A,PARAMETROS!D:D))</f>
        <v/>
      </c>
      <c r="E1306" t="str">
        <f>IF(_xlfn.XLOOKUP('PREENCHIMENTO|LETIVAS'!A1306,PARAMETROS!A:A,PARAMETROS!I:I)=0,"",_xlfn.XLOOKUP('PREENCHIMENTO|LETIVAS'!A1306,PARAMETROS!A:A,PARAMETROS!I:I))</f>
        <v/>
      </c>
      <c r="F1306" s="3"/>
      <c r="G1306" s="3"/>
      <c r="H1306" s="3"/>
      <c r="I1306" s="3"/>
      <c r="J1306" s="3"/>
      <c r="K1306" s="3"/>
      <c r="L1306" s="19"/>
    </row>
    <row r="1307" spans="1:12">
      <c r="A1307" s="3"/>
      <c r="B1307" t="str">
        <f>IF(_xlfn.XLOOKUP(A1307,PARAMETROS!A:A,PARAMETROS!B:B)=0,"",_xlfn.XLOOKUP(A1307,PARAMETROS!A:A,PARAMETROS!B:B))</f>
        <v/>
      </c>
      <c r="C1307" t="str">
        <f>IF(_xlfn.XLOOKUP(A1307,PARAMETROS!A:A,PARAMETROS!C:C)=0,"",_xlfn.XLOOKUP(A1307,PARAMETROS!A:A,PARAMETROS!C:C))</f>
        <v/>
      </c>
      <c r="D1307" t="str">
        <f>IF(_xlfn.XLOOKUP(A1307,PARAMETROS!A:A,PARAMETROS!D:D)=0,"",_xlfn.XLOOKUP(A1307,PARAMETROS!A:A,PARAMETROS!D:D))</f>
        <v/>
      </c>
      <c r="E1307" t="str">
        <f>IF(_xlfn.XLOOKUP('PREENCHIMENTO|LETIVAS'!A1307,PARAMETROS!A:A,PARAMETROS!I:I)=0,"",_xlfn.XLOOKUP('PREENCHIMENTO|LETIVAS'!A1307,PARAMETROS!A:A,PARAMETROS!I:I))</f>
        <v/>
      </c>
      <c r="F1307" s="3"/>
      <c r="G1307" s="3"/>
      <c r="H1307" s="3"/>
      <c r="I1307" s="3"/>
      <c r="J1307" s="3"/>
      <c r="K1307" s="3"/>
      <c r="L1307" s="19"/>
    </row>
    <row r="1308" spans="1:12">
      <c r="A1308" s="3"/>
      <c r="B1308" t="str">
        <f>IF(_xlfn.XLOOKUP(A1308,PARAMETROS!A:A,PARAMETROS!B:B)=0,"",_xlfn.XLOOKUP(A1308,PARAMETROS!A:A,PARAMETROS!B:B))</f>
        <v/>
      </c>
      <c r="C1308" t="str">
        <f>IF(_xlfn.XLOOKUP(A1308,PARAMETROS!A:A,PARAMETROS!C:C)=0,"",_xlfn.XLOOKUP(A1308,PARAMETROS!A:A,PARAMETROS!C:C))</f>
        <v/>
      </c>
      <c r="D1308" t="str">
        <f>IF(_xlfn.XLOOKUP(A1308,PARAMETROS!A:A,PARAMETROS!D:D)=0,"",_xlfn.XLOOKUP(A1308,PARAMETROS!A:A,PARAMETROS!D:D))</f>
        <v/>
      </c>
      <c r="E1308" t="str">
        <f>IF(_xlfn.XLOOKUP('PREENCHIMENTO|LETIVAS'!A1308,PARAMETROS!A:A,PARAMETROS!I:I)=0,"",_xlfn.XLOOKUP('PREENCHIMENTO|LETIVAS'!A1308,PARAMETROS!A:A,PARAMETROS!I:I))</f>
        <v/>
      </c>
      <c r="F1308" s="3"/>
      <c r="G1308" s="3"/>
      <c r="H1308" s="3"/>
      <c r="I1308" s="3"/>
      <c r="J1308" s="3"/>
      <c r="K1308" s="3"/>
      <c r="L1308" s="19"/>
    </row>
    <row r="1309" spans="1:12">
      <c r="A1309" s="3"/>
      <c r="B1309" t="str">
        <f>IF(_xlfn.XLOOKUP(A1309,PARAMETROS!A:A,PARAMETROS!B:B)=0,"",_xlfn.XLOOKUP(A1309,PARAMETROS!A:A,PARAMETROS!B:B))</f>
        <v/>
      </c>
      <c r="C1309" t="str">
        <f>IF(_xlfn.XLOOKUP(A1309,PARAMETROS!A:A,PARAMETROS!C:C)=0,"",_xlfn.XLOOKUP(A1309,PARAMETROS!A:A,PARAMETROS!C:C))</f>
        <v/>
      </c>
      <c r="D1309" t="str">
        <f>IF(_xlfn.XLOOKUP(A1309,PARAMETROS!A:A,PARAMETROS!D:D)=0,"",_xlfn.XLOOKUP(A1309,PARAMETROS!A:A,PARAMETROS!D:D))</f>
        <v/>
      </c>
      <c r="E1309" t="str">
        <f>IF(_xlfn.XLOOKUP('PREENCHIMENTO|LETIVAS'!A1309,PARAMETROS!A:A,PARAMETROS!I:I)=0,"",_xlfn.XLOOKUP('PREENCHIMENTO|LETIVAS'!A1309,PARAMETROS!A:A,PARAMETROS!I:I))</f>
        <v/>
      </c>
      <c r="F1309" s="3"/>
      <c r="G1309" s="3"/>
      <c r="H1309" s="3"/>
      <c r="I1309" s="3"/>
      <c r="J1309" s="3"/>
      <c r="K1309" s="3"/>
      <c r="L1309" s="19"/>
    </row>
    <row r="1310" spans="1:12">
      <c r="A1310" s="3"/>
      <c r="B1310" t="str">
        <f>IF(_xlfn.XLOOKUP(A1310,PARAMETROS!A:A,PARAMETROS!B:B)=0,"",_xlfn.XLOOKUP(A1310,PARAMETROS!A:A,PARAMETROS!B:B))</f>
        <v/>
      </c>
      <c r="C1310" t="str">
        <f>IF(_xlfn.XLOOKUP(A1310,PARAMETROS!A:A,PARAMETROS!C:C)=0,"",_xlfn.XLOOKUP(A1310,PARAMETROS!A:A,PARAMETROS!C:C))</f>
        <v/>
      </c>
      <c r="D1310" t="str">
        <f>IF(_xlfn.XLOOKUP(A1310,PARAMETROS!A:A,PARAMETROS!D:D)=0,"",_xlfn.XLOOKUP(A1310,PARAMETROS!A:A,PARAMETROS!D:D))</f>
        <v/>
      </c>
      <c r="E1310" t="str">
        <f>IF(_xlfn.XLOOKUP('PREENCHIMENTO|LETIVAS'!A1310,PARAMETROS!A:A,PARAMETROS!I:I)=0,"",_xlfn.XLOOKUP('PREENCHIMENTO|LETIVAS'!A1310,PARAMETROS!A:A,PARAMETROS!I:I))</f>
        <v/>
      </c>
      <c r="F1310" s="3"/>
      <c r="G1310" s="3"/>
      <c r="H1310" s="3"/>
      <c r="I1310" s="3"/>
      <c r="J1310" s="3"/>
      <c r="K1310" s="3"/>
      <c r="L1310" s="19"/>
    </row>
    <row r="1311" spans="1:12">
      <c r="A1311" s="3"/>
      <c r="B1311" t="str">
        <f>IF(_xlfn.XLOOKUP(A1311,PARAMETROS!A:A,PARAMETROS!B:B)=0,"",_xlfn.XLOOKUP(A1311,PARAMETROS!A:A,PARAMETROS!B:B))</f>
        <v/>
      </c>
      <c r="C1311" t="str">
        <f>IF(_xlfn.XLOOKUP(A1311,PARAMETROS!A:A,PARAMETROS!C:C)=0,"",_xlfn.XLOOKUP(A1311,PARAMETROS!A:A,PARAMETROS!C:C))</f>
        <v/>
      </c>
      <c r="D1311" t="str">
        <f>IF(_xlfn.XLOOKUP(A1311,PARAMETROS!A:A,PARAMETROS!D:D)=0,"",_xlfn.XLOOKUP(A1311,PARAMETROS!A:A,PARAMETROS!D:D))</f>
        <v/>
      </c>
      <c r="E1311" t="str">
        <f>IF(_xlfn.XLOOKUP('PREENCHIMENTO|LETIVAS'!A1311,PARAMETROS!A:A,PARAMETROS!I:I)=0,"",_xlfn.XLOOKUP('PREENCHIMENTO|LETIVAS'!A1311,PARAMETROS!A:A,PARAMETROS!I:I))</f>
        <v/>
      </c>
      <c r="F1311" s="3"/>
      <c r="G1311" s="3"/>
      <c r="H1311" s="3"/>
      <c r="I1311" s="3"/>
      <c r="J1311" s="3"/>
      <c r="K1311" s="3"/>
      <c r="L1311" s="19"/>
    </row>
    <row r="1312" spans="1:12">
      <c r="A1312" s="3"/>
      <c r="B1312" t="str">
        <f>IF(_xlfn.XLOOKUP(A1312,PARAMETROS!A:A,PARAMETROS!B:B)=0,"",_xlfn.XLOOKUP(A1312,PARAMETROS!A:A,PARAMETROS!B:B))</f>
        <v/>
      </c>
      <c r="C1312" t="str">
        <f>IF(_xlfn.XLOOKUP(A1312,PARAMETROS!A:A,PARAMETROS!C:C)=0,"",_xlfn.XLOOKUP(A1312,PARAMETROS!A:A,PARAMETROS!C:C))</f>
        <v/>
      </c>
      <c r="D1312" t="str">
        <f>IF(_xlfn.XLOOKUP(A1312,PARAMETROS!A:A,PARAMETROS!D:D)=0,"",_xlfn.XLOOKUP(A1312,PARAMETROS!A:A,PARAMETROS!D:D))</f>
        <v/>
      </c>
      <c r="E1312" t="str">
        <f>IF(_xlfn.XLOOKUP('PREENCHIMENTO|LETIVAS'!A1312,PARAMETROS!A:A,PARAMETROS!I:I)=0,"",_xlfn.XLOOKUP('PREENCHIMENTO|LETIVAS'!A1312,PARAMETROS!A:A,PARAMETROS!I:I))</f>
        <v/>
      </c>
      <c r="F1312" s="3"/>
      <c r="G1312" s="3"/>
      <c r="H1312" s="3"/>
      <c r="I1312" s="3"/>
      <c r="J1312" s="3"/>
      <c r="K1312" s="3"/>
      <c r="L1312" s="19"/>
    </row>
    <row r="1313" spans="1:12">
      <c r="A1313" s="3"/>
      <c r="B1313" t="str">
        <f>IF(_xlfn.XLOOKUP(A1313,PARAMETROS!A:A,PARAMETROS!B:B)=0,"",_xlfn.XLOOKUP(A1313,PARAMETROS!A:A,PARAMETROS!B:B))</f>
        <v/>
      </c>
      <c r="C1313" t="str">
        <f>IF(_xlfn.XLOOKUP(A1313,PARAMETROS!A:A,PARAMETROS!C:C)=0,"",_xlfn.XLOOKUP(A1313,PARAMETROS!A:A,PARAMETROS!C:C))</f>
        <v/>
      </c>
      <c r="D1313" t="str">
        <f>IF(_xlfn.XLOOKUP(A1313,PARAMETROS!A:A,PARAMETROS!D:D)=0,"",_xlfn.XLOOKUP(A1313,PARAMETROS!A:A,PARAMETROS!D:D))</f>
        <v/>
      </c>
      <c r="E1313" t="str">
        <f>IF(_xlfn.XLOOKUP('PREENCHIMENTO|LETIVAS'!A1313,PARAMETROS!A:A,PARAMETROS!I:I)=0,"",_xlfn.XLOOKUP('PREENCHIMENTO|LETIVAS'!A1313,PARAMETROS!A:A,PARAMETROS!I:I))</f>
        <v/>
      </c>
      <c r="F1313" s="3"/>
      <c r="G1313" s="3"/>
      <c r="H1313" s="3"/>
      <c r="I1313" s="3"/>
      <c r="J1313" s="3"/>
      <c r="K1313" s="3"/>
      <c r="L1313" s="19"/>
    </row>
    <row r="1314" spans="1:12">
      <c r="A1314" s="3"/>
      <c r="B1314" t="str">
        <f>IF(_xlfn.XLOOKUP(A1314,PARAMETROS!A:A,PARAMETROS!B:B)=0,"",_xlfn.XLOOKUP(A1314,PARAMETROS!A:A,PARAMETROS!B:B))</f>
        <v/>
      </c>
      <c r="C1314" t="str">
        <f>IF(_xlfn.XLOOKUP(A1314,PARAMETROS!A:A,PARAMETROS!C:C)=0,"",_xlfn.XLOOKUP(A1314,PARAMETROS!A:A,PARAMETROS!C:C))</f>
        <v/>
      </c>
      <c r="D1314" t="str">
        <f>IF(_xlfn.XLOOKUP(A1314,PARAMETROS!A:A,PARAMETROS!D:D)=0,"",_xlfn.XLOOKUP(A1314,PARAMETROS!A:A,PARAMETROS!D:D))</f>
        <v/>
      </c>
      <c r="E1314" t="str">
        <f>IF(_xlfn.XLOOKUP('PREENCHIMENTO|LETIVAS'!A1314,PARAMETROS!A:A,PARAMETROS!I:I)=0,"",_xlfn.XLOOKUP('PREENCHIMENTO|LETIVAS'!A1314,PARAMETROS!A:A,PARAMETROS!I:I))</f>
        <v/>
      </c>
      <c r="F1314" s="3"/>
      <c r="G1314" s="3"/>
      <c r="H1314" s="3"/>
      <c r="I1314" s="3"/>
      <c r="J1314" s="3"/>
      <c r="K1314" s="3"/>
      <c r="L1314" s="19"/>
    </row>
    <row r="1315" spans="1:12">
      <c r="A1315" s="3"/>
      <c r="B1315" t="str">
        <f>IF(_xlfn.XLOOKUP(A1315,PARAMETROS!A:A,PARAMETROS!B:B)=0,"",_xlfn.XLOOKUP(A1315,PARAMETROS!A:A,PARAMETROS!B:B))</f>
        <v/>
      </c>
      <c r="C1315" t="str">
        <f>IF(_xlfn.XLOOKUP(A1315,PARAMETROS!A:A,PARAMETROS!C:C)=0,"",_xlfn.XLOOKUP(A1315,PARAMETROS!A:A,PARAMETROS!C:C))</f>
        <v/>
      </c>
      <c r="D1315" t="str">
        <f>IF(_xlfn.XLOOKUP(A1315,PARAMETROS!A:A,PARAMETROS!D:D)=0,"",_xlfn.XLOOKUP(A1315,PARAMETROS!A:A,PARAMETROS!D:D))</f>
        <v/>
      </c>
      <c r="E1315" t="str">
        <f>IF(_xlfn.XLOOKUP('PREENCHIMENTO|LETIVAS'!A1315,PARAMETROS!A:A,PARAMETROS!I:I)=0,"",_xlfn.XLOOKUP('PREENCHIMENTO|LETIVAS'!A1315,PARAMETROS!A:A,PARAMETROS!I:I))</f>
        <v/>
      </c>
      <c r="F1315" s="3"/>
      <c r="G1315" s="3"/>
      <c r="H1315" s="3"/>
      <c r="I1315" s="3"/>
      <c r="J1315" s="3"/>
      <c r="K1315" s="3"/>
      <c r="L1315" s="19"/>
    </row>
    <row r="1316" spans="1:12">
      <c r="A1316" s="3"/>
      <c r="B1316" t="str">
        <f>IF(_xlfn.XLOOKUP(A1316,PARAMETROS!A:A,PARAMETROS!B:B)=0,"",_xlfn.XLOOKUP(A1316,PARAMETROS!A:A,PARAMETROS!B:B))</f>
        <v/>
      </c>
      <c r="C1316" t="str">
        <f>IF(_xlfn.XLOOKUP(A1316,PARAMETROS!A:A,PARAMETROS!C:C)=0,"",_xlfn.XLOOKUP(A1316,PARAMETROS!A:A,PARAMETROS!C:C))</f>
        <v/>
      </c>
      <c r="D1316" t="str">
        <f>IF(_xlfn.XLOOKUP(A1316,PARAMETROS!A:A,PARAMETROS!D:D)=0,"",_xlfn.XLOOKUP(A1316,PARAMETROS!A:A,PARAMETROS!D:D))</f>
        <v/>
      </c>
      <c r="E1316" t="str">
        <f>IF(_xlfn.XLOOKUP('PREENCHIMENTO|LETIVAS'!A1316,PARAMETROS!A:A,PARAMETROS!I:I)=0,"",_xlfn.XLOOKUP('PREENCHIMENTO|LETIVAS'!A1316,PARAMETROS!A:A,PARAMETROS!I:I))</f>
        <v/>
      </c>
      <c r="F1316" s="3"/>
      <c r="G1316" s="3"/>
      <c r="H1316" s="3"/>
      <c r="I1316" s="3"/>
      <c r="J1316" s="3"/>
      <c r="K1316" s="3"/>
      <c r="L1316" s="19"/>
    </row>
    <row r="1317" spans="1:12">
      <c r="A1317" s="3"/>
      <c r="B1317" t="str">
        <f>IF(_xlfn.XLOOKUP(A1317,PARAMETROS!A:A,PARAMETROS!B:B)=0,"",_xlfn.XLOOKUP(A1317,PARAMETROS!A:A,PARAMETROS!B:B))</f>
        <v/>
      </c>
      <c r="C1317" t="str">
        <f>IF(_xlfn.XLOOKUP(A1317,PARAMETROS!A:A,PARAMETROS!C:C)=0,"",_xlfn.XLOOKUP(A1317,PARAMETROS!A:A,PARAMETROS!C:C))</f>
        <v/>
      </c>
      <c r="D1317" t="str">
        <f>IF(_xlfn.XLOOKUP(A1317,PARAMETROS!A:A,PARAMETROS!D:D)=0,"",_xlfn.XLOOKUP(A1317,PARAMETROS!A:A,PARAMETROS!D:D))</f>
        <v/>
      </c>
      <c r="E1317" t="str">
        <f>IF(_xlfn.XLOOKUP('PREENCHIMENTO|LETIVAS'!A1317,PARAMETROS!A:A,PARAMETROS!I:I)=0,"",_xlfn.XLOOKUP('PREENCHIMENTO|LETIVAS'!A1317,PARAMETROS!A:A,PARAMETROS!I:I))</f>
        <v/>
      </c>
      <c r="F1317" s="3"/>
      <c r="G1317" s="3"/>
      <c r="H1317" s="3"/>
      <c r="I1317" s="3"/>
      <c r="J1317" s="3"/>
      <c r="K1317" s="3"/>
      <c r="L1317" s="19"/>
    </row>
    <row r="1318" spans="1:12">
      <c r="A1318" s="3"/>
      <c r="B1318" t="str">
        <f>IF(_xlfn.XLOOKUP(A1318,PARAMETROS!A:A,PARAMETROS!B:B)=0,"",_xlfn.XLOOKUP(A1318,PARAMETROS!A:A,PARAMETROS!B:B))</f>
        <v/>
      </c>
      <c r="C1318" t="str">
        <f>IF(_xlfn.XLOOKUP(A1318,PARAMETROS!A:A,PARAMETROS!C:C)=0,"",_xlfn.XLOOKUP(A1318,PARAMETROS!A:A,PARAMETROS!C:C))</f>
        <v/>
      </c>
      <c r="D1318" t="str">
        <f>IF(_xlfn.XLOOKUP(A1318,PARAMETROS!A:A,PARAMETROS!D:D)=0,"",_xlfn.XLOOKUP(A1318,PARAMETROS!A:A,PARAMETROS!D:D))</f>
        <v/>
      </c>
      <c r="E1318" t="str">
        <f>IF(_xlfn.XLOOKUP('PREENCHIMENTO|LETIVAS'!A1318,PARAMETROS!A:A,PARAMETROS!I:I)=0,"",_xlfn.XLOOKUP('PREENCHIMENTO|LETIVAS'!A1318,PARAMETROS!A:A,PARAMETROS!I:I))</f>
        <v/>
      </c>
      <c r="F1318" s="3"/>
      <c r="G1318" s="3"/>
      <c r="H1318" s="3"/>
      <c r="I1318" s="3"/>
      <c r="J1318" s="3"/>
      <c r="K1318" s="3"/>
      <c r="L1318" s="19"/>
    </row>
    <row r="1319" spans="1:12">
      <c r="A1319" s="3"/>
      <c r="B1319" t="str">
        <f>IF(_xlfn.XLOOKUP(A1319,PARAMETROS!A:A,PARAMETROS!B:B)=0,"",_xlfn.XLOOKUP(A1319,PARAMETROS!A:A,PARAMETROS!B:B))</f>
        <v/>
      </c>
      <c r="C1319" t="str">
        <f>IF(_xlfn.XLOOKUP(A1319,PARAMETROS!A:A,PARAMETROS!C:C)=0,"",_xlfn.XLOOKUP(A1319,PARAMETROS!A:A,PARAMETROS!C:C))</f>
        <v/>
      </c>
      <c r="D1319" t="str">
        <f>IF(_xlfn.XLOOKUP(A1319,PARAMETROS!A:A,PARAMETROS!D:D)=0,"",_xlfn.XLOOKUP(A1319,PARAMETROS!A:A,PARAMETROS!D:D))</f>
        <v/>
      </c>
      <c r="E1319" t="str">
        <f>IF(_xlfn.XLOOKUP('PREENCHIMENTO|LETIVAS'!A1319,PARAMETROS!A:A,PARAMETROS!I:I)=0,"",_xlfn.XLOOKUP('PREENCHIMENTO|LETIVAS'!A1319,PARAMETROS!A:A,PARAMETROS!I:I))</f>
        <v/>
      </c>
      <c r="F1319" s="3"/>
      <c r="G1319" s="3"/>
      <c r="H1319" s="3"/>
      <c r="I1319" s="3"/>
      <c r="J1319" s="3"/>
      <c r="K1319" s="3"/>
      <c r="L1319" s="19"/>
    </row>
    <row r="1320" spans="1:12">
      <c r="A1320" s="3"/>
      <c r="B1320" t="str">
        <f>IF(_xlfn.XLOOKUP(A1320,PARAMETROS!A:A,PARAMETROS!B:B)=0,"",_xlfn.XLOOKUP(A1320,PARAMETROS!A:A,PARAMETROS!B:B))</f>
        <v/>
      </c>
      <c r="C1320" t="str">
        <f>IF(_xlfn.XLOOKUP(A1320,PARAMETROS!A:A,PARAMETROS!C:C)=0,"",_xlfn.XLOOKUP(A1320,PARAMETROS!A:A,PARAMETROS!C:C))</f>
        <v/>
      </c>
      <c r="D1320" t="str">
        <f>IF(_xlfn.XLOOKUP(A1320,PARAMETROS!A:A,PARAMETROS!D:D)=0,"",_xlfn.XLOOKUP(A1320,PARAMETROS!A:A,PARAMETROS!D:D))</f>
        <v/>
      </c>
      <c r="E1320" t="str">
        <f>IF(_xlfn.XLOOKUP('PREENCHIMENTO|LETIVAS'!A1320,PARAMETROS!A:A,PARAMETROS!I:I)=0,"",_xlfn.XLOOKUP('PREENCHIMENTO|LETIVAS'!A1320,PARAMETROS!A:A,PARAMETROS!I:I))</f>
        <v/>
      </c>
      <c r="F1320" s="3"/>
      <c r="G1320" s="3"/>
      <c r="H1320" s="3"/>
      <c r="I1320" s="3"/>
      <c r="J1320" s="3"/>
      <c r="K1320" s="3"/>
      <c r="L1320" s="19"/>
    </row>
    <row r="1321" spans="1:12">
      <c r="A1321" s="3"/>
      <c r="B1321" t="str">
        <f>IF(_xlfn.XLOOKUP(A1321,PARAMETROS!A:A,PARAMETROS!B:B)=0,"",_xlfn.XLOOKUP(A1321,PARAMETROS!A:A,PARAMETROS!B:B))</f>
        <v/>
      </c>
      <c r="C1321" t="str">
        <f>IF(_xlfn.XLOOKUP(A1321,PARAMETROS!A:A,PARAMETROS!C:C)=0,"",_xlfn.XLOOKUP(A1321,PARAMETROS!A:A,PARAMETROS!C:C))</f>
        <v/>
      </c>
      <c r="D1321" t="str">
        <f>IF(_xlfn.XLOOKUP(A1321,PARAMETROS!A:A,PARAMETROS!D:D)=0,"",_xlfn.XLOOKUP(A1321,PARAMETROS!A:A,PARAMETROS!D:D))</f>
        <v/>
      </c>
      <c r="E1321" t="str">
        <f>IF(_xlfn.XLOOKUP('PREENCHIMENTO|LETIVAS'!A1321,PARAMETROS!A:A,PARAMETROS!I:I)=0,"",_xlfn.XLOOKUP('PREENCHIMENTO|LETIVAS'!A1321,PARAMETROS!A:A,PARAMETROS!I:I))</f>
        <v/>
      </c>
      <c r="F1321" s="3"/>
      <c r="G1321" s="3"/>
      <c r="H1321" s="3"/>
      <c r="I1321" s="3"/>
      <c r="J1321" s="3"/>
      <c r="K1321" s="3"/>
      <c r="L1321" s="19"/>
    </row>
    <row r="1322" spans="1:12">
      <c r="A1322" s="3"/>
      <c r="B1322" t="str">
        <f>IF(_xlfn.XLOOKUP(A1322,PARAMETROS!A:A,PARAMETROS!B:B)=0,"",_xlfn.XLOOKUP(A1322,PARAMETROS!A:A,PARAMETROS!B:B))</f>
        <v/>
      </c>
      <c r="C1322" t="str">
        <f>IF(_xlfn.XLOOKUP(A1322,PARAMETROS!A:A,PARAMETROS!C:C)=0,"",_xlfn.XLOOKUP(A1322,PARAMETROS!A:A,PARAMETROS!C:C))</f>
        <v/>
      </c>
      <c r="D1322" t="str">
        <f>IF(_xlfn.XLOOKUP(A1322,PARAMETROS!A:A,PARAMETROS!D:D)=0,"",_xlfn.XLOOKUP(A1322,PARAMETROS!A:A,PARAMETROS!D:D))</f>
        <v/>
      </c>
      <c r="E1322" t="str">
        <f>IF(_xlfn.XLOOKUP('PREENCHIMENTO|LETIVAS'!A1322,PARAMETROS!A:A,PARAMETROS!I:I)=0,"",_xlfn.XLOOKUP('PREENCHIMENTO|LETIVAS'!A1322,PARAMETROS!A:A,PARAMETROS!I:I))</f>
        <v/>
      </c>
      <c r="F1322" s="3"/>
      <c r="G1322" s="3"/>
      <c r="H1322" s="3"/>
      <c r="I1322" s="3"/>
      <c r="J1322" s="3"/>
      <c r="K1322" s="3"/>
      <c r="L1322" s="19"/>
    </row>
    <row r="1323" spans="1:12">
      <c r="A1323" s="3"/>
      <c r="B1323" t="str">
        <f>IF(_xlfn.XLOOKUP(A1323,PARAMETROS!A:A,PARAMETROS!B:B)=0,"",_xlfn.XLOOKUP(A1323,PARAMETROS!A:A,PARAMETROS!B:B))</f>
        <v/>
      </c>
      <c r="C1323" t="str">
        <f>IF(_xlfn.XLOOKUP(A1323,PARAMETROS!A:A,PARAMETROS!C:C)=0,"",_xlfn.XLOOKUP(A1323,PARAMETROS!A:A,PARAMETROS!C:C))</f>
        <v/>
      </c>
      <c r="D1323" t="str">
        <f>IF(_xlfn.XLOOKUP(A1323,PARAMETROS!A:A,PARAMETROS!D:D)=0,"",_xlfn.XLOOKUP(A1323,PARAMETROS!A:A,PARAMETROS!D:D))</f>
        <v/>
      </c>
      <c r="E1323" t="str">
        <f>IF(_xlfn.XLOOKUP('PREENCHIMENTO|LETIVAS'!A1323,PARAMETROS!A:A,PARAMETROS!I:I)=0,"",_xlfn.XLOOKUP('PREENCHIMENTO|LETIVAS'!A1323,PARAMETROS!A:A,PARAMETROS!I:I))</f>
        <v/>
      </c>
      <c r="F1323" s="3"/>
      <c r="G1323" s="3"/>
      <c r="H1323" s="3"/>
      <c r="I1323" s="3"/>
      <c r="J1323" s="3"/>
      <c r="K1323" s="3"/>
      <c r="L1323" s="19"/>
    </row>
    <row r="1324" spans="1:12">
      <c r="A1324" s="3"/>
      <c r="B1324" t="str">
        <f>IF(_xlfn.XLOOKUP(A1324,PARAMETROS!A:A,PARAMETROS!B:B)=0,"",_xlfn.XLOOKUP(A1324,PARAMETROS!A:A,PARAMETROS!B:B))</f>
        <v/>
      </c>
      <c r="C1324" t="str">
        <f>IF(_xlfn.XLOOKUP(A1324,PARAMETROS!A:A,PARAMETROS!C:C)=0,"",_xlfn.XLOOKUP(A1324,PARAMETROS!A:A,PARAMETROS!C:C))</f>
        <v/>
      </c>
      <c r="D1324" t="str">
        <f>IF(_xlfn.XLOOKUP(A1324,PARAMETROS!A:A,PARAMETROS!D:D)=0,"",_xlfn.XLOOKUP(A1324,PARAMETROS!A:A,PARAMETROS!D:D))</f>
        <v/>
      </c>
      <c r="E1324" t="str">
        <f>IF(_xlfn.XLOOKUP('PREENCHIMENTO|LETIVAS'!A1324,PARAMETROS!A:A,PARAMETROS!I:I)=0,"",_xlfn.XLOOKUP('PREENCHIMENTO|LETIVAS'!A1324,PARAMETROS!A:A,PARAMETROS!I:I))</f>
        <v/>
      </c>
      <c r="F1324" s="3"/>
      <c r="G1324" s="3"/>
      <c r="H1324" s="3"/>
      <c r="I1324" s="3"/>
      <c r="J1324" s="3"/>
      <c r="K1324" s="3"/>
      <c r="L1324" s="19"/>
    </row>
    <row r="1325" spans="1:12">
      <c r="A1325" s="3"/>
      <c r="B1325" t="str">
        <f>IF(_xlfn.XLOOKUP(A1325,PARAMETROS!A:A,PARAMETROS!B:B)=0,"",_xlfn.XLOOKUP(A1325,PARAMETROS!A:A,PARAMETROS!B:B))</f>
        <v/>
      </c>
      <c r="C1325" t="str">
        <f>IF(_xlfn.XLOOKUP(A1325,PARAMETROS!A:A,PARAMETROS!C:C)=0,"",_xlfn.XLOOKUP(A1325,PARAMETROS!A:A,PARAMETROS!C:C))</f>
        <v/>
      </c>
      <c r="D1325" t="str">
        <f>IF(_xlfn.XLOOKUP(A1325,PARAMETROS!A:A,PARAMETROS!D:D)=0,"",_xlfn.XLOOKUP(A1325,PARAMETROS!A:A,PARAMETROS!D:D))</f>
        <v/>
      </c>
      <c r="E1325" t="str">
        <f>IF(_xlfn.XLOOKUP('PREENCHIMENTO|LETIVAS'!A1325,PARAMETROS!A:A,PARAMETROS!I:I)=0,"",_xlfn.XLOOKUP('PREENCHIMENTO|LETIVAS'!A1325,PARAMETROS!A:A,PARAMETROS!I:I))</f>
        <v/>
      </c>
      <c r="F1325" s="3"/>
      <c r="G1325" s="3"/>
      <c r="H1325" s="3"/>
      <c r="I1325" s="3"/>
      <c r="J1325" s="3"/>
      <c r="K1325" s="3"/>
      <c r="L1325" s="19"/>
    </row>
    <row r="1326" spans="1:12">
      <c r="A1326" s="3"/>
      <c r="B1326" t="str">
        <f>IF(_xlfn.XLOOKUP(A1326,PARAMETROS!A:A,PARAMETROS!B:B)=0,"",_xlfn.XLOOKUP(A1326,PARAMETROS!A:A,PARAMETROS!B:B))</f>
        <v/>
      </c>
      <c r="C1326" t="str">
        <f>IF(_xlfn.XLOOKUP(A1326,PARAMETROS!A:A,PARAMETROS!C:C)=0,"",_xlfn.XLOOKUP(A1326,PARAMETROS!A:A,PARAMETROS!C:C))</f>
        <v/>
      </c>
      <c r="D1326" t="str">
        <f>IF(_xlfn.XLOOKUP(A1326,PARAMETROS!A:A,PARAMETROS!D:D)=0,"",_xlfn.XLOOKUP(A1326,PARAMETROS!A:A,PARAMETROS!D:D))</f>
        <v/>
      </c>
      <c r="E1326" t="str">
        <f>IF(_xlfn.XLOOKUP('PREENCHIMENTO|LETIVAS'!A1326,PARAMETROS!A:A,PARAMETROS!I:I)=0,"",_xlfn.XLOOKUP('PREENCHIMENTO|LETIVAS'!A1326,PARAMETROS!A:A,PARAMETROS!I:I))</f>
        <v/>
      </c>
      <c r="F1326" s="3"/>
      <c r="G1326" s="3"/>
      <c r="H1326" s="3"/>
      <c r="I1326" s="3"/>
      <c r="J1326" s="3"/>
      <c r="K1326" s="3"/>
      <c r="L1326" s="19"/>
    </row>
    <row r="1327" spans="1:12">
      <c r="A1327" s="3"/>
      <c r="B1327" t="str">
        <f>IF(_xlfn.XLOOKUP(A1327,PARAMETROS!A:A,PARAMETROS!B:B)=0,"",_xlfn.XLOOKUP(A1327,PARAMETROS!A:A,PARAMETROS!B:B))</f>
        <v/>
      </c>
      <c r="C1327" t="str">
        <f>IF(_xlfn.XLOOKUP(A1327,PARAMETROS!A:A,PARAMETROS!C:C)=0,"",_xlfn.XLOOKUP(A1327,PARAMETROS!A:A,PARAMETROS!C:C))</f>
        <v/>
      </c>
      <c r="D1327" t="str">
        <f>IF(_xlfn.XLOOKUP(A1327,PARAMETROS!A:A,PARAMETROS!D:D)=0,"",_xlfn.XLOOKUP(A1327,PARAMETROS!A:A,PARAMETROS!D:D))</f>
        <v/>
      </c>
      <c r="E1327" t="str">
        <f>IF(_xlfn.XLOOKUP('PREENCHIMENTO|LETIVAS'!A1327,PARAMETROS!A:A,PARAMETROS!I:I)=0,"",_xlfn.XLOOKUP('PREENCHIMENTO|LETIVAS'!A1327,PARAMETROS!A:A,PARAMETROS!I:I))</f>
        <v/>
      </c>
      <c r="F1327" s="3"/>
      <c r="G1327" s="3"/>
      <c r="H1327" s="3"/>
      <c r="I1327" s="3"/>
      <c r="J1327" s="3"/>
      <c r="K1327" s="3"/>
      <c r="L1327" s="19"/>
    </row>
    <row r="1328" spans="1:12">
      <c r="A1328" s="3"/>
      <c r="B1328" t="str">
        <f>IF(_xlfn.XLOOKUP(A1328,PARAMETROS!A:A,PARAMETROS!B:B)=0,"",_xlfn.XLOOKUP(A1328,PARAMETROS!A:A,PARAMETROS!B:B))</f>
        <v/>
      </c>
      <c r="C1328" t="str">
        <f>IF(_xlfn.XLOOKUP(A1328,PARAMETROS!A:A,PARAMETROS!C:C)=0,"",_xlfn.XLOOKUP(A1328,PARAMETROS!A:A,PARAMETROS!C:C))</f>
        <v/>
      </c>
      <c r="D1328" t="str">
        <f>IF(_xlfn.XLOOKUP(A1328,PARAMETROS!A:A,PARAMETROS!D:D)=0,"",_xlfn.XLOOKUP(A1328,PARAMETROS!A:A,PARAMETROS!D:D))</f>
        <v/>
      </c>
      <c r="E1328" t="str">
        <f>IF(_xlfn.XLOOKUP('PREENCHIMENTO|LETIVAS'!A1328,PARAMETROS!A:A,PARAMETROS!I:I)=0,"",_xlfn.XLOOKUP('PREENCHIMENTO|LETIVAS'!A1328,PARAMETROS!A:A,PARAMETROS!I:I))</f>
        <v/>
      </c>
      <c r="F1328" s="3"/>
      <c r="G1328" s="3"/>
      <c r="H1328" s="3"/>
      <c r="I1328" s="3"/>
      <c r="J1328" s="3"/>
      <c r="K1328" s="3"/>
      <c r="L1328" s="19"/>
    </row>
    <row r="1329" spans="1:12">
      <c r="A1329" s="3"/>
      <c r="B1329" t="str">
        <f>IF(_xlfn.XLOOKUP(A1329,PARAMETROS!A:A,PARAMETROS!B:B)=0,"",_xlfn.XLOOKUP(A1329,PARAMETROS!A:A,PARAMETROS!B:B))</f>
        <v/>
      </c>
      <c r="C1329" t="str">
        <f>IF(_xlfn.XLOOKUP(A1329,PARAMETROS!A:A,PARAMETROS!C:C)=0,"",_xlfn.XLOOKUP(A1329,PARAMETROS!A:A,PARAMETROS!C:C))</f>
        <v/>
      </c>
      <c r="D1329" t="str">
        <f>IF(_xlfn.XLOOKUP(A1329,PARAMETROS!A:A,PARAMETROS!D:D)=0,"",_xlfn.XLOOKUP(A1329,PARAMETROS!A:A,PARAMETROS!D:D))</f>
        <v/>
      </c>
      <c r="E1329" t="str">
        <f>IF(_xlfn.XLOOKUP('PREENCHIMENTO|LETIVAS'!A1329,PARAMETROS!A:A,PARAMETROS!I:I)=0,"",_xlfn.XLOOKUP('PREENCHIMENTO|LETIVAS'!A1329,PARAMETROS!A:A,PARAMETROS!I:I))</f>
        <v/>
      </c>
      <c r="F1329" s="3"/>
      <c r="G1329" s="3"/>
      <c r="H1329" s="3"/>
      <c r="I1329" s="3"/>
      <c r="J1329" s="3"/>
      <c r="K1329" s="3"/>
      <c r="L1329" s="19"/>
    </row>
    <row r="1330" spans="1:12">
      <c r="A1330" s="3"/>
      <c r="B1330" t="str">
        <f>IF(_xlfn.XLOOKUP(A1330,PARAMETROS!A:A,PARAMETROS!B:B)=0,"",_xlfn.XLOOKUP(A1330,PARAMETROS!A:A,PARAMETROS!B:B))</f>
        <v/>
      </c>
      <c r="C1330" t="str">
        <f>IF(_xlfn.XLOOKUP(A1330,PARAMETROS!A:A,PARAMETROS!C:C)=0,"",_xlfn.XLOOKUP(A1330,PARAMETROS!A:A,PARAMETROS!C:C))</f>
        <v/>
      </c>
      <c r="D1330" t="str">
        <f>IF(_xlfn.XLOOKUP(A1330,PARAMETROS!A:A,PARAMETROS!D:D)=0,"",_xlfn.XLOOKUP(A1330,PARAMETROS!A:A,PARAMETROS!D:D))</f>
        <v/>
      </c>
      <c r="E1330" t="str">
        <f>IF(_xlfn.XLOOKUP('PREENCHIMENTO|LETIVAS'!A1330,PARAMETROS!A:A,PARAMETROS!I:I)=0,"",_xlfn.XLOOKUP('PREENCHIMENTO|LETIVAS'!A1330,PARAMETROS!A:A,PARAMETROS!I:I))</f>
        <v/>
      </c>
      <c r="F1330" s="3"/>
      <c r="G1330" s="3"/>
      <c r="H1330" s="3"/>
      <c r="I1330" s="3"/>
      <c r="J1330" s="3"/>
      <c r="K1330" s="3"/>
      <c r="L1330" s="19"/>
    </row>
    <row r="1331" spans="1:12">
      <c r="A1331" s="3"/>
      <c r="B1331" t="str">
        <f>IF(_xlfn.XLOOKUP(A1331,PARAMETROS!A:A,PARAMETROS!B:B)=0,"",_xlfn.XLOOKUP(A1331,PARAMETROS!A:A,PARAMETROS!B:B))</f>
        <v/>
      </c>
      <c r="C1331" t="str">
        <f>IF(_xlfn.XLOOKUP(A1331,PARAMETROS!A:A,PARAMETROS!C:C)=0,"",_xlfn.XLOOKUP(A1331,PARAMETROS!A:A,PARAMETROS!C:C))</f>
        <v/>
      </c>
      <c r="D1331" t="str">
        <f>IF(_xlfn.XLOOKUP(A1331,PARAMETROS!A:A,PARAMETROS!D:D)=0,"",_xlfn.XLOOKUP(A1331,PARAMETROS!A:A,PARAMETROS!D:D))</f>
        <v/>
      </c>
      <c r="E1331" t="str">
        <f>IF(_xlfn.XLOOKUP('PREENCHIMENTO|LETIVAS'!A1331,PARAMETROS!A:A,PARAMETROS!I:I)=0,"",_xlfn.XLOOKUP('PREENCHIMENTO|LETIVAS'!A1331,PARAMETROS!A:A,PARAMETROS!I:I))</f>
        <v/>
      </c>
      <c r="F1331" s="3"/>
      <c r="G1331" s="3"/>
      <c r="H1331" s="3"/>
      <c r="I1331" s="3"/>
      <c r="J1331" s="3"/>
      <c r="K1331" s="3"/>
      <c r="L1331" s="19"/>
    </row>
    <row r="1332" spans="1:12">
      <c r="A1332" s="3"/>
      <c r="B1332" t="str">
        <f>IF(_xlfn.XLOOKUP(A1332,PARAMETROS!A:A,PARAMETROS!B:B)=0,"",_xlfn.XLOOKUP(A1332,PARAMETROS!A:A,PARAMETROS!B:B))</f>
        <v/>
      </c>
      <c r="C1332" t="str">
        <f>IF(_xlfn.XLOOKUP(A1332,PARAMETROS!A:A,PARAMETROS!C:C)=0,"",_xlfn.XLOOKUP(A1332,PARAMETROS!A:A,PARAMETROS!C:C))</f>
        <v/>
      </c>
      <c r="D1332" t="str">
        <f>IF(_xlfn.XLOOKUP(A1332,PARAMETROS!A:A,PARAMETROS!D:D)=0,"",_xlfn.XLOOKUP(A1332,PARAMETROS!A:A,PARAMETROS!D:D))</f>
        <v/>
      </c>
      <c r="E1332" t="str">
        <f>IF(_xlfn.XLOOKUP('PREENCHIMENTO|LETIVAS'!A1332,PARAMETROS!A:A,PARAMETROS!I:I)=0,"",_xlfn.XLOOKUP('PREENCHIMENTO|LETIVAS'!A1332,PARAMETROS!A:A,PARAMETROS!I:I))</f>
        <v/>
      </c>
      <c r="F1332" s="3"/>
      <c r="G1332" s="3"/>
      <c r="H1332" s="3"/>
      <c r="I1332" s="3"/>
      <c r="J1332" s="3"/>
      <c r="K1332" s="3"/>
      <c r="L1332" s="19"/>
    </row>
    <row r="1333" spans="1:12">
      <c r="A1333" s="3"/>
      <c r="B1333" t="str">
        <f>IF(_xlfn.XLOOKUP(A1333,PARAMETROS!A:A,PARAMETROS!B:B)=0,"",_xlfn.XLOOKUP(A1333,PARAMETROS!A:A,PARAMETROS!B:B))</f>
        <v/>
      </c>
      <c r="C1333" t="str">
        <f>IF(_xlfn.XLOOKUP(A1333,PARAMETROS!A:A,PARAMETROS!C:C)=0,"",_xlfn.XLOOKUP(A1333,PARAMETROS!A:A,PARAMETROS!C:C))</f>
        <v/>
      </c>
      <c r="D1333" t="str">
        <f>IF(_xlfn.XLOOKUP(A1333,PARAMETROS!A:A,PARAMETROS!D:D)=0,"",_xlfn.XLOOKUP(A1333,PARAMETROS!A:A,PARAMETROS!D:D))</f>
        <v/>
      </c>
      <c r="E1333" t="str">
        <f>IF(_xlfn.XLOOKUP('PREENCHIMENTO|LETIVAS'!A1333,PARAMETROS!A:A,PARAMETROS!I:I)=0,"",_xlfn.XLOOKUP('PREENCHIMENTO|LETIVAS'!A1333,PARAMETROS!A:A,PARAMETROS!I:I))</f>
        <v/>
      </c>
      <c r="F1333" s="3"/>
      <c r="G1333" s="3"/>
      <c r="H1333" s="3"/>
      <c r="I1333" s="3"/>
      <c r="J1333" s="3"/>
      <c r="K1333" s="3"/>
      <c r="L1333" s="19"/>
    </row>
    <row r="1334" spans="1:12">
      <c r="A1334" s="3"/>
      <c r="B1334" t="str">
        <f>IF(_xlfn.XLOOKUP(A1334,PARAMETROS!A:A,PARAMETROS!B:B)=0,"",_xlfn.XLOOKUP(A1334,PARAMETROS!A:A,PARAMETROS!B:B))</f>
        <v/>
      </c>
      <c r="C1334" t="str">
        <f>IF(_xlfn.XLOOKUP(A1334,PARAMETROS!A:A,PARAMETROS!C:C)=0,"",_xlfn.XLOOKUP(A1334,PARAMETROS!A:A,PARAMETROS!C:C))</f>
        <v/>
      </c>
      <c r="D1334" t="str">
        <f>IF(_xlfn.XLOOKUP(A1334,PARAMETROS!A:A,PARAMETROS!D:D)=0,"",_xlfn.XLOOKUP(A1334,PARAMETROS!A:A,PARAMETROS!D:D))</f>
        <v/>
      </c>
      <c r="E1334" t="str">
        <f>IF(_xlfn.XLOOKUP('PREENCHIMENTO|LETIVAS'!A1334,PARAMETROS!A:A,PARAMETROS!I:I)=0,"",_xlfn.XLOOKUP('PREENCHIMENTO|LETIVAS'!A1334,PARAMETROS!A:A,PARAMETROS!I:I))</f>
        <v/>
      </c>
      <c r="F1334" s="3"/>
      <c r="G1334" s="3"/>
      <c r="H1334" s="3"/>
      <c r="I1334" s="3"/>
      <c r="J1334" s="3"/>
      <c r="K1334" s="3"/>
      <c r="L1334" s="19"/>
    </row>
    <row r="1335" spans="1:12">
      <c r="A1335" s="3"/>
      <c r="B1335" t="str">
        <f>IF(_xlfn.XLOOKUP(A1335,PARAMETROS!A:A,PARAMETROS!B:B)=0,"",_xlfn.XLOOKUP(A1335,PARAMETROS!A:A,PARAMETROS!B:B))</f>
        <v/>
      </c>
      <c r="C1335" t="str">
        <f>IF(_xlfn.XLOOKUP(A1335,PARAMETROS!A:A,PARAMETROS!C:C)=0,"",_xlfn.XLOOKUP(A1335,PARAMETROS!A:A,PARAMETROS!C:C))</f>
        <v/>
      </c>
      <c r="D1335" t="str">
        <f>IF(_xlfn.XLOOKUP(A1335,PARAMETROS!A:A,PARAMETROS!D:D)=0,"",_xlfn.XLOOKUP(A1335,PARAMETROS!A:A,PARAMETROS!D:D))</f>
        <v/>
      </c>
      <c r="E1335" t="str">
        <f>IF(_xlfn.XLOOKUP('PREENCHIMENTO|LETIVAS'!A1335,PARAMETROS!A:A,PARAMETROS!I:I)=0,"",_xlfn.XLOOKUP('PREENCHIMENTO|LETIVAS'!A1335,PARAMETROS!A:A,PARAMETROS!I:I))</f>
        <v/>
      </c>
      <c r="F1335" s="3"/>
      <c r="G1335" s="3"/>
      <c r="H1335" s="3"/>
      <c r="I1335" s="3"/>
      <c r="J1335" s="3"/>
      <c r="K1335" s="3"/>
      <c r="L1335" s="19"/>
    </row>
    <row r="1336" spans="1:12">
      <c r="A1336" s="3"/>
      <c r="B1336" t="str">
        <f>IF(_xlfn.XLOOKUP(A1336,PARAMETROS!A:A,PARAMETROS!B:B)=0,"",_xlfn.XLOOKUP(A1336,PARAMETROS!A:A,PARAMETROS!B:B))</f>
        <v/>
      </c>
      <c r="C1336" t="str">
        <f>IF(_xlfn.XLOOKUP(A1336,PARAMETROS!A:A,PARAMETROS!C:C)=0,"",_xlfn.XLOOKUP(A1336,PARAMETROS!A:A,PARAMETROS!C:C))</f>
        <v/>
      </c>
      <c r="D1336" t="str">
        <f>IF(_xlfn.XLOOKUP(A1336,PARAMETROS!A:A,PARAMETROS!D:D)=0,"",_xlfn.XLOOKUP(A1336,PARAMETROS!A:A,PARAMETROS!D:D))</f>
        <v/>
      </c>
      <c r="E1336" t="str">
        <f>IF(_xlfn.XLOOKUP('PREENCHIMENTO|LETIVAS'!A1336,PARAMETROS!A:A,PARAMETROS!I:I)=0,"",_xlfn.XLOOKUP('PREENCHIMENTO|LETIVAS'!A1336,PARAMETROS!A:A,PARAMETROS!I:I))</f>
        <v/>
      </c>
      <c r="F1336" s="3"/>
      <c r="G1336" s="3"/>
      <c r="H1336" s="3"/>
      <c r="I1336" s="3"/>
      <c r="J1336" s="3"/>
      <c r="K1336" s="3"/>
      <c r="L1336" s="19"/>
    </row>
    <row r="1337" spans="1:12">
      <c r="A1337" s="3"/>
      <c r="B1337" t="str">
        <f>IF(_xlfn.XLOOKUP(A1337,PARAMETROS!A:A,PARAMETROS!B:B)=0,"",_xlfn.XLOOKUP(A1337,PARAMETROS!A:A,PARAMETROS!B:B))</f>
        <v/>
      </c>
      <c r="C1337" t="str">
        <f>IF(_xlfn.XLOOKUP(A1337,PARAMETROS!A:A,PARAMETROS!C:C)=0,"",_xlfn.XLOOKUP(A1337,PARAMETROS!A:A,PARAMETROS!C:C))</f>
        <v/>
      </c>
      <c r="D1337" t="str">
        <f>IF(_xlfn.XLOOKUP(A1337,PARAMETROS!A:A,PARAMETROS!D:D)=0,"",_xlfn.XLOOKUP(A1337,PARAMETROS!A:A,PARAMETROS!D:D))</f>
        <v/>
      </c>
      <c r="E1337" t="str">
        <f>IF(_xlfn.XLOOKUP('PREENCHIMENTO|LETIVAS'!A1337,PARAMETROS!A:A,PARAMETROS!I:I)=0,"",_xlfn.XLOOKUP('PREENCHIMENTO|LETIVAS'!A1337,PARAMETROS!A:A,PARAMETROS!I:I))</f>
        <v/>
      </c>
      <c r="F1337" s="3"/>
      <c r="G1337" s="3"/>
      <c r="H1337" s="3"/>
      <c r="I1337" s="3"/>
      <c r="J1337" s="3"/>
      <c r="K1337" s="3"/>
      <c r="L1337" s="19"/>
    </row>
    <row r="1338" spans="1:12">
      <c r="A1338" s="3"/>
      <c r="B1338" t="str">
        <f>IF(_xlfn.XLOOKUP(A1338,PARAMETROS!A:A,PARAMETROS!B:B)=0,"",_xlfn.XLOOKUP(A1338,PARAMETROS!A:A,PARAMETROS!B:B))</f>
        <v/>
      </c>
      <c r="C1338" t="str">
        <f>IF(_xlfn.XLOOKUP(A1338,PARAMETROS!A:A,PARAMETROS!C:C)=0,"",_xlfn.XLOOKUP(A1338,PARAMETROS!A:A,PARAMETROS!C:C))</f>
        <v/>
      </c>
      <c r="D1338" t="str">
        <f>IF(_xlfn.XLOOKUP(A1338,PARAMETROS!A:A,PARAMETROS!D:D)=0,"",_xlfn.XLOOKUP(A1338,PARAMETROS!A:A,PARAMETROS!D:D))</f>
        <v/>
      </c>
      <c r="E1338" t="str">
        <f>IF(_xlfn.XLOOKUP('PREENCHIMENTO|LETIVAS'!A1338,PARAMETROS!A:A,PARAMETROS!I:I)=0,"",_xlfn.XLOOKUP('PREENCHIMENTO|LETIVAS'!A1338,PARAMETROS!A:A,PARAMETROS!I:I))</f>
        <v/>
      </c>
      <c r="F1338" s="3"/>
      <c r="G1338" s="3"/>
      <c r="H1338" s="3"/>
      <c r="I1338" s="3"/>
      <c r="J1338" s="3"/>
      <c r="K1338" s="3"/>
      <c r="L1338" s="19"/>
    </row>
    <row r="1339" spans="1:12">
      <c r="A1339" s="3"/>
      <c r="B1339" t="str">
        <f>IF(_xlfn.XLOOKUP(A1339,PARAMETROS!A:A,PARAMETROS!B:B)=0,"",_xlfn.XLOOKUP(A1339,PARAMETROS!A:A,PARAMETROS!B:B))</f>
        <v/>
      </c>
      <c r="C1339" t="str">
        <f>IF(_xlfn.XLOOKUP(A1339,PARAMETROS!A:A,PARAMETROS!C:C)=0,"",_xlfn.XLOOKUP(A1339,PARAMETROS!A:A,PARAMETROS!C:C))</f>
        <v/>
      </c>
      <c r="D1339" t="str">
        <f>IF(_xlfn.XLOOKUP(A1339,PARAMETROS!A:A,PARAMETROS!D:D)=0,"",_xlfn.XLOOKUP(A1339,PARAMETROS!A:A,PARAMETROS!D:D))</f>
        <v/>
      </c>
      <c r="E1339" t="str">
        <f>IF(_xlfn.XLOOKUP('PREENCHIMENTO|LETIVAS'!A1339,PARAMETROS!A:A,PARAMETROS!I:I)=0,"",_xlfn.XLOOKUP('PREENCHIMENTO|LETIVAS'!A1339,PARAMETROS!A:A,PARAMETROS!I:I))</f>
        <v/>
      </c>
      <c r="F1339" s="3"/>
      <c r="G1339" s="3"/>
      <c r="H1339" s="3"/>
      <c r="I1339" s="3"/>
      <c r="J1339" s="3"/>
      <c r="K1339" s="3"/>
      <c r="L1339" s="19"/>
    </row>
    <row r="1340" spans="1:12">
      <c r="A1340" s="3"/>
      <c r="B1340" t="str">
        <f>IF(_xlfn.XLOOKUP(A1340,PARAMETROS!A:A,PARAMETROS!B:B)=0,"",_xlfn.XLOOKUP(A1340,PARAMETROS!A:A,PARAMETROS!B:B))</f>
        <v/>
      </c>
      <c r="C1340" t="str">
        <f>IF(_xlfn.XLOOKUP(A1340,PARAMETROS!A:A,PARAMETROS!C:C)=0,"",_xlfn.XLOOKUP(A1340,PARAMETROS!A:A,PARAMETROS!C:C))</f>
        <v/>
      </c>
      <c r="D1340" t="str">
        <f>IF(_xlfn.XLOOKUP(A1340,PARAMETROS!A:A,PARAMETROS!D:D)=0,"",_xlfn.XLOOKUP(A1340,PARAMETROS!A:A,PARAMETROS!D:D))</f>
        <v/>
      </c>
      <c r="E1340" t="str">
        <f>IF(_xlfn.XLOOKUP('PREENCHIMENTO|LETIVAS'!A1340,PARAMETROS!A:A,PARAMETROS!I:I)=0,"",_xlfn.XLOOKUP('PREENCHIMENTO|LETIVAS'!A1340,PARAMETROS!A:A,PARAMETROS!I:I))</f>
        <v/>
      </c>
      <c r="F1340" s="3"/>
      <c r="G1340" s="3"/>
      <c r="H1340" s="3"/>
      <c r="I1340" s="3"/>
      <c r="J1340" s="3"/>
      <c r="K1340" s="3"/>
      <c r="L1340" s="19"/>
    </row>
    <row r="1341" spans="1:12">
      <c r="A1341" s="3"/>
      <c r="B1341" t="str">
        <f>IF(_xlfn.XLOOKUP(A1341,PARAMETROS!A:A,PARAMETROS!B:B)=0,"",_xlfn.XLOOKUP(A1341,PARAMETROS!A:A,PARAMETROS!B:B))</f>
        <v/>
      </c>
      <c r="C1341" t="str">
        <f>IF(_xlfn.XLOOKUP(A1341,PARAMETROS!A:A,PARAMETROS!C:C)=0,"",_xlfn.XLOOKUP(A1341,PARAMETROS!A:A,PARAMETROS!C:C))</f>
        <v/>
      </c>
      <c r="D1341" t="str">
        <f>IF(_xlfn.XLOOKUP(A1341,PARAMETROS!A:A,PARAMETROS!D:D)=0,"",_xlfn.XLOOKUP(A1341,PARAMETROS!A:A,PARAMETROS!D:D))</f>
        <v/>
      </c>
      <c r="E1341" t="str">
        <f>IF(_xlfn.XLOOKUP('PREENCHIMENTO|LETIVAS'!A1341,PARAMETROS!A:A,PARAMETROS!I:I)=0,"",_xlfn.XLOOKUP('PREENCHIMENTO|LETIVAS'!A1341,PARAMETROS!A:A,PARAMETROS!I:I))</f>
        <v/>
      </c>
      <c r="F1341" s="3"/>
      <c r="G1341" s="3"/>
      <c r="H1341" s="3"/>
      <c r="I1341" s="3"/>
      <c r="J1341" s="3"/>
      <c r="K1341" s="3"/>
      <c r="L1341" s="19"/>
    </row>
    <row r="1342" spans="1:12">
      <c r="A1342" s="3"/>
      <c r="B1342" t="str">
        <f>IF(_xlfn.XLOOKUP(A1342,PARAMETROS!A:A,PARAMETROS!B:B)=0,"",_xlfn.XLOOKUP(A1342,PARAMETROS!A:A,PARAMETROS!B:B))</f>
        <v/>
      </c>
      <c r="C1342" t="str">
        <f>IF(_xlfn.XLOOKUP(A1342,PARAMETROS!A:A,PARAMETROS!C:C)=0,"",_xlfn.XLOOKUP(A1342,PARAMETROS!A:A,PARAMETROS!C:C))</f>
        <v/>
      </c>
      <c r="D1342" t="str">
        <f>IF(_xlfn.XLOOKUP(A1342,PARAMETROS!A:A,PARAMETROS!D:D)=0,"",_xlfn.XLOOKUP(A1342,PARAMETROS!A:A,PARAMETROS!D:D))</f>
        <v/>
      </c>
      <c r="E1342" t="str">
        <f>IF(_xlfn.XLOOKUP('PREENCHIMENTO|LETIVAS'!A1342,PARAMETROS!A:A,PARAMETROS!I:I)=0,"",_xlfn.XLOOKUP('PREENCHIMENTO|LETIVAS'!A1342,PARAMETROS!A:A,PARAMETROS!I:I))</f>
        <v/>
      </c>
      <c r="F1342" s="3"/>
      <c r="G1342" s="3"/>
      <c r="H1342" s="3"/>
      <c r="I1342" s="3"/>
      <c r="J1342" s="3"/>
      <c r="K1342" s="3"/>
      <c r="L1342" s="19"/>
    </row>
    <row r="1343" spans="1:12">
      <c r="A1343" s="3"/>
      <c r="B1343" t="str">
        <f>IF(_xlfn.XLOOKUP(A1343,PARAMETROS!A:A,PARAMETROS!B:B)=0,"",_xlfn.XLOOKUP(A1343,PARAMETROS!A:A,PARAMETROS!B:B))</f>
        <v/>
      </c>
      <c r="C1343" t="str">
        <f>IF(_xlfn.XLOOKUP(A1343,PARAMETROS!A:A,PARAMETROS!C:C)=0,"",_xlfn.XLOOKUP(A1343,PARAMETROS!A:A,PARAMETROS!C:C))</f>
        <v/>
      </c>
      <c r="D1343" t="str">
        <f>IF(_xlfn.XLOOKUP(A1343,PARAMETROS!A:A,PARAMETROS!D:D)=0,"",_xlfn.XLOOKUP(A1343,PARAMETROS!A:A,PARAMETROS!D:D))</f>
        <v/>
      </c>
      <c r="E1343" t="str">
        <f>IF(_xlfn.XLOOKUP('PREENCHIMENTO|LETIVAS'!A1343,PARAMETROS!A:A,PARAMETROS!I:I)=0,"",_xlfn.XLOOKUP('PREENCHIMENTO|LETIVAS'!A1343,PARAMETROS!A:A,PARAMETROS!I:I))</f>
        <v/>
      </c>
      <c r="F1343" s="3"/>
      <c r="G1343" s="3"/>
      <c r="H1343" s="3"/>
      <c r="I1343" s="3"/>
      <c r="J1343" s="3"/>
      <c r="K1343" s="3"/>
      <c r="L1343" s="19"/>
    </row>
    <row r="1344" spans="1:12">
      <c r="A1344" s="3"/>
      <c r="B1344" t="str">
        <f>IF(_xlfn.XLOOKUP(A1344,PARAMETROS!A:A,PARAMETROS!B:B)=0,"",_xlfn.XLOOKUP(A1344,PARAMETROS!A:A,PARAMETROS!B:B))</f>
        <v/>
      </c>
      <c r="C1344" t="str">
        <f>IF(_xlfn.XLOOKUP(A1344,PARAMETROS!A:A,PARAMETROS!C:C)=0,"",_xlfn.XLOOKUP(A1344,PARAMETROS!A:A,PARAMETROS!C:C))</f>
        <v/>
      </c>
      <c r="D1344" t="str">
        <f>IF(_xlfn.XLOOKUP(A1344,PARAMETROS!A:A,PARAMETROS!D:D)=0,"",_xlfn.XLOOKUP(A1344,PARAMETROS!A:A,PARAMETROS!D:D))</f>
        <v/>
      </c>
      <c r="E1344" t="str">
        <f>IF(_xlfn.XLOOKUP('PREENCHIMENTO|LETIVAS'!A1344,PARAMETROS!A:A,PARAMETROS!I:I)=0,"",_xlfn.XLOOKUP('PREENCHIMENTO|LETIVAS'!A1344,PARAMETROS!A:A,PARAMETROS!I:I))</f>
        <v/>
      </c>
      <c r="F1344" s="3"/>
      <c r="G1344" s="3"/>
      <c r="H1344" s="3"/>
      <c r="I1344" s="3"/>
      <c r="J1344" s="3"/>
      <c r="K1344" s="3"/>
      <c r="L1344" s="19"/>
    </row>
    <row r="1345" spans="1:12">
      <c r="A1345" s="3"/>
      <c r="B1345" t="str">
        <f>IF(_xlfn.XLOOKUP(A1345,PARAMETROS!A:A,PARAMETROS!B:B)=0,"",_xlfn.XLOOKUP(A1345,PARAMETROS!A:A,PARAMETROS!B:B))</f>
        <v/>
      </c>
      <c r="C1345" t="str">
        <f>IF(_xlfn.XLOOKUP(A1345,PARAMETROS!A:A,PARAMETROS!C:C)=0,"",_xlfn.XLOOKUP(A1345,PARAMETROS!A:A,PARAMETROS!C:C))</f>
        <v/>
      </c>
      <c r="D1345" t="str">
        <f>IF(_xlfn.XLOOKUP(A1345,PARAMETROS!A:A,PARAMETROS!D:D)=0,"",_xlfn.XLOOKUP(A1345,PARAMETROS!A:A,PARAMETROS!D:D))</f>
        <v/>
      </c>
      <c r="E1345" t="str">
        <f>IF(_xlfn.XLOOKUP('PREENCHIMENTO|LETIVAS'!A1345,PARAMETROS!A:A,PARAMETROS!I:I)=0,"",_xlfn.XLOOKUP('PREENCHIMENTO|LETIVAS'!A1345,PARAMETROS!A:A,PARAMETROS!I:I))</f>
        <v/>
      </c>
      <c r="F1345" s="3"/>
      <c r="G1345" s="3"/>
      <c r="H1345" s="3"/>
      <c r="I1345" s="3"/>
      <c r="J1345" s="3"/>
      <c r="K1345" s="3"/>
      <c r="L1345" s="19"/>
    </row>
    <row r="1346" spans="1:12">
      <c r="A1346" s="3"/>
      <c r="B1346" t="str">
        <f>IF(_xlfn.XLOOKUP(A1346,PARAMETROS!A:A,PARAMETROS!B:B)=0,"",_xlfn.XLOOKUP(A1346,PARAMETROS!A:A,PARAMETROS!B:B))</f>
        <v/>
      </c>
      <c r="C1346" t="str">
        <f>IF(_xlfn.XLOOKUP(A1346,PARAMETROS!A:A,PARAMETROS!C:C)=0,"",_xlfn.XLOOKUP(A1346,PARAMETROS!A:A,PARAMETROS!C:C))</f>
        <v/>
      </c>
      <c r="D1346" t="str">
        <f>IF(_xlfn.XLOOKUP(A1346,PARAMETROS!A:A,PARAMETROS!D:D)=0,"",_xlfn.XLOOKUP(A1346,PARAMETROS!A:A,PARAMETROS!D:D))</f>
        <v/>
      </c>
      <c r="E1346" t="str">
        <f>IF(_xlfn.XLOOKUP('PREENCHIMENTO|LETIVAS'!A1346,PARAMETROS!A:A,PARAMETROS!I:I)=0,"",_xlfn.XLOOKUP('PREENCHIMENTO|LETIVAS'!A1346,PARAMETROS!A:A,PARAMETROS!I:I))</f>
        <v/>
      </c>
      <c r="F1346" s="3"/>
      <c r="G1346" s="3"/>
      <c r="H1346" s="3"/>
      <c r="I1346" s="3"/>
      <c r="J1346" s="3"/>
      <c r="K1346" s="3"/>
      <c r="L1346" s="19"/>
    </row>
    <row r="1347" spans="1:12">
      <c r="A1347" s="3"/>
      <c r="B1347" t="str">
        <f>IF(_xlfn.XLOOKUP(A1347,PARAMETROS!A:A,PARAMETROS!B:B)=0,"",_xlfn.XLOOKUP(A1347,PARAMETROS!A:A,PARAMETROS!B:B))</f>
        <v/>
      </c>
      <c r="C1347" t="str">
        <f>IF(_xlfn.XLOOKUP(A1347,PARAMETROS!A:A,PARAMETROS!C:C)=0,"",_xlfn.XLOOKUP(A1347,PARAMETROS!A:A,PARAMETROS!C:C))</f>
        <v/>
      </c>
      <c r="D1347" t="str">
        <f>IF(_xlfn.XLOOKUP(A1347,PARAMETROS!A:A,PARAMETROS!D:D)=0,"",_xlfn.XLOOKUP(A1347,PARAMETROS!A:A,PARAMETROS!D:D))</f>
        <v/>
      </c>
      <c r="E1347" t="str">
        <f>IF(_xlfn.XLOOKUP('PREENCHIMENTO|LETIVAS'!A1347,PARAMETROS!A:A,PARAMETROS!I:I)=0,"",_xlfn.XLOOKUP('PREENCHIMENTO|LETIVAS'!A1347,PARAMETROS!A:A,PARAMETROS!I:I))</f>
        <v/>
      </c>
      <c r="F1347" s="3"/>
      <c r="G1347" s="3"/>
      <c r="H1347" s="3"/>
      <c r="I1347" s="3"/>
      <c r="J1347" s="3"/>
      <c r="K1347" s="3"/>
      <c r="L1347" s="19"/>
    </row>
    <row r="1348" spans="1:12">
      <c r="A1348" s="3"/>
      <c r="B1348" t="str">
        <f>IF(_xlfn.XLOOKUP(A1348,PARAMETROS!A:A,PARAMETROS!B:B)=0,"",_xlfn.XLOOKUP(A1348,PARAMETROS!A:A,PARAMETROS!B:B))</f>
        <v/>
      </c>
      <c r="C1348" t="str">
        <f>IF(_xlfn.XLOOKUP(A1348,PARAMETROS!A:A,PARAMETROS!C:C)=0,"",_xlfn.XLOOKUP(A1348,PARAMETROS!A:A,PARAMETROS!C:C))</f>
        <v/>
      </c>
      <c r="D1348" t="str">
        <f>IF(_xlfn.XLOOKUP(A1348,PARAMETROS!A:A,PARAMETROS!D:D)=0,"",_xlfn.XLOOKUP(A1348,PARAMETROS!A:A,PARAMETROS!D:D))</f>
        <v/>
      </c>
      <c r="E1348" t="str">
        <f>IF(_xlfn.XLOOKUP('PREENCHIMENTO|LETIVAS'!A1348,PARAMETROS!A:A,PARAMETROS!I:I)=0,"",_xlfn.XLOOKUP('PREENCHIMENTO|LETIVAS'!A1348,PARAMETROS!A:A,PARAMETROS!I:I))</f>
        <v/>
      </c>
      <c r="F1348" s="3"/>
      <c r="G1348" s="3"/>
      <c r="H1348" s="3"/>
      <c r="I1348" s="3"/>
      <c r="J1348" s="3"/>
      <c r="K1348" s="3"/>
      <c r="L1348" s="19"/>
    </row>
    <row r="1349" spans="1:12">
      <c r="A1349" s="3"/>
      <c r="B1349" t="str">
        <f>IF(_xlfn.XLOOKUP(A1349,PARAMETROS!A:A,PARAMETROS!B:B)=0,"",_xlfn.XLOOKUP(A1349,PARAMETROS!A:A,PARAMETROS!B:B))</f>
        <v/>
      </c>
      <c r="C1349" t="str">
        <f>IF(_xlfn.XLOOKUP(A1349,PARAMETROS!A:A,PARAMETROS!C:C)=0,"",_xlfn.XLOOKUP(A1349,PARAMETROS!A:A,PARAMETROS!C:C))</f>
        <v/>
      </c>
      <c r="D1349" t="str">
        <f>IF(_xlfn.XLOOKUP(A1349,PARAMETROS!A:A,PARAMETROS!D:D)=0,"",_xlfn.XLOOKUP(A1349,PARAMETROS!A:A,PARAMETROS!D:D))</f>
        <v/>
      </c>
      <c r="E1349" t="str">
        <f>IF(_xlfn.XLOOKUP('PREENCHIMENTO|LETIVAS'!A1349,PARAMETROS!A:A,PARAMETROS!I:I)=0,"",_xlfn.XLOOKUP('PREENCHIMENTO|LETIVAS'!A1349,PARAMETROS!A:A,PARAMETROS!I:I))</f>
        <v/>
      </c>
      <c r="F1349" s="3"/>
      <c r="G1349" s="3"/>
      <c r="H1349" s="3"/>
      <c r="I1349" s="3"/>
      <c r="J1349" s="3"/>
      <c r="K1349" s="3"/>
      <c r="L1349" s="19"/>
    </row>
    <row r="1350" spans="1:12">
      <c r="A1350" s="3"/>
      <c r="B1350" t="str">
        <f>IF(_xlfn.XLOOKUP(A1350,PARAMETROS!A:A,PARAMETROS!B:B)=0,"",_xlfn.XLOOKUP(A1350,PARAMETROS!A:A,PARAMETROS!B:B))</f>
        <v/>
      </c>
      <c r="C1350" t="str">
        <f>IF(_xlfn.XLOOKUP(A1350,PARAMETROS!A:A,PARAMETROS!C:C)=0,"",_xlfn.XLOOKUP(A1350,PARAMETROS!A:A,PARAMETROS!C:C))</f>
        <v/>
      </c>
      <c r="D1350" t="str">
        <f>IF(_xlfn.XLOOKUP(A1350,PARAMETROS!A:A,PARAMETROS!D:D)=0,"",_xlfn.XLOOKUP(A1350,PARAMETROS!A:A,PARAMETROS!D:D))</f>
        <v/>
      </c>
      <c r="E1350" t="str">
        <f>IF(_xlfn.XLOOKUP('PREENCHIMENTO|LETIVAS'!A1350,PARAMETROS!A:A,PARAMETROS!I:I)=0,"",_xlfn.XLOOKUP('PREENCHIMENTO|LETIVAS'!A1350,PARAMETROS!A:A,PARAMETROS!I:I))</f>
        <v/>
      </c>
      <c r="F1350" s="3"/>
      <c r="G1350" s="3"/>
      <c r="H1350" s="3"/>
      <c r="I1350" s="3"/>
      <c r="J1350" s="3"/>
      <c r="K1350" s="3"/>
      <c r="L1350" s="19"/>
    </row>
    <row r="1351" spans="1:12">
      <c r="A1351" s="3"/>
      <c r="B1351" t="str">
        <f>IF(_xlfn.XLOOKUP(A1351,PARAMETROS!A:A,PARAMETROS!B:B)=0,"",_xlfn.XLOOKUP(A1351,PARAMETROS!A:A,PARAMETROS!B:B))</f>
        <v/>
      </c>
      <c r="C1351" t="str">
        <f>IF(_xlfn.XLOOKUP(A1351,PARAMETROS!A:A,PARAMETROS!C:C)=0,"",_xlfn.XLOOKUP(A1351,PARAMETROS!A:A,PARAMETROS!C:C))</f>
        <v/>
      </c>
      <c r="D1351" t="str">
        <f>IF(_xlfn.XLOOKUP(A1351,PARAMETROS!A:A,PARAMETROS!D:D)=0,"",_xlfn.XLOOKUP(A1351,PARAMETROS!A:A,PARAMETROS!D:D))</f>
        <v/>
      </c>
      <c r="E1351" t="str">
        <f>IF(_xlfn.XLOOKUP('PREENCHIMENTO|LETIVAS'!A1351,PARAMETROS!A:A,PARAMETROS!I:I)=0,"",_xlfn.XLOOKUP('PREENCHIMENTO|LETIVAS'!A1351,PARAMETROS!A:A,PARAMETROS!I:I))</f>
        <v/>
      </c>
      <c r="F1351" s="3"/>
      <c r="G1351" s="3"/>
      <c r="H1351" s="3"/>
      <c r="I1351" s="3"/>
      <c r="J1351" s="3"/>
      <c r="K1351" s="3"/>
      <c r="L1351" s="19"/>
    </row>
    <row r="1352" spans="1:12">
      <c r="A1352" s="3"/>
      <c r="B1352" t="str">
        <f>IF(_xlfn.XLOOKUP(A1352,PARAMETROS!A:A,PARAMETROS!B:B)=0,"",_xlfn.XLOOKUP(A1352,PARAMETROS!A:A,PARAMETROS!B:B))</f>
        <v/>
      </c>
      <c r="C1352" t="str">
        <f>IF(_xlfn.XLOOKUP(A1352,PARAMETROS!A:A,PARAMETROS!C:C)=0,"",_xlfn.XLOOKUP(A1352,PARAMETROS!A:A,PARAMETROS!C:C))</f>
        <v/>
      </c>
      <c r="D1352" t="str">
        <f>IF(_xlfn.XLOOKUP(A1352,PARAMETROS!A:A,PARAMETROS!D:D)=0,"",_xlfn.XLOOKUP(A1352,PARAMETROS!A:A,PARAMETROS!D:D))</f>
        <v/>
      </c>
      <c r="E1352" t="str">
        <f>IF(_xlfn.XLOOKUP('PREENCHIMENTO|LETIVAS'!A1352,PARAMETROS!A:A,PARAMETROS!I:I)=0,"",_xlfn.XLOOKUP('PREENCHIMENTO|LETIVAS'!A1352,PARAMETROS!A:A,PARAMETROS!I:I))</f>
        <v/>
      </c>
      <c r="F1352" s="3"/>
      <c r="G1352" s="3"/>
      <c r="H1352" s="3"/>
      <c r="I1352" s="3"/>
      <c r="J1352" s="3"/>
      <c r="K1352" s="3"/>
      <c r="L1352" s="19"/>
    </row>
    <row r="1353" spans="1:12">
      <c r="A1353" s="3"/>
      <c r="B1353" t="str">
        <f>IF(_xlfn.XLOOKUP(A1353,PARAMETROS!A:A,PARAMETROS!B:B)=0,"",_xlfn.XLOOKUP(A1353,PARAMETROS!A:A,PARAMETROS!B:B))</f>
        <v/>
      </c>
      <c r="C1353" t="str">
        <f>IF(_xlfn.XLOOKUP(A1353,PARAMETROS!A:A,PARAMETROS!C:C)=0,"",_xlfn.XLOOKUP(A1353,PARAMETROS!A:A,PARAMETROS!C:C))</f>
        <v/>
      </c>
      <c r="D1353" t="str">
        <f>IF(_xlfn.XLOOKUP(A1353,PARAMETROS!A:A,PARAMETROS!D:D)=0,"",_xlfn.XLOOKUP(A1353,PARAMETROS!A:A,PARAMETROS!D:D))</f>
        <v/>
      </c>
      <c r="E1353" t="str">
        <f>IF(_xlfn.XLOOKUP('PREENCHIMENTO|LETIVAS'!A1353,PARAMETROS!A:A,PARAMETROS!I:I)=0,"",_xlfn.XLOOKUP('PREENCHIMENTO|LETIVAS'!A1353,PARAMETROS!A:A,PARAMETROS!I:I))</f>
        <v/>
      </c>
      <c r="F1353" s="3"/>
      <c r="G1353" s="3"/>
      <c r="H1353" s="3"/>
      <c r="I1353" s="3"/>
      <c r="J1353" s="3"/>
      <c r="K1353" s="3"/>
      <c r="L1353" s="19"/>
    </row>
    <row r="1354" spans="1:12">
      <c r="A1354" s="3"/>
      <c r="B1354" t="str">
        <f>IF(_xlfn.XLOOKUP(A1354,PARAMETROS!A:A,PARAMETROS!B:B)=0,"",_xlfn.XLOOKUP(A1354,PARAMETROS!A:A,PARAMETROS!B:B))</f>
        <v/>
      </c>
      <c r="C1354" t="str">
        <f>IF(_xlfn.XLOOKUP(A1354,PARAMETROS!A:A,PARAMETROS!C:C)=0,"",_xlfn.XLOOKUP(A1354,PARAMETROS!A:A,PARAMETROS!C:C))</f>
        <v/>
      </c>
      <c r="D1354" t="str">
        <f>IF(_xlfn.XLOOKUP(A1354,PARAMETROS!A:A,PARAMETROS!D:D)=0,"",_xlfn.XLOOKUP(A1354,PARAMETROS!A:A,PARAMETROS!D:D))</f>
        <v/>
      </c>
      <c r="E1354" t="str">
        <f>IF(_xlfn.XLOOKUP('PREENCHIMENTO|LETIVAS'!A1354,PARAMETROS!A:A,PARAMETROS!I:I)=0,"",_xlfn.XLOOKUP('PREENCHIMENTO|LETIVAS'!A1354,PARAMETROS!A:A,PARAMETROS!I:I))</f>
        <v/>
      </c>
      <c r="F1354" s="3"/>
      <c r="G1354" s="3"/>
      <c r="H1354" s="3"/>
      <c r="I1354" s="3"/>
      <c r="J1354" s="3"/>
      <c r="K1354" s="3"/>
      <c r="L1354" s="19"/>
    </row>
    <row r="1355" spans="1:12">
      <c r="A1355" s="3"/>
      <c r="B1355" t="str">
        <f>IF(_xlfn.XLOOKUP(A1355,PARAMETROS!A:A,PARAMETROS!B:B)=0,"",_xlfn.XLOOKUP(A1355,PARAMETROS!A:A,PARAMETROS!B:B))</f>
        <v/>
      </c>
      <c r="C1355" t="str">
        <f>IF(_xlfn.XLOOKUP(A1355,PARAMETROS!A:A,PARAMETROS!C:C)=0,"",_xlfn.XLOOKUP(A1355,PARAMETROS!A:A,PARAMETROS!C:C))</f>
        <v/>
      </c>
      <c r="D1355" t="str">
        <f>IF(_xlfn.XLOOKUP(A1355,PARAMETROS!A:A,PARAMETROS!D:D)=0,"",_xlfn.XLOOKUP(A1355,PARAMETROS!A:A,PARAMETROS!D:D))</f>
        <v/>
      </c>
      <c r="E1355" t="str">
        <f>IF(_xlfn.XLOOKUP('PREENCHIMENTO|LETIVAS'!A1355,PARAMETROS!A:A,PARAMETROS!I:I)=0,"",_xlfn.XLOOKUP('PREENCHIMENTO|LETIVAS'!A1355,PARAMETROS!A:A,PARAMETROS!I:I))</f>
        <v/>
      </c>
      <c r="F1355" s="3"/>
      <c r="G1355" s="3"/>
      <c r="H1355" s="3"/>
      <c r="I1355" s="3"/>
      <c r="J1355" s="3"/>
      <c r="K1355" s="3"/>
      <c r="L1355" s="19"/>
    </row>
    <row r="1356" spans="1:12">
      <c r="A1356" s="3"/>
      <c r="B1356" t="str">
        <f>IF(_xlfn.XLOOKUP(A1356,PARAMETROS!A:A,PARAMETROS!B:B)=0,"",_xlfn.XLOOKUP(A1356,PARAMETROS!A:A,PARAMETROS!B:B))</f>
        <v/>
      </c>
      <c r="C1356" t="str">
        <f>IF(_xlfn.XLOOKUP(A1356,PARAMETROS!A:A,PARAMETROS!C:C)=0,"",_xlfn.XLOOKUP(A1356,PARAMETROS!A:A,PARAMETROS!C:C))</f>
        <v/>
      </c>
      <c r="D1356" t="str">
        <f>IF(_xlfn.XLOOKUP(A1356,PARAMETROS!A:A,PARAMETROS!D:D)=0,"",_xlfn.XLOOKUP(A1356,PARAMETROS!A:A,PARAMETROS!D:D))</f>
        <v/>
      </c>
      <c r="E1356" t="str">
        <f>IF(_xlfn.XLOOKUP('PREENCHIMENTO|LETIVAS'!A1356,PARAMETROS!A:A,PARAMETROS!I:I)=0,"",_xlfn.XLOOKUP('PREENCHIMENTO|LETIVAS'!A1356,PARAMETROS!A:A,PARAMETROS!I:I))</f>
        <v/>
      </c>
      <c r="F1356" s="3"/>
      <c r="G1356" s="3"/>
      <c r="H1356" s="3"/>
      <c r="I1356" s="3"/>
      <c r="J1356" s="3"/>
      <c r="K1356" s="3"/>
      <c r="L1356" s="19"/>
    </row>
    <row r="1357" spans="1:12">
      <c r="A1357" s="3"/>
      <c r="B1357" t="str">
        <f>IF(_xlfn.XLOOKUP(A1357,PARAMETROS!A:A,PARAMETROS!B:B)=0,"",_xlfn.XLOOKUP(A1357,PARAMETROS!A:A,PARAMETROS!B:B))</f>
        <v/>
      </c>
      <c r="C1357" t="str">
        <f>IF(_xlfn.XLOOKUP(A1357,PARAMETROS!A:A,PARAMETROS!C:C)=0,"",_xlfn.XLOOKUP(A1357,PARAMETROS!A:A,PARAMETROS!C:C))</f>
        <v/>
      </c>
      <c r="D1357" t="str">
        <f>IF(_xlfn.XLOOKUP(A1357,PARAMETROS!A:A,PARAMETROS!D:D)=0,"",_xlfn.XLOOKUP(A1357,PARAMETROS!A:A,PARAMETROS!D:D))</f>
        <v/>
      </c>
      <c r="E1357" t="str">
        <f>IF(_xlfn.XLOOKUP('PREENCHIMENTO|LETIVAS'!A1357,PARAMETROS!A:A,PARAMETROS!I:I)=0,"",_xlfn.XLOOKUP('PREENCHIMENTO|LETIVAS'!A1357,PARAMETROS!A:A,PARAMETROS!I:I))</f>
        <v/>
      </c>
      <c r="F1357" s="3"/>
      <c r="G1357" s="3"/>
      <c r="H1357" s="3"/>
      <c r="I1357" s="3"/>
      <c r="J1357" s="3"/>
      <c r="K1357" s="3"/>
      <c r="L1357" s="19"/>
    </row>
    <row r="1358" spans="1:12">
      <c r="A1358" s="3"/>
      <c r="B1358" t="str">
        <f>IF(_xlfn.XLOOKUP(A1358,PARAMETROS!A:A,PARAMETROS!B:B)=0,"",_xlfn.XLOOKUP(A1358,PARAMETROS!A:A,PARAMETROS!B:B))</f>
        <v/>
      </c>
      <c r="C1358" t="str">
        <f>IF(_xlfn.XLOOKUP(A1358,PARAMETROS!A:A,PARAMETROS!C:C)=0,"",_xlfn.XLOOKUP(A1358,PARAMETROS!A:A,PARAMETROS!C:C))</f>
        <v/>
      </c>
      <c r="D1358" t="str">
        <f>IF(_xlfn.XLOOKUP(A1358,PARAMETROS!A:A,PARAMETROS!D:D)=0,"",_xlfn.XLOOKUP(A1358,PARAMETROS!A:A,PARAMETROS!D:D))</f>
        <v/>
      </c>
      <c r="E1358" t="str">
        <f>IF(_xlfn.XLOOKUP('PREENCHIMENTO|LETIVAS'!A1358,PARAMETROS!A:A,PARAMETROS!I:I)=0,"",_xlfn.XLOOKUP('PREENCHIMENTO|LETIVAS'!A1358,PARAMETROS!A:A,PARAMETROS!I:I))</f>
        <v/>
      </c>
      <c r="F1358" s="3"/>
      <c r="G1358" s="3"/>
      <c r="H1358" s="3"/>
      <c r="I1358" s="3"/>
      <c r="J1358" s="3"/>
      <c r="K1358" s="3"/>
      <c r="L1358" s="19"/>
    </row>
    <row r="1359" spans="1:12">
      <c r="A1359" s="3"/>
      <c r="B1359" t="str">
        <f>IF(_xlfn.XLOOKUP(A1359,PARAMETROS!A:A,PARAMETROS!B:B)=0,"",_xlfn.XLOOKUP(A1359,PARAMETROS!A:A,PARAMETROS!B:B))</f>
        <v/>
      </c>
      <c r="C1359" t="str">
        <f>IF(_xlfn.XLOOKUP(A1359,PARAMETROS!A:A,PARAMETROS!C:C)=0,"",_xlfn.XLOOKUP(A1359,PARAMETROS!A:A,PARAMETROS!C:C))</f>
        <v/>
      </c>
      <c r="D1359" t="str">
        <f>IF(_xlfn.XLOOKUP(A1359,PARAMETROS!A:A,PARAMETROS!D:D)=0,"",_xlfn.XLOOKUP(A1359,PARAMETROS!A:A,PARAMETROS!D:D))</f>
        <v/>
      </c>
      <c r="E1359" t="str">
        <f>IF(_xlfn.XLOOKUP('PREENCHIMENTO|LETIVAS'!A1359,PARAMETROS!A:A,PARAMETROS!I:I)=0,"",_xlfn.XLOOKUP('PREENCHIMENTO|LETIVAS'!A1359,PARAMETROS!A:A,PARAMETROS!I:I))</f>
        <v/>
      </c>
      <c r="F1359" s="3"/>
      <c r="G1359" s="3"/>
      <c r="H1359" s="3"/>
      <c r="I1359" s="3"/>
      <c r="J1359" s="3"/>
      <c r="K1359" s="3"/>
      <c r="L1359" s="19"/>
    </row>
    <row r="1360" spans="1:12">
      <c r="A1360" s="3"/>
      <c r="B1360" t="str">
        <f>IF(_xlfn.XLOOKUP(A1360,PARAMETROS!A:A,PARAMETROS!B:B)=0,"",_xlfn.XLOOKUP(A1360,PARAMETROS!A:A,PARAMETROS!B:B))</f>
        <v/>
      </c>
      <c r="C1360" t="str">
        <f>IF(_xlfn.XLOOKUP(A1360,PARAMETROS!A:A,PARAMETROS!C:C)=0,"",_xlfn.XLOOKUP(A1360,PARAMETROS!A:A,PARAMETROS!C:C))</f>
        <v/>
      </c>
      <c r="D1360" t="str">
        <f>IF(_xlfn.XLOOKUP(A1360,PARAMETROS!A:A,PARAMETROS!D:D)=0,"",_xlfn.XLOOKUP(A1360,PARAMETROS!A:A,PARAMETROS!D:D))</f>
        <v/>
      </c>
      <c r="E1360" t="str">
        <f>IF(_xlfn.XLOOKUP('PREENCHIMENTO|LETIVAS'!A1360,PARAMETROS!A:A,PARAMETROS!I:I)=0,"",_xlfn.XLOOKUP('PREENCHIMENTO|LETIVAS'!A1360,PARAMETROS!A:A,PARAMETROS!I:I))</f>
        <v/>
      </c>
      <c r="F1360" s="3"/>
      <c r="G1360" s="3"/>
      <c r="H1360" s="3"/>
      <c r="I1360" s="3"/>
      <c r="J1360" s="3"/>
      <c r="K1360" s="3"/>
      <c r="L1360" s="19"/>
    </row>
    <row r="1361" spans="1:12">
      <c r="A1361" s="3"/>
      <c r="B1361" t="str">
        <f>IF(_xlfn.XLOOKUP(A1361,PARAMETROS!A:A,PARAMETROS!B:B)=0,"",_xlfn.XLOOKUP(A1361,PARAMETROS!A:A,PARAMETROS!B:B))</f>
        <v/>
      </c>
      <c r="C1361" t="str">
        <f>IF(_xlfn.XLOOKUP(A1361,PARAMETROS!A:A,PARAMETROS!C:C)=0,"",_xlfn.XLOOKUP(A1361,PARAMETROS!A:A,PARAMETROS!C:C))</f>
        <v/>
      </c>
      <c r="D1361" t="str">
        <f>IF(_xlfn.XLOOKUP(A1361,PARAMETROS!A:A,PARAMETROS!D:D)=0,"",_xlfn.XLOOKUP(A1361,PARAMETROS!A:A,PARAMETROS!D:D))</f>
        <v/>
      </c>
      <c r="E1361" t="str">
        <f>IF(_xlfn.XLOOKUP('PREENCHIMENTO|LETIVAS'!A1361,PARAMETROS!A:A,PARAMETROS!I:I)=0,"",_xlfn.XLOOKUP('PREENCHIMENTO|LETIVAS'!A1361,PARAMETROS!A:A,PARAMETROS!I:I))</f>
        <v/>
      </c>
      <c r="F1361" s="3"/>
      <c r="G1361" s="3"/>
      <c r="H1361" s="3"/>
      <c r="I1361" s="3"/>
      <c r="J1361" s="3"/>
      <c r="K1361" s="3"/>
      <c r="L1361" s="19"/>
    </row>
    <row r="1362" spans="1:12">
      <c r="A1362" s="3"/>
      <c r="B1362" t="str">
        <f>IF(_xlfn.XLOOKUP(A1362,PARAMETROS!A:A,PARAMETROS!B:B)=0,"",_xlfn.XLOOKUP(A1362,PARAMETROS!A:A,PARAMETROS!B:B))</f>
        <v/>
      </c>
      <c r="C1362" t="str">
        <f>IF(_xlfn.XLOOKUP(A1362,PARAMETROS!A:A,PARAMETROS!C:C)=0,"",_xlfn.XLOOKUP(A1362,PARAMETROS!A:A,PARAMETROS!C:C))</f>
        <v/>
      </c>
      <c r="D1362" t="str">
        <f>IF(_xlfn.XLOOKUP(A1362,PARAMETROS!A:A,PARAMETROS!D:D)=0,"",_xlfn.XLOOKUP(A1362,PARAMETROS!A:A,PARAMETROS!D:D))</f>
        <v/>
      </c>
      <c r="E1362" t="str">
        <f>IF(_xlfn.XLOOKUP('PREENCHIMENTO|LETIVAS'!A1362,PARAMETROS!A:A,PARAMETROS!I:I)=0,"",_xlfn.XLOOKUP('PREENCHIMENTO|LETIVAS'!A1362,PARAMETROS!A:A,PARAMETROS!I:I))</f>
        <v/>
      </c>
      <c r="F1362" s="3"/>
      <c r="G1362" s="3"/>
      <c r="H1362" s="3"/>
      <c r="I1362" s="3"/>
      <c r="J1362" s="3"/>
      <c r="K1362" s="3"/>
      <c r="L1362" s="19"/>
    </row>
    <row r="1363" spans="1:12">
      <c r="A1363" s="3"/>
      <c r="B1363" t="str">
        <f>IF(_xlfn.XLOOKUP(A1363,PARAMETROS!A:A,PARAMETROS!B:B)=0,"",_xlfn.XLOOKUP(A1363,PARAMETROS!A:A,PARAMETROS!B:B))</f>
        <v/>
      </c>
      <c r="C1363" t="str">
        <f>IF(_xlfn.XLOOKUP(A1363,PARAMETROS!A:A,PARAMETROS!C:C)=0,"",_xlfn.XLOOKUP(A1363,PARAMETROS!A:A,PARAMETROS!C:C))</f>
        <v/>
      </c>
      <c r="D1363" t="str">
        <f>IF(_xlfn.XLOOKUP(A1363,PARAMETROS!A:A,PARAMETROS!D:D)=0,"",_xlfn.XLOOKUP(A1363,PARAMETROS!A:A,PARAMETROS!D:D))</f>
        <v/>
      </c>
      <c r="E1363" t="str">
        <f>IF(_xlfn.XLOOKUP('PREENCHIMENTO|LETIVAS'!A1363,PARAMETROS!A:A,PARAMETROS!I:I)=0,"",_xlfn.XLOOKUP('PREENCHIMENTO|LETIVAS'!A1363,PARAMETROS!A:A,PARAMETROS!I:I))</f>
        <v/>
      </c>
      <c r="F1363" s="3"/>
      <c r="G1363" s="3"/>
      <c r="H1363" s="3"/>
      <c r="I1363" s="3"/>
      <c r="J1363" s="3"/>
      <c r="K1363" s="3"/>
      <c r="L1363" s="19"/>
    </row>
    <row r="1364" spans="1:12">
      <c r="A1364" s="3"/>
      <c r="B1364" t="str">
        <f>IF(_xlfn.XLOOKUP(A1364,PARAMETROS!A:A,PARAMETROS!B:B)=0,"",_xlfn.XLOOKUP(A1364,PARAMETROS!A:A,PARAMETROS!B:B))</f>
        <v/>
      </c>
      <c r="C1364" t="str">
        <f>IF(_xlfn.XLOOKUP(A1364,PARAMETROS!A:A,PARAMETROS!C:C)=0,"",_xlfn.XLOOKUP(A1364,PARAMETROS!A:A,PARAMETROS!C:C))</f>
        <v/>
      </c>
      <c r="D1364" t="str">
        <f>IF(_xlfn.XLOOKUP(A1364,PARAMETROS!A:A,PARAMETROS!D:D)=0,"",_xlfn.XLOOKUP(A1364,PARAMETROS!A:A,PARAMETROS!D:D))</f>
        <v/>
      </c>
      <c r="E1364" t="str">
        <f>IF(_xlfn.XLOOKUP('PREENCHIMENTO|LETIVAS'!A1364,PARAMETROS!A:A,PARAMETROS!I:I)=0,"",_xlfn.XLOOKUP('PREENCHIMENTO|LETIVAS'!A1364,PARAMETROS!A:A,PARAMETROS!I:I))</f>
        <v/>
      </c>
      <c r="F1364" s="3"/>
      <c r="G1364" s="3"/>
      <c r="H1364" s="3"/>
      <c r="I1364" s="3"/>
      <c r="J1364" s="3"/>
      <c r="K1364" s="3"/>
      <c r="L1364" s="19"/>
    </row>
    <row r="1365" spans="1:12">
      <c r="A1365" s="3"/>
      <c r="B1365" t="str">
        <f>IF(_xlfn.XLOOKUP(A1365,PARAMETROS!A:A,PARAMETROS!B:B)=0,"",_xlfn.XLOOKUP(A1365,PARAMETROS!A:A,PARAMETROS!B:B))</f>
        <v/>
      </c>
      <c r="C1365" t="str">
        <f>IF(_xlfn.XLOOKUP(A1365,PARAMETROS!A:A,PARAMETROS!C:C)=0,"",_xlfn.XLOOKUP(A1365,PARAMETROS!A:A,PARAMETROS!C:C))</f>
        <v/>
      </c>
      <c r="D1365" t="str">
        <f>IF(_xlfn.XLOOKUP(A1365,PARAMETROS!A:A,PARAMETROS!D:D)=0,"",_xlfn.XLOOKUP(A1365,PARAMETROS!A:A,PARAMETROS!D:D))</f>
        <v/>
      </c>
      <c r="E1365" t="str">
        <f>IF(_xlfn.XLOOKUP('PREENCHIMENTO|LETIVAS'!A1365,PARAMETROS!A:A,PARAMETROS!I:I)=0,"",_xlfn.XLOOKUP('PREENCHIMENTO|LETIVAS'!A1365,PARAMETROS!A:A,PARAMETROS!I:I))</f>
        <v/>
      </c>
      <c r="F1365" s="3"/>
      <c r="G1365" s="3"/>
      <c r="H1365" s="3"/>
      <c r="I1365" s="3"/>
      <c r="J1365" s="3"/>
      <c r="K1365" s="3"/>
      <c r="L1365" s="19"/>
    </row>
    <row r="1366" spans="1:12">
      <c r="A1366" s="3"/>
      <c r="B1366" t="str">
        <f>IF(_xlfn.XLOOKUP(A1366,PARAMETROS!A:A,PARAMETROS!B:B)=0,"",_xlfn.XLOOKUP(A1366,PARAMETROS!A:A,PARAMETROS!B:B))</f>
        <v/>
      </c>
      <c r="C1366" t="str">
        <f>IF(_xlfn.XLOOKUP(A1366,PARAMETROS!A:A,PARAMETROS!C:C)=0,"",_xlfn.XLOOKUP(A1366,PARAMETROS!A:A,PARAMETROS!C:C))</f>
        <v/>
      </c>
      <c r="D1366" t="str">
        <f>IF(_xlfn.XLOOKUP(A1366,PARAMETROS!A:A,PARAMETROS!D:D)=0,"",_xlfn.XLOOKUP(A1366,PARAMETROS!A:A,PARAMETROS!D:D))</f>
        <v/>
      </c>
      <c r="E1366" t="str">
        <f>IF(_xlfn.XLOOKUP('PREENCHIMENTO|LETIVAS'!A1366,PARAMETROS!A:A,PARAMETROS!I:I)=0,"",_xlfn.XLOOKUP('PREENCHIMENTO|LETIVAS'!A1366,PARAMETROS!A:A,PARAMETROS!I:I))</f>
        <v/>
      </c>
      <c r="F1366" s="3"/>
      <c r="G1366" s="3"/>
      <c r="H1366" s="3"/>
      <c r="I1366" s="3"/>
      <c r="J1366" s="3"/>
      <c r="K1366" s="3"/>
      <c r="L1366" s="19"/>
    </row>
    <row r="1367" spans="1:12">
      <c r="A1367" s="3"/>
      <c r="B1367" t="str">
        <f>IF(_xlfn.XLOOKUP(A1367,PARAMETROS!A:A,PARAMETROS!B:B)=0,"",_xlfn.XLOOKUP(A1367,PARAMETROS!A:A,PARAMETROS!B:B))</f>
        <v/>
      </c>
      <c r="C1367" t="str">
        <f>IF(_xlfn.XLOOKUP(A1367,PARAMETROS!A:A,PARAMETROS!C:C)=0,"",_xlfn.XLOOKUP(A1367,PARAMETROS!A:A,PARAMETROS!C:C))</f>
        <v/>
      </c>
      <c r="D1367" t="str">
        <f>IF(_xlfn.XLOOKUP(A1367,PARAMETROS!A:A,PARAMETROS!D:D)=0,"",_xlfn.XLOOKUP(A1367,PARAMETROS!A:A,PARAMETROS!D:D))</f>
        <v/>
      </c>
      <c r="E1367" t="str">
        <f>IF(_xlfn.XLOOKUP('PREENCHIMENTO|LETIVAS'!A1367,PARAMETROS!A:A,PARAMETROS!I:I)=0,"",_xlfn.XLOOKUP('PREENCHIMENTO|LETIVAS'!A1367,PARAMETROS!A:A,PARAMETROS!I:I))</f>
        <v/>
      </c>
      <c r="F1367" s="3"/>
      <c r="G1367" s="3"/>
      <c r="H1367" s="3"/>
      <c r="I1367" s="3"/>
      <c r="J1367" s="3"/>
      <c r="K1367" s="3"/>
      <c r="L1367" s="19"/>
    </row>
    <row r="1368" spans="1:12">
      <c r="A1368" s="3"/>
      <c r="B1368" t="str">
        <f>IF(_xlfn.XLOOKUP(A1368,PARAMETROS!A:A,PARAMETROS!B:B)=0,"",_xlfn.XLOOKUP(A1368,PARAMETROS!A:A,PARAMETROS!B:B))</f>
        <v/>
      </c>
      <c r="C1368" t="str">
        <f>IF(_xlfn.XLOOKUP(A1368,PARAMETROS!A:A,PARAMETROS!C:C)=0,"",_xlfn.XLOOKUP(A1368,PARAMETROS!A:A,PARAMETROS!C:C))</f>
        <v/>
      </c>
      <c r="D1368" t="str">
        <f>IF(_xlfn.XLOOKUP(A1368,PARAMETROS!A:A,PARAMETROS!D:D)=0,"",_xlfn.XLOOKUP(A1368,PARAMETROS!A:A,PARAMETROS!D:D))</f>
        <v/>
      </c>
      <c r="E1368" t="str">
        <f>IF(_xlfn.XLOOKUP('PREENCHIMENTO|LETIVAS'!A1368,PARAMETROS!A:A,PARAMETROS!I:I)=0,"",_xlfn.XLOOKUP('PREENCHIMENTO|LETIVAS'!A1368,PARAMETROS!A:A,PARAMETROS!I:I))</f>
        <v/>
      </c>
      <c r="F1368" s="3"/>
      <c r="G1368" s="3"/>
      <c r="H1368" s="3"/>
      <c r="I1368" s="3"/>
      <c r="J1368" s="3"/>
      <c r="K1368" s="3"/>
      <c r="L1368" s="19"/>
    </row>
    <row r="1369" spans="1:12">
      <c r="A1369" s="3"/>
      <c r="B1369" t="str">
        <f>IF(_xlfn.XLOOKUP(A1369,PARAMETROS!A:A,PARAMETROS!B:B)=0,"",_xlfn.XLOOKUP(A1369,PARAMETROS!A:A,PARAMETROS!B:B))</f>
        <v/>
      </c>
      <c r="C1369" t="str">
        <f>IF(_xlfn.XLOOKUP(A1369,PARAMETROS!A:A,PARAMETROS!C:C)=0,"",_xlfn.XLOOKUP(A1369,PARAMETROS!A:A,PARAMETROS!C:C))</f>
        <v/>
      </c>
      <c r="D1369" t="str">
        <f>IF(_xlfn.XLOOKUP(A1369,PARAMETROS!A:A,PARAMETROS!D:D)=0,"",_xlfn.XLOOKUP(A1369,PARAMETROS!A:A,PARAMETROS!D:D))</f>
        <v/>
      </c>
      <c r="E1369" t="str">
        <f>IF(_xlfn.XLOOKUP('PREENCHIMENTO|LETIVAS'!A1369,PARAMETROS!A:A,PARAMETROS!I:I)=0,"",_xlfn.XLOOKUP('PREENCHIMENTO|LETIVAS'!A1369,PARAMETROS!A:A,PARAMETROS!I:I))</f>
        <v/>
      </c>
      <c r="F1369" s="3"/>
      <c r="G1369" s="3"/>
      <c r="H1369" s="3"/>
      <c r="I1369" s="3"/>
      <c r="J1369" s="3"/>
      <c r="K1369" s="3"/>
      <c r="L1369" s="19"/>
    </row>
    <row r="1370" spans="1:12">
      <c r="A1370" s="3"/>
      <c r="B1370" t="str">
        <f>IF(_xlfn.XLOOKUP(A1370,PARAMETROS!A:A,PARAMETROS!B:B)=0,"",_xlfn.XLOOKUP(A1370,PARAMETROS!A:A,PARAMETROS!B:B))</f>
        <v/>
      </c>
      <c r="C1370" t="str">
        <f>IF(_xlfn.XLOOKUP(A1370,PARAMETROS!A:A,PARAMETROS!C:C)=0,"",_xlfn.XLOOKUP(A1370,PARAMETROS!A:A,PARAMETROS!C:C))</f>
        <v/>
      </c>
      <c r="D1370" t="str">
        <f>IF(_xlfn.XLOOKUP(A1370,PARAMETROS!A:A,PARAMETROS!D:D)=0,"",_xlfn.XLOOKUP(A1370,PARAMETROS!A:A,PARAMETROS!D:D))</f>
        <v/>
      </c>
      <c r="E1370" t="str">
        <f>IF(_xlfn.XLOOKUP('PREENCHIMENTO|LETIVAS'!A1370,PARAMETROS!A:A,PARAMETROS!I:I)=0,"",_xlfn.XLOOKUP('PREENCHIMENTO|LETIVAS'!A1370,PARAMETROS!A:A,PARAMETROS!I:I))</f>
        <v/>
      </c>
      <c r="F1370" s="3"/>
      <c r="G1370" s="3"/>
      <c r="H1370" s="3"/>
      <c r="I1370" s="3"/>
      <c r="J1370" s="3"/>
      <c r="K1370" s="3"/>
      <c r="L1370" s="19"/>
    </row>
    <row r="1371" spans="1:12">
      <c r="A1371" s="3"/>
      <c r="B1371" t="str">
        <f>IF(_xlfn.XLOOKUP(A1371,PARAMETROS!A:A,PARAMETROS!B:B)=0,"",_xlfn.XLOOKUP(A1371,PARAMETROS!A:A,PARAMETROS!B:B))</f>
        <v/>
      </c>
      <c r="C1371" t="str">
        <f>IF(_xlfn.XLOOKUP(A1371,PARAMETROS!A:A,PARAMETROS!C:C)=0,"",_xlfn.XLOOKUP(A1371,PARAMETROS!A:A,PARAMETROS!C:C))</f>
        <v/>
      </c>
      <c r="D1371" t="str">
        <f>IF(_xlfn.XLOOKUP(A1371,PARAMETROS!A:A,PARAMETROS!D:D)=0,"",_xlfn.XLOOKUP(A1371,PARAMETROS!A:A,PARAMETROS!D:D))</f>
        <v/>
      </c>
      <c r="E1371" t="str">
        <f>IF(_xlfn.XLOOKUP('PREENCHIMENTO|LETIVAS'!A1371,PARAMETROS!A:A,PARAMETROS!I:I)=0,"",_xlfn.XLOOKUP('PREENCHIMENTO|LETIVAS'!A1371,PARAMETROS!A:A,PARAMETROS!I:I))</f>
        <v/>
      </c>
      <c r="F1371" s="3"/>
      <c r="G1371" s="3"/>
      <c r="H1371" s="3"/>
      <c r="I1371" s="3"/>
      <c r="J1371" s="3"/>
      <c r="K1371" s="3"/>
      <c r="L1371" s="19"/>
    </row>
    <row r="1372" spans="1:12">
      <c r="A1372" s="3"/>
      <c r="B1372" t="str">
        <f>IF(_xlfn.XLOOKUP(A1372,PARAMETROS!A:A,PARAMETROS!B:B)=0,"",_xlfn.XLOOKUP(A1372,PARAMETROS!A:A,PARAMETROS!B:B))</f>
        <v/>
      </c>
      <c r="C1372" t="str">
        <f>IF(_xlfn.XLOOKUP(A1372,PARAMETROS!A:A,PARAMETROS!C:C)=0,"",_xlfn.XLOOKUP(A1372,PARAMETROS!A:A,PARAMETROS!C:C))</f>
        <v/>
      </c>
      <c r="D1372" t="str">
        <f>IF(_xlfn.XLOOKUP(A1372,PARAMETROS!A:A,PARAMETROS!D:D)=0,"",_xlfn.XLOOKUP(A1372,PARAMETROS!A:A,PARAMETROS!D:D))</f>
        <v/>
      </c>
      <c r="E1372" t="str">
        <f>IF(_xlfn.XLOOKUP('PREENCHIMENTO|LETIVAS'!A1372,PARAMETROS!A:A,PARAMETROS!I:I)=0,"",_xlfn.XLOOKUP('PREENCHIMENTO|LETIVAS'!A1372,PARAMETROS!A:A,PARAMETROS!I:I))</f>
        <v/>
      </c>
      <c r="F1372" s="3"/>
      <c r="G1372" s="3"/>
      <c r="H1372" s="3"/>
      <c r="I1372" s="3"/>
      <c r="J1372" s="3"/>
      <c r="K1372" s="3"/>
      <c r="L1372" s="19"/>
    </row>
    <row r="1373" spans="1:12">
      <c r="A1373" s="3"/>
      <c r="B1373" t="str">
        <f>IF(_xlfn.XLOOKUP(A1373,PARAMETROS!A:A,PARAMETROS!B:B)=0,"",_xlfn.XLOOKUP(A1373,PARAMETROS!A:A,PARAMETROS!B:B))</f>
        <v/>
      </c>
      <c r="C1373" t="str">
        <f>IF(_xlfn.XLOOKUP(A1373,PARAMETROS!A:A,PARAMETROS!C:C)=0,"",_xlfn.XLOOKUP(A1373,PARAMETROS!A:A,PARAMETROS!C:C))</f>
        <v/>
      </c>
      <c r="D1373" t="str">
        <f>IF(_xlfn.XLOOKUP(A1373,PARAMETROS!A:A,PARAMETROS!D:D)=0,"",_xlfn.XLOOKUP(A1373,PARAMETROS!A:A,PARAMETROS!D:D))</f>
        <v/>
      </c>
      <c r="E1373" t="str">
        <f>IF(_xlfn.XLOOKUP('PREENCHIMENTO|LETIVAS'!A1373,PARAMETROS!A:A,PARAMETROS!I:I)=0,"",_xlfn.XLOOKUP('PREENCHIMENTO|LETIVAS'!A1373,PARAMETROS!A:A,PARAMETROS!I:I))</f>
        <v/>
      </c>
      <c r="F1373" s="3"/>
      <c r="G1373" s="3"/>
      <c r="H1373" s="3"/>
      <c r="I1373" s="3"/>
      <c r="J1373" s="3"/>
      <c r="K1373" s="3"/>
      <c r="L1373" s="19"/>
    </row>
    <row r="1374" spans="1:12">
      <c r="A1374" s="3"/>
      <c r="B1374" t="str">
        <f>IF(_xlfn.XLOOKUP(A1374,PARAMETROS!A:A,PARAMETROS!B:B)=0,"",_xlfn.XLOOKUP(A1374,PARAMETROS!A:A,PARAMETROS!B:B))</f>
        <v/>
      </c>
      <c r="C1374" t="str">
        <f>IF(_xlfn.XLOOKUP(A1374,PARAMETROS!A:A,PARAMETROS!C:C)=0,"",_xlfn.XLOOKUP(A1374,PARAMETROS!A:A,PARAMETROS!C:C))</f>
        <v/>
      </c>
      <c r="D1374" t="str">
        <f>IF(_xlfn.XLOOKUP(A1374,PARAMETROS!A:A,PARAMETROS!D:D)=0,"",_xlfn.XLOOKUP(A1374,PARAMETROS!A:A,PARAMETROS!D:D))</f>
        <v/>
      </c>
      <c r="E1374" t="str">
        <f>IF(_xlfn.XLOOKUP('PREENCHIMENTO|LETIVAS'!A1374,PARAMETROS!A:A,PARAMETROS!I:I)=0,"",_xlfn.XLOOKUP('PREENCHIMENTO|LETIVAS'!A1374,PARAMETROS!A:A,PARAMETROS!I:I))</f>
        <v/>
      </c>
      <c r="F1374" s="3"/>
      <c r="G1374" s="3"/>
      <c r="H1374" s="3"/>
      <c r="I1374" s="3"/>
      <c r="J1374" s="3"/>
      <c r="K1374" s="3"/>
      <c r="L1374" s="19"/>
    </row>
    <row r="1375" spans="1:12">
      <c r="A1375" s="3"/>
      <c r="B1375" t="str">
        <f>IF(_xlfn.XLOOKUP(A1375,PARAMETROS!A:A,PARAMETROS!B:B)=0,"",_xlfn.XLOOKUP(A1375,PARAMETROS!A:A,PARAMETROS!B:B))</f>
        <v/>
      </c>
      <c r="C1375" t="str">
        <f>IF(_xlfn.XLOOKUP(A1375,PARAMETROS!A:A,PARAMETROS!C:C)=0,"",_xlfn.XLOOKUP(A1375,PARAMETROS!A:A,PARAMETROS!C:C))</f>
        <v/>
      </c>
      <c r="D1375" t="str">
        <f>IF(_xlfn.XLOOKUP(A1375,PARAMETROS!A:A,PARAMETROS!D:D)=0,"",_xlfn.XLOOKUP(A1375,PARAMETROS!A:A,PARAMETROS!D:D))</f>
        <v/>
      </c>
      <c r="E1375" t="str">
        <f>IF(_xlfn.XLOOKUP('PREENCHIMENTO|LETIVAS'!A1375,PARAMETROS!A:A,PARAMETROS!I:I)=0,"",_xlfn.XLOOKUP('PREENCHIMENTO|LETIVAS'!A1375,PARAMETROS!A:A,PARAMETROS!I:I))</f>
        <v/>
      </c>
      <c r="F1375" s="3"/>
      <c r="G1375" s="3"/>
      <c r="H1375" s="3"/>
      <c r="I1375" s="3"/>
      <c r="J1375" s="3"/>
      <c r="K1375" s="3"/>
      <c r="L1375" s="19"/>
    </row>
    <row r="1376" spans="1:12">
      <c r="A1376" s="3"/>
      <c r="B1376" t="str">
        <f>IF(_xlfn.XLOOKUP(A1376,PARAMETROS!A:A,PARAMETROS!B:B)=0,"",_xlfn.XLOOKUP(A1376,PARAMETROS!A:A,PARAMETROS!B:B))</f>
        <v/>
      </c>
      <c r="C1376" t="str">
        <f>IF(_xlfn.XLOOKUP(A1376,PARAMETROS!A:A,PARAMETROS!C:C)=0,"",_xlfn.XLOOKUP(A1376,PARAMETROS!A:A,PARAMETROS!C:C))</f>
        <v/>
      </c>
      <c r="D1376" t="str">
        <f>IF(_xlfn.XLOOKUP(A1376,PARAMETROS!A:A,PARAMETROS!D:D)=0,"",_xlfn.XLOOKUP(A1376,PARAMETROS!A:A,PARAMETROS!D:D))</f>
        <v/>
      </c>
      <c r="E1376" t="str">
        <f>IF(_xlfn.XLOOKUP('PREENCHIMENTO|LETIVAS'!A1376,PARAMETROS!A:A,PARAMETROS!I:I)=0,"",_xlfn.XLOOKUP('PREENCHIMENTO|LETIVAS'!A1376,PARAMETROS!A:A,PARAMETROS!I:I))</f>
        <v/>
      </c>
      <c r="F1376" s="3"/>
      <c r="G1376" s="3"/>
      <c r="H1376" s="3"/>
      <c r="I1376" s="3"/>
      <c r="J1376" s="3"/>
      <c r="K1376" s="3"/>
      <c r="L1376" s="19"/>
    </row>
    <row r="1377" spans="1:12">
      <c r="A1377" s="3"/>
      <c r="B1377" t="str">
        <f>IF(_xlfn.XLOOKUP(A1377,PARAMETROS!A:A,PARAMETROS!B:B)=0,"",_xlfn.XLOOKUP(A1377,PARAMETROS!A:A,PARAMETROS!B:B))</f>
        <v/>
      </c>
      <c r="C1377" t="str">
        <f>IF(_xlfn.XLOOKUP(A1377,PARAMETROS!A:A,PARAMETROS!C:C)=0,"",_xlfn.XLOOKUP(A1377,PARAMETROS!A:A,PARAMETROS!C:C))</f>
        <v/>
      </c>
      <c r="D1377" t="str">
        <f>IF(_xlfn.XLOOKUP(A1377,PARAMETROS!A:A,PARAMETROS!D:D)=0,"",_xlfn.XLOOKUP(A1377,PARAMETROS!A:A,PARAMETROS!D:D))</f>
        <v/>
      </c>
      <c r="E1377" t="str">
        <f>IF(_xlfn.XLOOKUP('PREENCHIMENTO|LETIVAS'!A1377,PARAMETROS!A:A,PARAMETROS!I:I)=0,"",_xlfn.XLOOKUP('PREENCHIMENTO|LETIVAS'!A1377,PARAMETROS!A:A,PARAMETROS!I:I))</f>
        <v/>
      </c>
      <c r="F1377" s="3"/>
      <c r="G1377" s="3"/>
      <c r="H1377" s="3"/>
      <c r="I1377" s="3"/>
      <c r="J1377" s="3"/>
      <c r="K1377" s="3"/>
      <c r="L1377" s="19"/>
    </row>
    <row r="1378" spans="1:12">
      <c r="A1378" s="3"/>
      <c r="B1378" t="str">
        <f>IF(_xlfn.XLOOKUP(A1378,PARAMETROS!A:A,PARAMETROS!B:B)=0,"",_xlfn.XLOOKUP(A1378,PARAMETROS!A:A,PARAMETROS!B:B))</f>
        <v/>
      </c>
      <c r="C1378" t="str">
        <f>IF(_xlfn.XLOOKUP(A1378,PARAMETROS!A:A,PARAMETROS!C:C)=0,"",_xlfn.XLOOKUP(A1378,PARAMETROS!A:A,PARAMETROS!C:C))</f>
        <v/>
      </c>
      <c r="D1378" t="str">
        <f>IF(_xlfn.XLOOKUP(A1378,PARAMETROS!A:A,PARAMETROS!D:D)=0,"",_xlfn.XLOOKUP(A1378,PARAMETROS!A:A,PARAMETROS!D:D))</f>
        <v/>
      </c>
      <c r="E1378" t="str">
        <f>IF(_xlfn.XLOOKUP('PREENCHIMENTO|LETIVAS'!A1378,PARAMETROS!A:A,PARAMETROS!I:I)=0,"",_xlfn.XLOOKUP('PREENCHIMENTO|LETIVAS'!A1378,PARAMETROS!A:A,PARAMETROS!I:I))</f>
        <v/>
      </c>
      <c r="F1378" s="3"/>
      <c r="G1378" s="3"/>
      <c r="H1378" s="3"/>
      <c r="I1378" s="3"/>
      <c r="J1378" s="3"/>
      <c r="K1378" s="3"/>
      <c r="L1378" s="19"/>
    </row>
    <row r="1379" spans="1:12">
      <c r="A1379" s="3"/>
      <c r="B1379" t="str">
        <f>IF(_xlfn.XLOOKUP(A1379,PARAMETROS!A:A,PARAMETROS!B:B)=0,"",_xlfn.XLOOKUP(A1379,PARAMETROS!A:A,PARAMETROS!B:B))</f>
        <v/>
      </c>
      <c r="C1379" t="str">
        <f>IF(_xlfn.XLOOKUP(A1379,PARAMETROS!A:A,PARAMETROS!C:C)=0,"",_xlfn.XLOOKUP(A1379,PARAMETROS!A:A,PARAMETROS!C:C))</f>
        <v/>
      </c>
      <c r="D1379" t="str">
        <f>IF(_xlfn.XLOOKUP(A1379,PARAMETROS!A:A,PARAMETROS!D:D)=0,"",_xlfn.XLOOKUP(A1379,PARAMETROS!A:A,PARAMETROS!D:D))</f>
        <v/>
      </c>
      <c r="E1379" t="str">
        <f>IF(_xlfn.XLOOKUP('PREENCHIMENTO|LETIVAS'!A1379,PARAMETROS!A:A,PARAMETROS!I:I)=0,"",_xlfn.XLOOKUP('PREENCHIMENTO|LETIVAS'!A1379,PARAMETROS!A:A,PARAMETROS!I:I))</f>
        <v/>
      </c>
      <c r="F1379" s="3"/>
      <c r="G1379" s="3"/>
      <c r="H1379" s="3"/>
      <c r="I1379" s="3"/>
      <c r="J1379" s="3"/>
      <c r="K1379" s="3"/>
      <c r="L1379" s="19"/>
    </row>
    <row r="1380" spans="1:12">
      <c r="A1380" s="3"/>
      <c r="B1380" t="str">
        <f>IF(_xlfn.XLOOKUP(A1380,PARAMETROS!A:A,PARAMETROS!B:B)=0,"",_xlfn.XLOOKUP(A1380,PARAMETROS!A:A,PARAMETROS!B:B))</f>
        <v/>
      </c>
      <c r="C1380" t="str">
        <f>IF(_xlfn.XLOOKUP(A1380,PARAMETROS!A:A,PARAMETROS!C:C)=0,"",_xlfn.XLOOKUP(A1380,PARAMETROS!A:A,PARAMETROS!C:C))</f>
        <v/>
      </c>
      <c r="D1380" t="str">
        <f>IF(_xlfn.XLOOKUP(A1380,PARAMETROS!A:A,PARAMETROS!D:D)=0,"",_xlfn.XLOOKUP(A1380,PARAMETROS!A:A,PARAMETROS!D:D))</f>
        <v/>
      </c>
      <c r="E1380" t="str">
        <f>IF(_xlfn.XLOOKUP('PREENCHIMENTO|LETIVAS'!A1380,PARAMETROS!A:A,PARAMETROS!I:I)=0,"",_xlfn.XLOOKUP('PREENCHIMENTO|LETIVAS'!A1380,PARAMETROS!A:A,PARAMETROS!I:I))</f>
        <v/>
      </c>
      <c r="F1380" s="3"/>
      <c r="G1380" s="3"/>
      <c r="H1380" s="3"/>
      <c r="I1380" s="3"/>
      <c r="J1380" s="3"/>
      <c r="K1380" s="3"/>
      <c r="L1380" s="19"/>
    </row>
    <row r="1381" spans="1:12">
      <c r="A1381" s="3"/>
      <c r="B1381" t="str">
        <f>IF(_xlfn.XLOOKUP(A1381,PARAMETROS!A:A,PARAMETROS!B:B)=0,"",_xlfn.XLOOKUP(A1381,PARAMETROS!A:A,PARAMETROS!B:B))</f>
        <v/>
      </c>
      <c r="C1381" t="str">
        <f>IF(_xlfn.XLOOKUP(A1381,PARAMETROS!A:A,PARAMETROS!C:C)=0,"",_xlfn.XLOOKUP(A1381,PARAMETROS!A:A,PARAMETROS!C:C))</f>
        <v/>
      </c>
      <c r="D1381" t="str">
        <f>IF(_xlfn.XLOOKUP(A1381,PARAMETROS!A:A,PARAMETROS!D:D)=0,"",_xlfn.XLOOKUP(A1381,PARAMETROS!A:A,PARAMETROS!D:D))</f>
        <v/>
      </c>
      <c r="E1381" t="str">
        <f>IF(_xlfn.XLOOKUP('PREENCHIMENTO|LETIVAS'!A1381,PARAMETROS!A:A,PARAMETROS!I:I)=0,"",_xlfn.XLOOKUP('PREENCHIMENTO|LETIVAS'!A1381,PARAMETROS!A:A,PARAMETROS!I:I))</f>
        <v/>
      </c>
      <c r="F1381" s="3"/>
      <c r="G1381" s="3"/>
      <c r="H1381" s="3"/>
      <c r="I1381" s="3"/>
      <c r="J1381" s="3"/>
      <c r="K1381" s="3"/>
      <c r="L1381" s="19"/>
    </row>
    <row r="1382" spans="1:12">
      <c r="A1382" s="3"/>
      <c r="B1382" t="str">
        <f>IF(_xlfn.XLOOKUP(A1382,PARAMETROS!A:A,PARAMETROS!B:B)=0,"",_xlfn.XLOOKUP(A1382,PARAMETROS!A:A,PARAMETROS!B:B))</f>
        <v/>
      </c>
      <c r="C1382" t="str">
        <f>IF(_xlfn.XLOOKUP(A1382,PARAMETROS!A:A,PARAMETROS!C:C)=0,"",_xlfn.XLOOKUP(A1382,PARAMETROS!A:A,PARAMETROS!C:C))</f>
        <v/>
      </c>
      <c r="D1382" t="str">
        <f>IF(_xlfn.XLOOKUP(A1382,PARAMETROS!A:A,PARAMETROS!D:D)=0,"",_xlfn.XLOOKUP(A1382,PARAMETROS!A:A,PARAMETROS!D:D))</f>
        <v/>
      </c>
      <c r="E1382" t="str">
        <f>IF(_xlfn.XLOOKUP('PREENCHIMENTO|LETIVAS'!A1382,PARAMETROS!A:A,PARAMETROS!I:I)=0,"",_xlfn.XLOOKUP('PREENCHIMENTO|LETIVAS'!A1382,PARAMETROS!A:A,PARAMETROS!I:I))</f>
        <v/>
      </c>
      <c r="F1382" s="3"/>
      <c r="G1382" s="3"/>
      <c r="H1382" s="3"/>
      <c r="I1382" s="3"/>
      <c r="J1382" s="3"/>
      <c r="K1382" s="3"/>
      <c r="L1382" s="19"/>
    </row>
    <row r="1383" spans="1:12">
      <c r="A1383" s="3"/>
      <c r="B1383" t="str">
        <f>IF(_xlfn.XLOOKUP(A1383,PARAMETROS!A:A,PARAMETROS!B:B)=0,"",_xlfn.XLOOKUP(A1383,PARAMETROS!A:A,PARAMETROS!B:B))</f>
        <v/>
      </c>
      <c r="C1383" t="str">
        <f>IF(_xlfn.XLOOKUP(A1383,PARAMETROS!A:A,PARAMETROS!C:C)=0,"",_xlfn.XLOOKUP(A1383,PARAMETROS!A:A,PARAMETROS!C:C))</f>
        <v/>
      </c>
      <c r="D1383" t="str">
        <f>IF(_xlfn.XLOOKUP(A1383,PARAMETROS!A:A,PARAMETROS!D:D)=0,"",_xlfn.XLOOKUP(A1383,PARAMETROS!A:A,PARAMETROS!D:D))</f>
        <v/>
      </c>
      <c r="E1383" t="str">
        <f>IF(_xlfn.XLOOKUP('PREENCHIMENTO|LETIVAS'!A1383,PARAMETROS!A:A,PARAMETROS!I:I)=0,"",_xlfn.XLOOKUP('PREENCHIMENTO|LETIVAS'!A1383,PARAMETROS!A:A,PARAMETROS!I:I))</f>
        <v/>
      </c>
      <c r="F1383" s="3"/>
      <c r="G1383" s="3"/>
      <c r="H1383" s="3"/>
      <c r="I1383" s="3"/>
      <c r="J1383" s="3"/>
      <c r="K1383" s="3"/>
      <c r="L1383" s="19"/>
    </row>
    <row r="1384" spans="1:12">
      <c r="A1384" s="3"/>
      <c r="B1384" t="str">
        <f>IF(_xlfn.XLOOKUP(A1384,PARAMETROS!A:A,PARAMETROS!B:B)=0,"",_xlfn.XLOOKUP(A1384,PARAMETROS!A:A,PARAMETROS!B:B))</f>
        <v/>
      </c>
      <c r="C1384" t="str">
        <f>IF(_xlfn.XLOOKUP(A1384,PARAMETROS!A:A,PARAMETROS!C:C)=0,"",_xlfn.XLOOKUP(A1384,PARAMETROS!A:A,PARAMETROS!C:C))</f>
        <v/>
      </c>
      <c r="D1384" t="str">
        <f>IF(_xlfn.XLOOKUP(A1384,PARAMETROS!A:A,PARAMETROS!D:D)=0,"",_xlfn.XLOOKUP(A1384,PARAMETROS!A:A,PARAMETROS!D:D))</f>
        <v/>
      </c>
      <c r="E1384" t="str">
        <f>IF(_xlfn.XLOOKUP('PREENCHIMENTO|LETIVAS'!A1384,PARAMETROS!A:A,PARAMETROS!I:I)=0,"",_xlfn.XLOOKUP('PREENCHIMENTO|LETIVAS'!A1384,PARAMETROS!A:A,PARAMETROS!I:I))</f>
        <v/>
      </c>
      <c r="F1384" s="3"/>
      <c r="G1384" s="3"/>
      <c r="H1384" s="3"/>
      <c r="I1384" s="3"/>
      <c r="J1384" s="3"/>
      <c r="K1384" s="3"/>
      <c r="L1384" s="19"/>
    </row>
    <row r="1385" spans="1:12">
      <c r="A1385" s="3"/>
      <c r="B1385" t="str">
        <f>IF(_xlfn.XLOOKUP(A1385,PARAMETROS!A:A,PARAMETROS!B:B)=0,"",_xlfn.XLOOKUP(A1385,PARAMETROS!A:A,PARAMETROS!B:B))</f>
        <v/>
      </c>
      <c r="C1385" t="str">
        <f>IF(_xlfn.XLOOKUP(A1385,PARAMETROS!A:A,PARAMETROS!C:C)=0,"",_xlfn.XLOOKUP(A1385,PARAMETROS!A:A,PARAMETROS!C:C))</f>
        <v/>
      </c>
      <c r="D1385" t="str">
        <f>IF(_xlfn.XLOOKUP(A1385,PARAMETROS!A:A,PARAMETROS!D:D)=0,"",_xlfn.XLOOKUP(A1385,PARAMETROS!A:A,PARAMETROS!D:D))</f>
        <v/>
      </c>
      <c r="E1385" t="str">
        <f>IF(_xlfn.XLOOKUP('PREENCHIMENTO|LETIVAS'!A1385,PARAMETROS!A:A,PARAMETROS!I:I)=0,"",_xlfn.XLOOKUP('PREENCHIMENTO|LETIVAS'!A1385,PARAMETROS!A:A,PARAMETROS!I:I))</f>
        <v/>
      </c>
      <c r="F1385" s="3"/>
      <c r="G1385" s="3"/>
      <c r="H1385" s="3"/>
      <c r="I1385" s="3"/>
      <c r="J1385" s="3"/>
      <c r="K1385" s="3"/>
      <c r="L1385" s="19"/>
    </row>
    <row r="1386" spans="1:12">
      <c r="A1386" s="3"/>
      <c r="B1386" t="str">
        <f>IF(_xlfn.XLOOKUP(A1386,PARAMETROS!A:A,PARAMETROS!B:B)=0,"",_xlfn.XLOOKUP(A1386,PARAMETROS!A:A,PARAMETROS!B:B))</f>
        <v/>
      </c>
      <c r="C1386" t="str">
        <f>IF(_xlfn.XLOOKUP(A1386,PARAMETROS!A:A,PARAMETROS!C:C)=0,"",_xlfn.XLOOKUP(A1386,PARAMETROS!A:A,PARAMETROS!C:C))</f>
        <v/>
      </c>
      <c r="D1386" t="str">
        <f>IF(_xlfn.XLOOKUP(A1386,PARAMETROS!A:A,PARAMETROS!D:D)=0,"",_xlfn.XLOOKUP(A1386,PARAMETROS!A:A,PARAMETROS!D:D))</f>
        <v/>
      </c>
      <c r="E1386" t="str">
        <f>IF(_xlfn.XLOOKUP('PREENCHIMENTO|LETIVAS'!A1386,PARAMETROS!A:A,PARAMETROS!I:I)=0,"",_xlfn.XLOOKUP('PREENCHIMENTO|LETIVAS'!A1386,PARAMETROS!A:A,PARAMETROS!I:I))</f>
        <v/>
      </c>
      <c r="F1386" s="3"/>
      <c r="G1386" s="3"/>
      <c r="H1386" s="3"/>
      <c r="I1386" s="3"/>
      <c r="J1386" s="3"/>
      <c r="K1386" s="3"/>
      <c r="L1386" s="19"/>
    </row>
    <row r="1387" spans="1:12">
      <c r="A1387" s="3"/>
      <c r="B1387" t="str">
        <f>IF(_xlfn.XLOOKUP(A1387,PARAMETROS!A:A,PARAMETROS!B:B)=0,"",_xlfn.XLOOKUP(A1387,PARAMETROS!A:A,PARAMETROS!B:B))</f>
        <v/>
      </c>
      <c r="C1387" t="str">
        <f>IF(_xlfn.XLOOKUP(A1387,PARAMETROS!A:A,PARAMETROS!C:C)=0,"",_xlfn.XLOOKUP(A1387,PARAMETROS!A:A,PARAMETROS!C:C))</f>
        <v/>
      </c>
      <c r="D1387" t="str">
        <f>IF(_xlfn.XLOOKUP(A1387,PARAMETROS!A:A,PARAMETROS!D:D)=0,"",_xlfn.XLOOKUP(A1387,PARAMETROS!A:A,PARAMETROS!D:D))</f>
        <v/>
      </c>
      <c r="E1387" t="str">
        <f>IF(_xlfn.XLOOKUP('PREENCHIMENTO|LETIVAS'!A1387,PARAMETROS!A:A,PARAMETROS!I:I)=0,"",_xlfn.XLOOKUP('PREENCHIMENTO|LETIVAS'!A1387,PARAMETROS!A:A,PARAMETROS!I:I))</f>
        <v/>
      </c>
      <c r="F1387" s="3"/>
      <c r="G1387" s="3"/>
      <c r="H1387" s="3"/>
      <c r="I1387" s="3"/>
      <c r="J1387" s="3"/>
      <c r="K1387" s="3"/>
      <c r="L1387" s="19"/>
    </row>
    <row r="1388" spans="1:12">
      <c r="A1388" s="3"/>
      <c r="B1388" t="str">
        <f>IF(_xlfn.XLOOKUP(A1388,PARAMETROS!A:A,PARAMETROS!B:B)=0,"",_xlfn.XLOOKUP(A1388,PARAMETROS!A:A,PARAMETROS!B:B))</f>
        <v/>
      </c>
      <c r="C1388" t="str">
        <f>IF(_xlfn.XLOOKUP(A1388,PARAMETROS!A:A,PARAMETROS!C:C)=0,"",_xlfn.XLOOKUP(A1388,PARAMETROS!A:A,PARAMETROS!C:C))</f>
        <v/>
      </c>
      <c r="D1388" t="str">
        <f>IF(_xlfn.XLOOKUP(A1388,PARAMETROS!A:A,PARAMETROS!D:D)=0,"",_xlfn.XLOOKUP(A1388,PARAMETROS!A:A,PARAMETROS!D:D))</f>
        <v/>
      </c>
      <c r="E1388" t="str">
        <f>IF(_xlfn.XLOOKUP('PREENCHIMENTO|LETIVAS'!A1388,PARAMETROS!A:A,PARAMETROS!I:I)=0,"",_xlfn.XLOOKUP('PREENCHIMENTO|LETIVAS'!A1388,PARAMETROS!A:A,PARAMETROS!I:I))</f>
        <v/>
      </c>
      <c r="F1388" s="3"/>
      <c r="G1388" s="3"/>
      <c r="H1388" s="3"/>
      <c r="I1388" s="3"/>
      <c r="J1388" s="3"/>
      <c r="K1388" s="3"/>
      <c r="L1388" s="19"/>
    </row>
    <row r="1389" spans="1:12">
      <c r="A1389" s="3"/>
      <c r="B1389" t="str">
        <f>IF(_xlfn.XLOOKUP(A1389,PARAMETROS!A:A,PARAMETROS!B:B)=0,"",_xlfn.XLOOKUP(A1389,PARAMETROS!A:A,PARAMETROS!B:B))</f>
        <v/>
      </c>
      <c r="C1389" t="str">
        <f>IF(_xlfn.XLOOKUP(A1389,PARAMETROS!A:A,PARAMETROS!C:C)=0,"",_xlfn.XLOOKUP(A1389,PARAMETROS!A:A,PARAMETROS!C:C))</f>
        <v/>
      </c>
      <c r="D1389" t="str">
        <f>IF(_xlfn.XLOOKUP(A1389,PARAMETROS!A:A,PARAMETROS!D:D)=0,"",_xlfn.XLOOKUP(A1389,PARAMETROS!A:A,PARAMETROS!D:D))</f>
        <v/>
      </c>
      <c r="E1389" t="str">
        <f>IF(_xlfn.XLOOKUP('PREENCHIMENTO|LETIVAS'!A1389,PARAMETROS!A:A,PARAMETROS!I:I)=0,"",_xlfn.XLOOKUP('PREENCHIMENTO|LETIVAS'!A1389,PARAMETROS!A:A,PARAMETROS!I:I))</f>
        <v/>
      </c>
      <c r="F1389" s="3"/>
      <c r="G1389" s="3"/>
      <c r="H1389" s="3"/>
      <c r="I1389" s="3"/>
      <c r="J1389" s="3"/>
      <c r="K1389" s="3"/>
      <c r="L1389" s="19"/>
    </row>
    <row r="1390" spans="1:12">
      <c r="A1390" s="3"/>
      <c r="B1390" t="str">
        <f>IF(_xlfn.XLOOKUP(A1390,PARAMETROS!A:A,PARAMETROS!B:B)=0,"",_xlfn.XLOOKUP(A1390,PARAMETROS!A:A,PARAMETROS!B:B))</f>
        <v/>
      </c>
      <c r="C1390" t="str">
        <f>IF(_xlfn.XLOOKUP(A1390,PARAMETROS!A:A,PARAMETROS!C:C)=0,"",_xlfn.XLOOKUP(A1390,PARAMETROS!A:A,PARAMETROS!C:C))</f>
        <v/>
      </c>
      <c r="D1390" t="str">
        <f>IF(_xlfn.XLOOKUP(A1390,PARAMETROS!A:A,PARAMETROS!D:D)=0,"",_xlfn.XLOOKUP(A1390,PARAMETROS!A:A,PARAMETROS!D:D))</f>
        <v/>
      </c>
      <c r="E1390" t="str">
        <f>IF(_xlfn.XLOOKUP('PREENCHIMENTO|LETIVAS'!A1390,PARAMETROS!A:A,PARAMETROS!I:I)=0,"",_xlfn.XLOOKUP('PREENCHIMENTO|LETIVAS'!A1390,PARAMETROS!A:A,PARAMETROS!I:I))</f>
        <v/>
      </c>
      <c r="F1390" s="3"/>
      <c r="G1390" s="3"/>
      <c r="H1390" s="3"/>
      <c r="I1390" s="3"/>
      <c r="J1390" s="3"/>
      <c r="K1390" s="3"/>
      <c r="L1390" s="19"/>
    </row>
    <row r="1391" spans="1:12">
      <c r="A1391" s="3"/>
      <c r="B1391" t="str">
        <f>IF(_xlfn.XLOOKUP(A1391,PARAMETROS!A:A,PARAMETROS!B:B)=0,"",_xlfn.XLOOKUP(A1391,PARAMETROS!A:A,PARAMETROS!B:B))</f>
        <v/>
      </c>
      <c r="C1391" t="str">
        <f>IF(_xlfn.XLOOKUP(A1391,PARAMETROS!A:A,PARAMETROS!C:C)=0,"",_xlfn.XLOOKUP(A1391,PARAMETROS!A:A,PARAMETROS!C:C))</f>
        <v/>
      </c>
      <c r="D1391" t="str">
        <f>IF(_xlfn.XLOOKUP(A1391,PARAMETROS!A:A,PARAMETROS!D:D)=0,"",_xlfn.XLOOKUP(A1391,PARAMETROS!A:A,PARAMETROS!D:D))</f>
        <v/>
      </c>
      <c r="E1391" t="str">
        <f>IF(_xlfn.XLOOKUP('PREENCHIMENTO|LETIVAS'!A1391,PARAMETROS!A:A,PARAMETROS!I:I)=0,"",_xlfn.XLOOKUP('PREENCHIMENTO|LETIVAS'!A1391,PARAMETROS!A:A,PARAMETROS!I:I))</f>
        <v/>
      </c>
      <c r="F1391" s="3"/>
      <c r="G1391" s="3"/>
      <c r="H1391" s="3"/>
      <c r="I1391" s="3"/>
      <c r="J1391" s="3"/>
      <c r="K1391" s="3"/>
      <c r="L1391" s="19"/>
    </row>
    <row r="1392" spans="1:12">
      <c r="A1392" s="3"/>
      <c r="B1392" t="str">
        <f>IF(_xlfn.XLOOKUP(A1392,PARAMETROS!A:A,PARAMETROS!B:B)=0,"",_xlfn.XLOOKUP(A1392,PARAMETROS!A:A,PARAMETROS!B:B))</f>
        <v/>
      </c>
      <c r="C1392" t="str">
        <f>IF(_xlfn.XLOOKUP(A1392,PARAMETROS!A:A,PARAMETROS!C:C)=0,"",_xlfn.XLOOKUP(A1392,PARAMETROS!A:A,PARAMETROS!C:C))</f>
        <v/>
      </c>
      <c r="D1392" t="str">
        <f>IF(_xlfn.XLOOKUP(A1392,PARAMETROS!A:A,PARAMETROS!D:D)=0,"",_xlfn.XLOOKUP(A1392,PARAMETROS!A:A,PARAMETROS!D:D))</f>
        <v/>
      </c>
      <c r="E1392" t="str">
        <f>IF(_xlfn.XLOOKUP('PREENCHIMENTO|LETIVAS'!A1392,PARAMETROS!A:A,PARAMETROS!I:I)=0,"",_xlfn.XLOOKUP('PREENCHIMENTO|LETIVAS'!A1392,PARAMETROS!A:A,PARAMETROS!I:I))</f>
        <v/>
      </c>
      <c r="F1392" s="3"/>
      <c r="G1392" s="3"/>
      <c r="H1392" s="3"/>
      <c r="I1392" s="3"/>
      <c r="J1392" s="3"/>
      <c r="K1392" s="3"/>
      <c r="L1392" s="19"/>
    </row>
    <row r="1393" spans="1:12">
      <c r="A1393" s="3"/>
      <c r="B1393" t="str">
        <f>IF(_xlfn.XLOOKUP(A1393,PARAMETROS!A:A,PARAMETROS!B:B)=0,"",_xlfn.XLOOKUP(A1393,PARAMETROS!A:A,PARAMETROS!B:B))</f>
        <v/>
      </c>
      <c r="C1393" t="str">
        <f>IF(_xlfn.XLOOKUP(A1393,PARAMETROS!A:A,PARAMETROS!C:C)=0,"",_xlfn.XLOOKUP(A1393,PARAMETROS!A:A,PARAMETROS!C:C))</f>
        <v/>
      </c>
      <c r="D1393" t="str">
        <f>IF(_xlfn.XLOOKUP(A1393,PARAMETROS!A:A,PARAMETROS!D:D)=0,"",_xlfn.XLOOKUP(A1393,PARAMETROS!A:A,PARAMETROS!D:D))</f>
        <v/>
      </c>
      <c r="E1393" t="str">
        <f>IF(_xlfn.XLOOKUP('PREENCHIMENTO|LETIVAS'!A1393,PARAMETROS!A:A,PARAMETROS!I:I)=0,"",_xlfn.XLOOKUP('PREENCHIMENTO|LETIVAS'!A1393,PARAMETROS!A:A,PARAMETROS!I:I))</f>
        <v/>
      </c>
      <c r="F1393" s="3"/>
      <c r="G1393" s="3"/>
      <c r="H1393" s="3"/>
      <c r="I1393" s="3"/>
      <c r="J1393" s="3"/>
      <c r="K1393" s="3"/>
      <c r="L1393" s="19"/>
    </row>
    <row r="1394" spans="1:12">
      <c r="A1394" s="3"/>
      <c r="B1394" t="str">
        <f>IF(_xlfn.XLOOKUP(A1394,PARAMETROS!A:A,PARAMETROS!B:B)=0,"",_xlfn.XLOOKUP(A1394,PARAMETROS!A:A,PARAMETROS!B:B))</f>
        <v/>
      </c>
      <c r="C1394" t="str">
        <f>IF(_xlfn.XLOOKUP(A1394,PARAMETROS!A:A,PARAMETROS!C:C)=0,"",_xlfn.XLOOKUP(A1394,PARAMETROS!A:A,PARAMETROS!C:C))</f>
        <v/>
      </c>
      <c r="D1394" t="str">
        <f>IF(_xlfn.XLOOKUP(A1394,PARAMETROS!A:A,PARAMETROS!D:D)=0,"",_xlfn.XLOOKUP(A1394,PARAMETROS!A:A,PARAMETROS!D:D))</f>
        <v/>
      </c>
      <c r="E1394" t="str">
        <f>IF(_xlfn.XLOOKUP('PREENCHIMENTO|LETIVAS'!A1394,PARAMETROS!A:A,PARAMETROS!I:I)=0,"",_xlfn.XLOOKUP('PREENCHIMENTO|LETIVAS'!A1394,PARAMETROS!A:A,PARAMETROS!I:I))</f>
        <v/>
      </c>
      <c r="F1394" s="3"/>
      <c r="G1394" s="3"/>
      <c r="H1394" s="3"/>
      <c r="I1394" s="3"/>
      <c r="J1394" s="3"/>
      <c r="K1394" s="3"/>
      <c r="L1394" s="19"/>
    </row>
    <row r="1395" spans="1:12">
      <c r="A1395" s="3"/>
      <c r="B1395" t="str">
        <f>IF(_xlfn.XLOOKUP(A1395,PARAMETROS!A:A,PARAMETROS!B:B)=0,"",_xlfn.XLOOKUP(A1395,PARAMETROS!A:A,PARAMETROS!B:B))</f>
        <v/>
      </c>
      <c r="C1395" t="str">
        <f>IF(_xlfn.XLOOKUP(A1395,PARAMETROS!A:A,PARAMETROS!C:C)=0,"",_xlfn.XLOOKUP(A1395,PARAMETROS!A:A,PARAMETROS!C:C))</f>
        <v/>
      </c>
      <c r="D1395" t="str">
        <f>IF(_xlfn.XLOOKUP(A1395,PARAMETROS!A:A,PARAMETROS!D:D)=0,"",_xlfn.XLOOKUP(A1395,PARAMETROS!A:A,PARAMETROS!D:D))</f>
        <v/>
      </c>
      <c r="E1395" t="str">
        <f>IF(_xlfn.XLOOKUP('PREENCHIMENTO|LETIVAS'!A1395,PARAMETROS!A:A,PARAMETROS!I:I)=0,"",_xlfn.XLOOKUP('PREENCHIMENTO|LETIVAS'!A1395,PARAMETROS!A:A,PARAMETROS!I:I))</f>
        <v/>
      </c>
      <c r="F1395" s="3"/>
      <c r="G1395" s="3"/>
      <c r="H1395" s="3"/>
      <c r="I1395" s="3"/>
      <c r="J1395" s="3"/>
      <c r="K1395" s="3"/>
      <c r="L1395" s="19"/>
    </row>
    <row r="1396" spans="1:12">
      <c r="A1396" s="3"/>
      <c r="B1396" t="str">
        <f>IF(_xlfn.XLOOKUP(A1396,PARAMETROS!A:A,PARAMETROS!B:B)=0,"",_xlfn.XLOOKUP(A1396,PARAMETROS!A:A,PARAMETROS!B:B))</f>
        <v/>
      </c>
      <c r="C1396" t="str">
        <f>IF(_xlfn.XLOOKUP(A1396,PARAMETROS!A:A,PARAMETROS!C:C)=0,"",_xlfn.XLOOKUP(A1396,PARAMETROS!A:A,PARAMETROS!C:C))</f>
        <v/>
      </c>
      <c r="D1396" t="str">
        <f>IF(_xlfn.XLOOKUP(A1396,PARAMETROS!A:A,PARAMETROS!D:D)=0,"",_xlfn.XLOOKUP(A1396,PARAMETROS!A:A,PARAMETROS!D:D))</f>
        <v/>
      </c>
      <c r="E1396" t="str">
        <f>IF(_xlfn.XLOOKUP('PREENCHIMENTO|LETIVAS'!A1396,PARAMETROS!A:A,PARAMETROS!I:I)=0,"",_xlfn.XLOOKUP('PREENCHIMENTO|LETIVAS'!A1396,PARAMETROS!A:A,PARAMETROS!I:I))</f>
        <v/>
      </c>
      <c r="F1396" s="3"/>
      <c r="G1396" s="3"/>
      <c r="H1396" s="3"/>
      <c r="I1396" s="3"/>
      <c r="J1396" s="3"/>
      <c r="K1396" s="3"/>
      <c r="L1396" s="19"/>
    </row>
    <row r="1397" spans="1:12">
      <c r="A1397" s="3"/>
      <c r="B1397" t="str">
        <f>IF(_xlfn.XLOOKUP(A1397,PARAMETROS!A:A,PARAMETROS!B:B)=0,"",_xlfn.XLOOKUP(A1397,PARAMETROS!A:A,PARAMETROS!B:B))</f>
        <v/>
      </c>
      <c r="C1397" t="str">
        <f>IF(_xlfn.XLOOKUP(A1397,PARAMETROS!A:A,PARAMETROS!C:C)=0,"",_xlfn.XLOOKUP(A1397,PARAMETROS!A:A,PARAMETROS!C:C))</f>
        <v/>
      </c>
      <c r="D1397" t="str">
        <f>IF(_xlfn.XLOOKUP(A1397,PARAMETROS!A:A,PARAMETROS!D:D)=0,"",_xlfn.XLOOKUP(A1397,PARAMETROS!A:A,PARAMETROS!D:D))</f>
        <v/>
      </c>
      <c r="E1397" t="str">
        <f>IF(_xlfn.XLOOKUP('PREENCHIMENTO|LETIVAS'!A1397,PARAMETROS!A:A,PARAMETROS!I:I)=0,"",_xlfn.XLOOKUP('PREENCHIMENTO|LETIVAS'!A1397,PARAMETROS!A:A,PARAMETROS!I:I))</f>
        <v/>
      </c>
      <c r="F1397" s="3"/>
      <c r="G1397" s="3"/>
      <c r="H1397" s="3"/>
      <c r="I1397" s="3"/>
      <c r="J1397" s="3"/>
      <c r="K1397" s="3"/>
      <c r="L1397" s="19"/>
    </row>
    <row r="1398" spans="1:12">
      <c r="A1398" s="3"/>
      <c r="B1398" t="str">
        <f>IF(_xlfn.XLOOKUP(A1398,PARAMETROS!A:A,PARAMETROS!B:B)=0,"",_xlfn.XLOOKUP(A1398,PARAMETROS!A:A,PARAMETROS!B:B))</f>
        <v/>
      </c>
      <c r="C1398" t="str">
        <f>IF(_xlfn.XLOOKUP(A1398,PARAMETROS!A:A,PARAMETROS!C:C)=0,"",_xlfn.XLOOKUP(A1398,PARAMETROS!A:A,PARAMETROS!C:C))</f>
        <v/>
      </c>
      <c r="D1398" t="str">
        <f>IF(_xlfn.XLOOKUP(A1398,PARAMETROS!A:A,PARAMETROS!D:D)=0,"",_xlfn.XLOOKUP(A1398,PARAMETROS!A:A,PARAMETROS!D:D))</f>
        <v/>
      </c>
      <c r="E1398" t="str">
        <f>IF(_xlfn.XLOOKUP('PREENCHIMENTO|LETIVAS'!A1398,PARAMETROS!A:A,PARAMETROS!I:I)=0,"",_xlfn.XLOOKUP('PREENCHIMENTO|LETIVAS'!A1398,PARAMETROS!A:A,PARAMETROS!I:I))</f>
        <v/>
      </c>
      <c r="F1398" s="3"/>
      <c r="G1398" s="3"/>
      <c r="H1398" s="3"/>
      <c r="I1398" s="3"/>
      <c r="J1398" s="3"/>
      <c r="K1398" s="3"/>
      <c r="L1398" s="19"/>
    </row>
    <row r="1399" spans="1:12">
      <c r="A1399" s="3"/>
      <c r="B1399" t="str">
        <f>IF(_xlfn.XLOOKUP(A1399,PARAMETROS!A:A,PARAMETROS!B:B)=0,"",_xlfn.XLOOKUP(A1399,PARAMETROS!A:A,PARAMETROS!B:B))</f>
        <v/>
      </c>
      <c r="C1399" t="str">
        <f>IF(_xlfn.XLOOKUP(A1399,PARAMETROS!A:A,PARAMETROS!C:C)=0,"",_xlfn.XLOOKUP(A1399,PARAMETROS!A:A,PARAMETROS!C:C))</f>
        <v/>
      </c>
      <c r="D1399" t="str">
        <f>IF(_xlfn.XLOOKUP(A1399,PARAMETROS!A:A,PARAMETROS!D:D)=0,"",_xlfn.XLOOKUP(A1399,PARAMETROS!A:A,PARAMETROS!D:D))</f>
        <v/>
      </c>
      <c r="E1399" t="str">
        <f>IF(_xlfn.XLOOKUP('PREENCHIMENTO|LETIVAS'!A1399,PARAMETROS!A:A,PARAMETROS!I:I)=0,"",_xlfn.XLOOKUP('PREENCHIMENTO|LETIVAS'!A1399,PARAMETROS!A:A,PARAMETROS!I:I))</f>
        <v/>
      </c>
      <c r="F1399" s="3"/>
      <c r="G1399" s="3"/>
      <c r="H1399" s="3"/>
      <c r="I1399" s="3"/>
      <c r="J1399" s="3"/>
      <c r="K1399" s="3"/>
      <c r="L1399" s="19"/>
    </row>
    <row r="1400" spans="1:12">
      <c r="A1400" s="3"/>
      <c r="B1400" t="str">
        <f>IF(_xlfn.XLOOKUP(A1400,PARAMETROS!A:A,PARAMETROS!B:B)=0,"",_xlfn.XLOOKUP(A1400,PARAMETROS!A:A,PARAMETROS!B:B))</f>
        <v/>
      </c>
      <c r="C1400" t="str">
        <f>IF(_xlfn.XLOOKUP(A1400,PARAMETROS!A:A,PARAMETROS!C:C)=0,"",_xlfn.XLOOKUP(A1400,PARAMETROS!A:A,PARAMETROS!C:C))</f>
        <v/>
      </c>
      <c r="D1400" t="str">
        <f>IF(_xlfn.XLOOKUP(A1400,PARAMETROS!A:A,PARAMETROS!D:D)=0,"",_xlfn.XLOOKUP(A1400,PARAMETROS!A:A,PARAMETROS!D:D))</f>
        <v/>
      </c>
      <c r="E1400" t="str">
        <f>IF(_xlfn.XLOOKUP('PREENCHIMENTO|LETIVAS'!A1400,PARAMETROS!A:A,PARAMETROS!I:I)=0,"",_xlfn.XLOOKUP('PREENCHIMENTO|LETIVAS'!A1400,PARAMETROS!A:A,PARAMETROS!I:I))</f>
        <v/>
      </c>
      <c r="F1400" s="3"/>
      <c r="G1400" s="3"/>
      <c r="H1400" s="3"/>
      <c r="I1400" s="3"/>
      <c r="J1400" s="3"/>
      <c r="K1400" s="3"/>
      <c r="L1400" s="19"/>
    </row>
    <row r="1401" spans="1:12">
      <c r="A1401" s="3"/>
      <c r="B1401" t="str">
        <f>IF(_xlfn.XLOOKUP(A1401,PARAMETROS!A:A,PARAMETROS!B:B)=0,"",_xlfn.XLOOKUP(A1401,PARAMETROS!A:A,PARAMETROS!B:B))</f>
        <v/>
      </c>
      <c r="C1401" t="str">
        <f>IF(_xlfn.XLOOKUP(A1401,PARAMETROS!A:A,PARAMETROS!C:C)=0,"",_xlfn.XLOOKUP(A1401,PARAMETROS!A:A,PARAMETROS!C:C))</f>
        <v/>
      </c>
      <c r="D1401" t="str">
        <f>IF(_xlfn.XLOOKUP(A1401,PARAMETROS!A:A,PARAMETROS!D:D)=0,"",_xlfn.XLOOKUP(A1401,PARAMETROS!A:A,PARAMETROS!D:D))</f>
        <v/>
      </c>
      <c r="E1401" t="str">
        <f>IF(_xlfn.XLOOKUP('PREENCHIMENTO|LETIVAS'!A1401,PARAMETROS!A:A,PARAMETROS!I:I)=0,"",_xlfn.XLOOKUP('PREENCHIMENTO|LETIVAS'!A1401,PARAMETROS!A:A,PARAMETROS!I:I))</f>
        <v/>
      </c>
      <c r="F1401" s="3"/>
      <c r="G1401" s="3"/>
      <c r="H1401" s="3"/>
      <c r="I1401" s="3"/>
      <c r="J1401" s="3"/>
      <c r="K1401" s="3"/>
      <c r="L1401" s="19"/>
    </row>
    <row r="1402" spans="1:12">
      <c r="A1402" s="3"/>
      <c r="B1402" t="str">
        <f>IF(_xlfn.XLOOKUP(A1402,PARAMETROS!A:A,PARAMETROS!B:B)=0,"",_xlfn.XLOOKUP(A1402,PARAMETROS!A:A,PARAMETROS!B:B))</f>
        <v/>
      </c>
      <c r="C1402" t="str">
        <f>IF(_xlfn.XLOOKUP(A1402,PARAMETROS!A:A,PARAMETROS!C:C)=0,"",_xlfn.XLOOKUP(A1402,PARAMETROS!A:A,PARAMETROS!C:C))</f>
        <v/>
      </c>
      <c r="D1402" t="str">
        <f>IF(_xlfn.XLOOKUP(A1402,PARAMETROS!A:A,PARAMETROS!D:D)=0,"",_xlfn.XLOOKUP(A1402,PARAMETROS!A:A,PARAMETROS!D:D))</f>
        <v/>
      </c>
      <c r="E1402" t="str">
        <f>IF(_xlfn.XLOOKUP('PREENCHIMENTO|LETIVAS'!A1402,PARAMETROS!A:A,PARAMETROS!I:I)=0,"",_xlfn.XLOOKUP('PREENCHIMENTO|LETIVAS'!A1402,PARAMETROS!A:A,PARAMETROS!I:I))</f>
        <v/>
      </c>
      <c r="F1402" s="3"/>
      <c r="G1402" s="3"/>
      <c r="H1402" s="3"/>
      <c r="I1402" s="3"/>
      <c r="J1402" s="3"/>
      <c r="K1402" s="3"/>
      <c r="L1402" s="19"/>
    </row>
    <row r="1403" spans="1:12">
      <c r="A1403" s="3"/>
      <c r="B1403" t="str">
        <f>IF(_xlfn.XLOOKUP(A1403,PARAMETROS!A:A,PARAMETROS!B:B)=0,"",_xlfn.XLOOKUP(A1403,PARAMETROS!A:A,PARAMETROS!B:B))</f>
        <v/>
      </c>
      <c r="C1403" t="str">
        <f>IF(_xlfn.XLOOKUP(A1403,PARAMETROS!A:A,PARAMETROS!C:C)=0,"",_xlfn.XLOOKUP(A1403,PARAMETROS!A:A,PARAMETROS!C:C))</f>
        <v/>
      </c>
      <c r="D1403" t="str">
        <f>IF(_xlfn.XLOOKUP(A1403,PARAMETROS!A:A,PARAMETROS!D:D)=0,"",_xlfn.XLOOKUP(A1403,PARAMETROS!A:A,PARAMETROS!D:D))</f>
        <v/>
      </c>
      <c r="E1403" t="str">
        <f>IF(_xlfn.XLOOKUP('PREENCHIMENTO|LETIVAS'!A1403,PARAMETROS!A:A,PARAMETROS!I:I)=0,"",_xlfn.XLOOKUP('PREENCHIMENTO|LETIVAS'!A1403,PARAMETROS!A:A,PARAMETROS!I:I))</f>
        <v/>
      </c>
      <c r="F1403" s="3"/>
      <c r="G1403" s="3"/>
      <c r="H1403" s="3"/>
      <c r="I1403" s="3"/>
      <c r="J1403" s="3"/>
      <c r="K1403" s="3"/>
      <c r="L1403" s="19"/>
    </row>
    <row r="1404" spans="1:12">
      <c r="A1404" s="3"/>
      <c r="B1404" t="str">
        <f>IF(_xlfn.XLOOKUP(A1404,PARAMETROS!A:A,PARAMETROS!B:B)=0,"",_xlfn.XLOOKUP(A1404,PARAMETROS!A:A,PARAMETROS!B:B))</f>
        <v/>
      </c>
      <c r="C1404" t="str">
        <f>IF(_xlfn.XLOOKUP(A1404,PARAMETROS!A:A,PARAMETROS!C:C)=0,"",_xlfn.XLOOKUP(A1404,PARAMETROS!A:A,PARAMETROS!C:C))</f>
        <v/>
      </c>
      <c r="D1404" t="str">
        <f>IF(_xlfn.XLOOKUP(A1404,PARAMETROS!A:A,PARAMETROS!D:D)=0,"",_xlfn.XLOOKUP(A1404,PARAMETROS!A:A,PARAMETROS!D:D))</f>
        <v/>
      </c>
      <c r="E1404" t="str">
        <f>IF(_xlfn.XLOOKUP('PREENCHIMENTO|LETIVAS'!A1404,PARAMETROS!A:A,PARAMETROS!I:I)=0,"",_xlfn.XLOOKUP('PREENCHIMENTO|LETIVAS'!A1404,PARAMETROS!A:A,PARAMETROS!I:I))</f>
        <v/>
      </c>
      <c r="F1404" s="3"/>
      <c r="G1404" s="3"/>
      <c r="H1404" s="3"/>
      <c r="I1404" s="3"/>
      <c r="J1404" s="3"/>
      <c r="K1404" s="3"/>
      <c r="L1404" s="19"/>
    </row>
    <row r="1405" spans="1:12">
      <c r="A1405" s="3"/>
      <c r="B1405" t="str">
        <f>IF(_xlfn.XLOOKUP(A1405,PARAMETROS!A:A,PARAMETROS!B:B)=0,"",_xlfn.XLOOKUP(A1405,PARAMETROS!A:A,PARAMETROS!B:B))</f>
        <v/>
      </c>
      <c r="C1405" t="str">
        <f>IF(_xlfn.XLOOKUP(A1405,PARAMETROS!A:A,PARAMETROS!C:C)=0,"",_xlfn.XLOOKUP(A1405,PARAMETROS!A:A,PARAMETROS!C:C))</f>
        <v/>
      </c>
      <c r="D1405" t="str">
        <f>IF(_xlfn.XLOOKUP(A1405,PARAMETROS!A:A,PARAMETROS!D:D)=0,"",_xlfn.XLOOKUP(A1405,PARAMETROS!A:A,PARAMETROS!D:D))</f>
        <v/>
      </c>
      <c r="E1405" t="str">
        <f>IF(_xlfn.XLOOKUP('PREENCHIMENTO|LETIVAS'!A1405,PARAMETROS!A:A,PARAMETROS!I:I)=0,"",_xlfn.XLOOKUP('PREENCHIMENTO|LETIVAS'!A1405,PARAMETROS!A:A,PARAMETROS!I:I))</f>
        <v/>
      </c>
      <c r="F1405" s="3"/>
      <c r="G1405" s="3"/>
      <c r="H1405" s="3"/>
      <c r="I1405" s="3"/>
      <c r="J1405" s="3"/>
      <c r="K1405" s="3"/>
      <c r="L1405" s="19"/>
    </row>
    <row r="1406" spans="1:12">
      <c r="A1406" s="3"/>
      <c r="B1406" t="str">
        <f>IF(_xlfn.XLOOKUP(A1406,PARAMETROS!A:A,PARAMETROS!B:B)=0,"",_xlfn.XLOOKUP(A1406,PARAMETROS!A:A,PARAMETROS!B:B))</f>
        <v/>
      </c>
      <c r="C1406" t="str">
        <f>IF(_xlfn.XLOOKUP(A1406,PARAMETROS!A:A,PARAMETROS!C:C)=0,"",_xlfn.XLOOKUP(A1406,PARAMETROS!A:A,PARAMETROS!C:C))</f>
        <v/>
      </c>
      <c r="D1406" t="str">
        <f>IF(_xlfn.XLOOKUP(A1406,PARAMETROS!A:A,PARAMETROS!D:D)=0,"",_xlfn.XLOOKUP(A1406,PARAMETROS!A:A,PARAMETROS!D:D))</f>
        <v/>
      </c>
      <c r="E1406" t="str">
        <f>IF(_xlfn.XLOOKUP('PREENCHIMENTO|LETIVAS'!A1406,PARAMETROS!A:A,PARAMETROS!I:I)=0,"",_xlfn.XLOOKUP('PREENCHIMENTO|LETIVAS'!A1406,PARAMETROS!A:A,PARAMETROS!I:I))</f>
        <v/>
      </c>
      <c r="F1406" s="3"/>
      <c r="G1406" s="3"/>
      <c r="H1406" s="3"/>
      <c r="I1406" s="3"/>
      <c r="J1406" s="3"/>
      <c r="K1406" s="3"/>
      <c r="L1406" s="19"/>
    </row>
    <row r="1407" spans="1:12">
      <c r="A1407" s="3"/>
      <c r="B1407" t="str">
        <f>IF(_xlfn.XLOOKUP(A1407,PARAMETROS!A:A,PARAMETROS!B:B)=0,"",_xlfn.XLOOKUP(A1407,PARAMETROS!A:A,PARAMETROS!B:B))</f>
        <v/>
      </c>
      <c r="C1407" t="str">
        <f>IF(_xlfn.XLOOKUP(A1407,PARAMETROS!A:A,PARAMETROS!C:C)=0,"",_xlfn.XLOOKUP(A1407,PARAMETROS!A:A,PARAMETROS!C:C))</f>
        <v/>
      </c>
      <c r="D1407" t="str">
        <f>IF(_xlfn.XLOOKUP(A1407,PARAMETROS!A:A,PARAMETROS!D:D)=0,"",_xlfn.XLOOKUP(A1407,PARAMETROS!A:A,PARAMETROS!D:D))</f>
        <v/>
      </c>
      <c r="E1407" t="str">
        <f>IF(_xlfn.XLOOKUP('PREENCHIMENTO|LETIVAS'!A1407,PARAMETROS!A:A,PARAMETROS!I:I)=0,"",_xlfn.XLOOKUP('PREENCHIMENTO|LETIVAS'!A1407,PARAMETROS!A:A,PARAMETROS!I:I))</f>
        <v/>
      </c>
      <c r="F1407" s="3"/>
      <c r="G1407" s="3"/>
      <c r="H1407" s="3"/>
      <c r="I1407" s="3"/>
      <c r="J1407" s="3"/>
      <c r="K1407" s="3"/>
      <c r="L1407" s="19"/>
    </row>
    <row r="1408" spans="1:12">
      <c r="A1408" s="3"/>
      <c r="B1408" t="str">
        <f>IF(_xlfn.XLOOKUP(A1408,PARAMETROS!A:A,PARAMETROS!B:B)=0,"",_xlfn.XLOOKUP(A1408,PARAMETROS!A:A,PARAMETROS!B:B))</f>
        <v/>
      </c>
      <c r="C1408" t="str">
        <f>IF(_xlfn.XLOOKUP(A1408,PARAMETROS!A:A,PARAMETROS!C:C)=0,"",_xlfn.XLOOKUP(A1408,PARAMETROS!A:A,PARAMETROS!C:C))</f>
        <v/>
      </c>
      <c r="D1408" t="str">
        <f>IF(_xlfn.XLOOKUP(A1408,PARAMETROS!A:A,PARAMETROS!D:D)=0,"",_xlfn.XLOOKUP(A1408,PARAMETROS!A:A,PARAMETROS!D:D))</f>
        <v/>
      </c>
      <c r="E1408" t="str">
        <f>IF(_xlfn.XLOOKUP('PREENCHIMENTO|LETIVAS'!A1408,PARAMETROS!A:A,PARAMETROS!I:I)=0,"",_xlfn.XLOOKUP('PREENCHIMENTO|LETIVAS'!A1408,PARAMETROS!A:A,PARAMETROS!I:I))</f>
        <v/>
      </c>
      <c r="F1408" s="3"/>
      <c r="G1408" s="3"/>
      <c r="H1408" s="3"/>
      <c r="I1408" s="3"/>
      <c r="J1408" s="3"/>
      <c r="K1408" s="3"/>
      <c r="L1408" s="19"/>
    </row>
    <row r="1409" spans="1:12">
      <c r="A1409" s="3"/>
      <c r="B1409" t="str">
        <f>IF(_xlfn.XLOOKUP(A1409,PARAMETROS!A:A,PARAMETROS!B:B)=0,"",_xlfn.XLOOKUP(A1409,PARAMETROS!A:A,PARAMETROS!B:B))</f>
        <v/>
      </c>
      <c r="C1409" t="str">
        <f>IF(_xlfn.XLOOKUP(A1409,PARAMETROS!A:A,PARAMETROS!C:C)=0,"",_xlfn.XLOOKUP(A1409,PARAMETROS!A:A,PARAMETROS!C:C))</f>
        <v/>
      </c>
      <c r="D1409" t="str">
        <f>IF(_xlfn.XLOOKUP(A1409,PARAMETROS!A:A,PARAMETROS!D:D)=0,"",_xlfn.XLOOKUP(A1409,PARAMETROS!A:A,PARAMETROS!D:D))</f>
        <v/>
      </c>
      <c r="E1409" t="str">
        <f>IF(_xlfn.XLOOKUP('PREENCHIMENTO|LETIVAS'!A1409,PARAMETROS!A:A,PARAMETROS!I:I)=0,"",_xlfn.XLOOKUP('PREENCHIMENTO|LETIVAS'!A1409,PARAMETROS!A:A,PARAMETROS!I:I))</f>
        <v/>
      </c>
      <c r="F1409" s="3"/>
      <c r="G1409" s="3"/>
      <c r="H1409" s="3"/>
      <c r="I1409" s="3"/>
      <c r="J1409" s="3"/>
      <c r="K1409" s="3"/>
      <c r="L1409" s="19"/>
    </row>
    <row r="1410" spans="1:12">
      <c r="A1410" s="3"/>
      <c r="B1410" t="str">
        <f>IF(_xlfn.XLOOKUP(A1410,PARAMETROS!A:A,PARAMETROS!B:B)=0,"",_xlfn.XLOOKUP(A1410,PARAMETROS!A:A,PARAMETROS!B:B))</f>
        <v/>
      </c>
      <c r="C1410" t="str">
        <f>IF(_xlfn.XLOOKUP(A1410,PARAMETROS!A:A,PARAMETROS!C:C)=0,"",_xlfn.XLOOKUP(A1410,PARAMETROS!A:A,PARAMETROS!C:C))</f>
        <v/>
      </c>
      <c r="D1410" t="str">
        <f>IF(_xlfn.XLOOKUP(A1410,PARAMETROS!A:A,PARAMETROS!D:D)=0,"",_xlfn.XLOOKUP(A1410,PARAMETROS!A:A,PARAMETROS!D:D))</f>
        <v/>
      </c>
      <c r="E1410" t="str">
        <f>IF(_xlfn.XLOOKUP('PREENCHIMENTO|LETIVAS'!A1410,PARAMETROS!A:A,PARAMETROS!I:I)=0,"",_xlfn.XLOOKUP('PREENCHIMENTO|LETIVAS'!A1410,PARAMETROS!A:A,PARAMETROS!I:I))</f>
        <v/>
      </c>
      <c r="F1410" s="3"/>
      <c r="G1410" s="3"/>
      <c r="H1410" s="3"/>
      <c r="I1410" s="3"/>
      <c r="J1410" s="3"/>
      <c r="K1410" s="3"/>
      <c r="L1410" s="19"/>
    </row>
    <row r="1411" spans="1:12">
      <c r="A1411" s="3"/>
      <c r="B1411" t="str">
        <f>IF(_xlfn.XLOOKUP(A1411,PARAMETROS!A:A,PARAMETROS!B:B)=0,"",_xlfn.XLOOKUP(A1411,PARAMETROS!A:A,PARAMETROS!B:B))</f>
        <v/>
      </c>
      <c r="C1411" t="str">
        <f>IF(_xlfn.XLOOKUP(A1411,PARAMETROS!A:A,PARAMETROS!C:C)=0,"",_xlfn.XLOOKUP(A1411,PARAMETROS!A:A,PARAMETROS!C:C))</f>
        <v/>
      </c>
      <c r="D1411" t="str">
        <f>IF(_xlfn.XLOOKUP(A1411,PARAMETROS!A:A,PARAMETROS!D:D)=0,"",_xlfn.XLOOKUP(A1411,PARAMETROS!A:A,PARAMETROS!D:D))</f>
        <v/>
      </c>
      <c r="E1411" t="str">
        <f>IF(_xlfn.XLOOKUP('PREENCHIMENTO|LETIVAS'!A1411,PARAMETROS!A:A,PARAMETROS!I:I)=0,"",_xlfn.XLOOKUP('PREENCHIMENTO|LETIVAS'!A1411,PARAMETROS!A:A,PARAMETROS!I:I))</f>
        <v/>
      </c>
      <c r="F1411" s="3"/>
      <c r="G1411" s="3"/>
      <c r="H1411" s="3"/>
      <c r="I1411" s="3"/>
      <c r="J1411" s="3"/>
      <c r="K1411" s="3"/>
      <c r="L1411" s="19"/>
    </row>
    <row r="1412" spans="1:12">
      <c r="A1412" s="3"/>
      <c r="B1412" t="str">
        <f>IF(_xlfn.XLOOKUP(A1412,PARAMETROS!A:A,PARAMETROS!B:B)=0,"",_xlfn.XLOOKUP(A1412,PARAMETROS!A:A,PARAMETROS!B:B))</f>
        <v/>
      </c>
      <c r="C1412" t="str">
        <f>IF(_xlfn.XLOOKUP(A1412,PARAMETROS!A:A,PARAMETROS!C:C)=0,"",_xlfn.XLOOKUP(A1412,PARAMETROS!A:A,PARAMETROS!C:C))</f>
        <v/>
      </c>
      <c r="D1412" t="str">
        <f>IF(_xlfn.XLOOKUP(A1412,PARAMETROS!A:A,PARAMETROS!D:D)=0,"",_xlfn.XLOOKUP(A1412,PARAMETROS!A:A,PARAMETROS!D:D))</f>
        <v/>
      </c>
      <c r="E1412" t="str">
        <f>IF(_xlfn.XLOOKUP('PREENCHIMENTO|LETIVAS'!A1412,PARAMETROS!A:A,PARAMETROS!I:I)=0,"",_xlfn.XLOOKUP('PREENCHIMENTO|LETIVAS'!A1412,PARAMETROS!A:A,PARAMETROS!I:I))</f>
        <v/>
      </c>
      <c r="F1412" s="3"/>
      <c r="G1412" s="3"/>
      <c r="H1412" s="3"/>
      <c r="I1412" s="3"/>
      <c r="J1412" s="3"/>
      <c r="K1412" s="3"/>
      <c r="L1412" s="19"/>
    </row>
    <row r="1413" spans="1:12">
      <c r="A1413" s="3"/>
      <c r="B1413" t="str">
        <f>IF(_xlfn.XLOOKUP(A1413,PARAMETROS!A:A,PARAMETROS!B:B)=0,"",_xlfn.XLOOKUP(A1413,PARAMETROS!A:A,PARAMETROS!B:B))</f>
        <v/>
      </c>
      <c r="C1413" t="str">
        <f>IF(_xlfn.XLOOKUP(A1413,PARAMETROS!A:A,PARAMETROS!C:C)=0,"",_xlfn.XLOOKUP(A1413,PARAMETROS!A:A,PARAMETROS!C:C))</f>
        <v/>
      </c>
      <c r="D1413" t="str">
        <f>IF(_xlfn.XLOOKUP(A1413,PARAMETROS!A:A,PARAMETROS!D:D)=0,"",_xlfn.XLOOKUP(A1413,PARAMETROS!A:A,PARAMETROS!D:D))</f>
        <v/>
      </c>
      <c r="E1413" t="str">
        <f>IF(_xlfn.XLOOKUP('PREENCHIMENTO|LETIVAS'!A1413,PARAMETROS!A:A,PARAMETROS!I:I)=0,"",_xlfn.XLOOKUP('PREENCHIMENTO|LETIVAS'!A1413,PARAMETROS!A:A,PARAMETROS!I:I))</f>
        <v/>
      </c>
      <c r="F1413" s="3"/>
      <c r="G1413" s="3"/>
      <c r="H1413" s="3"/>
      <c r="I1413" s="3"/>
      <c r="J1413" s="3"/>
      <c r="K1413" s="3"/>
      <c r="L1413" s="19"/>
    </row>
    <row r="1414" spans="1:12">
      <c r="A1414" s="3"/>
      <c r="B1414" t="str">
        <f>IF(_xlfn.XLOOKUP(A1414,PARAMETROS!A:A,PARAMETROS!B:B)=0,"",_xlfn.XLOOKUP(A1414,PARAMETROS!A:A,PARAMETROS!B:B))</f>
        <v/>
      </c>
      <c r="C1414" t="str">
        <f>IF(_xlfn.XLOOKUP(A1414,PARAMETROS!A:A,PARAMETROS!C:C)=0,"",_xlfn.XLOOKUP(A1414,PARAMETROS!A:A,PARAMETROS!C:C))</f>
        <v/>
      </c>
      <c r="D1414" t="str">
        <f>IF(_xlfn.XLOOKUP(A1414,PARAMETROS!A:A,PARAMETROS!D:D)=0,"",_xlfn.XLOOKUP(A1414,PARAMETROS!A:A,PARAMETROS!D:D))</f>
        <v/>
      </c>
      <c r="E1414" t="str">
        <f>IF(_xlfn.XLOOKUP('PREENCHIMENTO|LETIVAS'!A1414,PARAMETROS!A:A,PARAMETROS!I:I)=0,"",_xlfn.XLOOKUP('PREENCHIMENTO|LETIVAS'!A1414,PARAMETROS!A:A,PARAMETROS!I:I))</f>
        <v/>
      </c>
      <c r="F1414" s="3"/>
      <c r="G1414" s="3"/>
      <c r="H1414" s="3"/>
      <c r="I1414" s="3"/>
      <c r="J1414" s="3"/>
      <c r="K1414" s="3"/>
      <c r="L1414" s="19"/>
    </row>
    <row r="1415" spans="1:12">
      <c r="A1415" s="3"/>
      <c r="B1415" t="str">
        <f>IF(_xlfn.XLOOKUP(A1415,PARAMETROS!A:A,PARAMETROS!B:B)=0,"",_xlfn.XLOOKUP(A1415,PARAMETROS!A:A,PARAMETROS!B:B))</f>
        <v/>
      </c>
      <c r="C1415" t="str">
        <f>IF(_xlfn.XLOOKUP(A1415,PARAMETROS!A:A,PARAMETROS!C:C)=0,"",_xlfn.XLOOKUP(A1415,PARAMETROS!A:A,PARAMETROS!C:C))</f>
        <v/>
      </c>
      <c r="D1415" t="str">
        <f>IF(_xlfn.XLOOKUP(A1415,PARAMETROS!A:A,PARAMETROS!D:D)=0,"",_xlfn.XLOOKUP(A1415,PARAMETROS!A:A,PARAMETROS!D:D))</f>
        <v/>
      </c>
      <c r="E1415" t="str">
        <f>IF(_xlfn.XLOOKUP('PREENCHIMENTO|LETIVAS'!A1415,PARAMETROS!A:A,PARAMETROS!I:I)=0,"",_xlfn.XLOOKUP('PREENCHIMENTO|LETIVAS'!A1415,PARAMETROS!A:A,PARAMETROS!I:I))</f>
        <v/>
      </c>
      <c r="F1415" s="3"/>
      <c r="G1415" s="3"/>
      <c r="H1415" s="3"/>
      <c r="I1415" s="3"/>
      <c r="J1415" s="3"/>
      <c r="K1415" s="3"/>
      <c r="L1415" s="19"/>
    </row>
    <row r="1416" spans="1:12">
      <c r="A1416" s="3"/>
      <c r="B1416" t="str">
        <f>IF(_xlfn.XLOOKUP(A1416,PARAMETROS!A:A,PARAMETROS!B:B)=0,"",_xlfn.XLOOKUP(A1416,PARAMETROS!A:A,PARAMETROS!B:B))</f>
        <v/>
      </c>
      <c r="C1416" t="str">
        <f>IF(_xlfn.XLOOKUP(A1416,PARAMETROS!A:A,PARAMETROS!C:C)=0,"",_xlfn.XLOOKUP(A1416,PARAMETROS!A:A,PARAMETROS!C:C))</f>
        <v/>
      </c>
      <c r="D1416" t="str">
        <f>IF(_xlfn.XLOOKUP(A1416,PARAMETROS!A:A,PARAMETROS!D:D)=0,"",_xlfn.XLOOKUP(A1416,PARAMETROS!A:A,PARAMETROS!D:D))</f>
        <v/>
      </c>
      <c r="E1416" t="str">
        <f>IF(_xlfn.XLOOKUP('PREENCHIMENTO|LETIVAS'!A1416,PARAMETROS!A:A,PARAMETROS!I:I)=0,"",_xlfn.XLOOKUP('PREENCHIMENTO|LETIVAS'!A1416,PARAMETROS!A:A,PARAMETROS!I:I))</f>
        <v/>
      </c>
      <c r="F1416" s="3"/>
      <c r="G1416" s="3"/>
      <c r="H1416" s="3"/>
      <c r="I1416" s="3"/>
      <c r="J1416" s="3"/>
      <c r="K1416" s="3"/>
      <c r="L1416" s="19"/>
    </row>
    <row r="1417" spans="1:12">
      <c r="A1417" s="3"/>
      <c r="B1417" t="str">
        <f>IF(_xlfn.XLOOKUP(A1417,PARAMETROS!A:A,PARAMETROS!B:B)=0,"",_xlfn.XLOOKUP(A1417,PARAMETROS!A:A,PARAMETROS!B:B))</f>
        <v/>
      </c>
      <c r="C1417" t="str">
        <f>IF(_xlfn.XLOOKUP(A1417,PARAMETROS!A:A,PARAMETROS!C:C)=0,"",_xlfn.XLOOKUP(A1417,PARAMETROS!A:A,PARAMETROS!C:C))</f>
        <v/>
      </c>
      <c r="D1417" t="str">
        <f>IF(_xlfn.XLOOKUP(A1417,PARAMETROS!A:A,PARAMETROS!D:D)=0,"",_xlfn.XLOOKUP(A1417,PARAMETROS!A:A,PARAMETROS!D:D))</f>
        <v/>
      </c>
      <c r="E1417" t="str">
        <f>IF(_xlfn.XLOOKUP('PREENCHIMENTO|LETIVAS'!A1417,PARAMETROS!A:A,PARAMETROS!I:I)=0,"",_xlfn.XLOOKUP('PREENCHIMENTO|LETIVAS'!A1417,PARAMETROS!A:A,PARAMETROS!I:I))</f>
        <v/>
      </c>
      <c r="F1417" s="3"/>
      <c r="G1417" s="3"/>
      <c r="H1417" s="3"/>
      <c r="I1417" s="3"/>
      <c r="J1417" s="3"/>
      <c r="K1417" s="3"/>
      <c r="L1417" s="19"/>
    </row>
    <row r="1418" spans="1:12">
      <c r="A1418" s="3"/>
      <c r="B1418" t="str">
        <f>IF(_xlfn.XLOOKUP(A1418,PARAMETROS!A:A,PARAMETROS!B:B)=0,"",_xlfn.XLOOKUP(A1418,PARAMETROS!A:A,PARAMETROS!B:B))</f>
        <v/>
      </c>
      <c r="C1418" t="str">
        <f>IF(_xlfn.XLOOKUP(A1418,PARAMETROS!A:A,PARAMETROS!C:C)=0,"",_xlfn.XLOOKUP(A1418,PARAMETROS!A:A,PARAMETROS!C:C))</f>
        <v/>
      </c>
      <c r="D1418" t="str">
        <f>IF(_xlfn.XLOOKUP(A1418,PARAMETROS!A:A,PARAMETROS!D:D)=0,"",_xlfn.XLOOKUP(A1418,PARAMETROS!A:A,PARAMETROS!D:D))</f>
        <v/>
      </c>
      <c r="E1418" t="str">
        <f>IF(_xlfn.XLOOKUP('PREENCHIMENTO|LETIVAS'!A1418,PARAMETROS!A:A,PARAMETROS!I:I)=0,"",_xlfn.XLOOKUP('PREENCHIMENTO|LETIVAS'!A1418,PARAMETROS!A:A,PARAMETROS!I:I))</f>
        <v/>
      </c>
      <c r="F1418" s="3"/>
      <c r="G1418" s="3"/>
      <c r="H1418" s="3"/>
      <c r="I1418" s="3"/>
      <c r="J1418" s="3"/>
      <c r="K1418" s="3"/>
      <c r="L1418" s="19"/>
    </row>
    <row r="1419" spans="1:12">
      <c r="A1419" s="3"/>
      <c r="B1419" t="str">
        <f>IF(_xlfn.XLOOKUP(A1419,PARAMETROS!A:A,PARAMETROS!B:B)=0,"",_xlfn.XLOOKUP(A1419,PARAMETROS!A:A,PARAMETROS!B:B))</f>
        <v/>
      </c>
      <c r="C1419" t="str">
        <f>IF(_xlfn.XLOOKUP(A1419,PARAMETROS!A:A,PARAMETROS!C:C)=0,"",_xlfn.XLOOKUP(A1419,PARAMETROS!A:A,PARAMETROS!C:C))</f>
        <v/>
      </c>
      <c r="D1419" t="str">
        <f>IF(_xlfn.XLOOKUP(A1419,PARAMETROS!A:A,PARAMETROS!D:D)=0,"",_xlfn.XLOOKUP(A1419,PARAMETROS!A:A,PARAMETROS!D:D))</f>
        <v/>
      </c>
      <c r="E1419" t="str">
        <f>IF(_xlfn.XLOOKUP('PREENCHIMENTO|LETIVAS'!A1419,PARAMETROS!A:A,PARAMETROS!I:I)=0,"",_xlfn.XLOOKUP('PREENCHIMENTO|LETIVAS'!A1419,PARAMETROS!A:A,PARAMETROS!I:I))</f>
        <v/>
      </c>
      <c r="F1419" s="3"/>
      <c r="G1419" s="3"/>
      <c r="H1419" s="3"/>
      <c r="I1419" s="3"/>
      <c r="J1419" s="3"/>
      <c r="K1419" s="3"/>
      <c r="L1419" s="19"/>
    </row>
    <row r="1420" spans="1:12">
      <c r="A1420" s="3"/>
      <c r="B1420" t="str">
        <f>IF(_xlfn.XLOOKUP(A1420,PARAMETROS!A:A,PARAMETROS!B:B)=0,"",_xlfn.XLOOKUP(A1420,PARAMETROS!A:A,PARAMETROS!B:B))</f>
        <v/>
      </c>
      <c r="C1420" t="str">
        <f>IF(_xlfn.XLOOKUP(A1420,PARAMETROS!A:A,PARAMETROS!C:C)=0,"",_xlfn.XLOOKUP(A1420,PARAMETROS!A:A,PARAMETROS!C:C))</f>
        <v/>
      </c>
      <c r="D1420" t="str">
        <f>IF(_xlfn.XLOOKUP(A1420,PARAMETROS!A:A,PARAMETROS!D:D)=0,"",_xlfn.XLOOKUP(A1420,PARAMETROS!A:A,PARAMETROS!D:D))</f>
        <v/>
      </c>
      <c r="E1420" t="str">
        <f>IF(_xlfn.XLOOKUP('PREENCHIMENTO|LETIVAS'!A1420,PARAMETROS!A:A,PARAMETROS!I:I)=0,"",_xlfn.XLOOKUP('PREENCHIMENTO|LETIVAS'!A1420,PARAMETROS!A:A,PARAMETROS!I:I))</f>
        <v/>
      </c>
      <c r="F1420" s="3"/>
      <c r="G1420" s="3"/>
      <c r="H1420" s="3"/>
      <c r="I1420" s="3"/>
      <c r="J1420" s="3"/>
      <c r="K1420" s="3"/>
      <c r="L1420" s="19"/>
    </row>
    <row r="1421" spans="1:12">
      <c r="A1421" s="3"/>
      <c r="B1421" t="str">
        <f>IF(_xlfn.XLOOKUP(A1421,PARAMETROS!A:A,PARAMETROS!B:B)=0,"",_xlfn.XLOOKUP(A1421,PARAMETROS!A:A,PARAMETROS!B:B))</f>
        <v/>
      </c>
      <c r="C1421" t="str">
        <f>IF(_xlfn.XLOOKUP(A1421,PARAMETROS!A:A,PARAMETROS!C:C)=0,"",_xlfn.XLOOKUP(A1421,PARAMETROS!A:A,PARAMETROS!C:C))</f>
        <v/>
      </c>
      <c r="D1421" t="str">
        <f>IF(_xlfn.XLOOKUP(A1421,PARAMETROS!A:A,PARAMETROS!D:D)=0,"",_xlfn.XLOOKUP(A1421,PARAMETROS!A:A,PARAMETROS!D:D))</f>
        <v/>
      </c>
      <c r="E1421" t="str">
        <f>IF(_xlfn.XLOOKUP('PREENCHIMENTO|LETIVAS'!A1421,PARAMETROS!A:A,PARAMETROS!I:I)=0,"",_xlfn.XLOOKUP('PREENCHIMENTO|LETIVAS'!A1421,PARAMETROS!A:A,PARAMETROS!I:I))</f>
        <v/>
      </c>
      <c r="F1421" s="3"/>
      <c r="G1421" s="3"/>
      <c r="H1421" s="3"/>
      <c r="I1421" s="3"/>
      <c r="J1421" s="3"/>
      <c r="K1421" s="3"/>
      <c r="L1421" s="19"/>
    </row>
    <row r="1422" spans="1:12">
      <c r="A1422" s="3"/>
      <c r="B1422" t="str">
        <f>IF(_xlfn.XLOOKUP(A1422,PARAMETROS!A:A,PARAMETROS!B:B)=0,"",_xlfn.XLOOKUP(A1422,PARAMETROS!A:A,PARAMETROS!B:B))</f>
        <v/>
      </c>
      <c r="C1422" t="str">
        <f>IF(_xlfn.XLOOKUP(A1422,PARAMETROS!A:A,PARAMETROS!C:C)=0,"",_xlfn.XLOOKUP(A1422,PARAMETROS!A:A,PARAMETROS!C:C))</f>
        <v/>
      </c>
      <c r="D1422" t="str">
        <f>IF(_xlfn.XLOOKUP(A1422,PARAMETROS!A:A,PARAMETROS!D:D)=0,"",_xlfn.XLOOKUP(A1422,PARAMETROS!A:A,PARAMETROS!D:D))</f>
        <v/>
      </c>
      <c r="E1422" t="str">
        <f>IF(_xlfn.XLOOKUP('PREENCHIMENTO|LETIVAS'!A1422,PARAMETROS!A:A,PARAMETROS!I:I)=0,"",_xlfn.XLOOKUP('PREENCHIMENTO|LETIVAS'!A1422,PARAMETROS!A:A,PARAMETROS!I:I))</f>
        <v/>
      </c>
      <c r="F1422" s="3"/>
      <c r="G1422" s="3"/>
      <c r="H1422" s="3"/>
      <c r="I1422" s="3"/>
      <c r="J1422" s="3"/>
      <c r="K1422" s="3"/>
      <c r="L1422" s="19"/>
    </row>
    <row r="1423" spans="1:12">
      <c r="A1423" s="3"/>
      <c r="B1423" t="str">
        <f>IF(_xlfn.XLOOKUP(A1423,PARAMETROS!A:A,PARAMETROS!B:B)=0,"",_xlfn.XLOOKUP(A1423,PARAMETROS!A:A,PARAMETROS!B:B))</f>
        <v/>
      </c>
      <c r="C1423" t="str">
        <f>IF(_xlfn.XLOOKUP(A1423,PARAMETROS!A:A,PARAMETROS!C:C)=0,"",_xlfn.XLOOKUP(A1423,PARAMETROS!A:A,PARAMETROS!C:C))</f>
        <v/>
      </c>
      <c r="D1423" t="str">
        <f>IF(_xlfn.XLOOKUP(A1423,PARAMETROS!A:A,PARAMETROS!D:D)=0,"",_xlfn.XLOOKUP(A1423,PARAMETROS!A:A,PARAMETROS!D:D))</f>
        <v/>
      </c>
      <c r="E1423" t="str">
        <f>IF(_xlfn.XLOOKUP('PREENCHIMENTO|LETIVAS'!A1423,PARAMETROS!A:A,PARAMETROS!I:I)=0,"",_xlfn.XLOOKUP('PREENCHIMENTO|LETIVAS'!A1423,PARAMETROS!A:A,PARAMETROS!I:I))</f>
        <v/>
      </c>
      <c r="F1423" s="3"/>
      <c r="G1423" s="3"/>
      <c r="H1423" s="3"/>
      <c r="I1423" s="3"/>
      <c r="J1423" s="3"/>
      <c r="K1423" s="3"/>
      <c r="L1423" s="19"/>
    </row>
    <row r="1424" spans="1:12">
      <c r="A1424" s="3"/>
      <c r="B1424" t="str">
        <f>IF(_xlfn.XLOOKUP(A1424,PARAMETROS!A:A,PARAMETROS!B:B)=0,"",_xlfn.XLOOKUP(A1424,PARAMETROS!A:A,PARAMETROS!B:B))</f>
        <v/>
      </c>
      <c r="C1424" t="str">
        <f>IF(_xlfn.XLOOKUP(A1424,PARAMETROS!A:A,PARAMETROS!C:C)=0,"",_xlfn.XLOOKUP(A1424,PARAMETROS!A:A,PARAMETROS!C:C))</f>
        <v/>
      </c>
      <c r="D1424" t="str">
        <f>IF(_xlfn.XLOOKUP(A1424,PARAMETROS!A:A,PARAMETROS!D:D)=0,"",_xlfn.XLOOKUP(A1424,PARAMETROS!A:A,PARAMETROS!D:D))</f>
        <v/>
      </c>
      <c r="E1424" t="str">
        <f>IF(_xlfn.XLOOKUP('PREENCHIMENTO|LETIVAS'!A1424,PARAMETROS!A:A,PARAMETROS!I:I)=0,"",_xlfn.XLOOKUP('PREENCHIMENTO|LETIVAS'!A1424,PARAMETROS!A:A,PARAMETROS!I:I))</f>
        <v/>
      </c>
      <c r="F1424" s="3"/>
      <c r="G1424" s="3"/>
      <c r="H1424" s="3"/>
      <c r="I1424" s="3"/>
      <c r="J1424" s="3"/>
      <c r="K1424" s="3"/>
      <c r="L1424" s="19"/>
    </row>
    <row r="1425" spans="1:12">
      <c r="A1425" s="3"/>
      <c r="B1425" t="str">
        <f>IF(_xlfn.XLOOKUP(A1425,PARAMETROS!A:A,PARAMETROS!B:B)=0,"",_xlfn.XLOOKUP(A1425,PARAMETROS!A:A,PARAMETROS!B:B))</f>
        <v/>
      </c>
      <c r="C1425" t="str">
        <f>IF(_xlfn.XLOOKUP(A1425,PARAMETROS!A:A,PARAMETROS!C:C)=0,"",_xlfn.XLOOKUP(A1425,PARAMETROS!A:A,PARAMETROS!C:C))</f>
        <v/>
      </c>
      <c r="D1425" t="str">
        <f>IF(_xlfn.XLOOKUP(A1425,PARAMETROS!A:A,PARAMETROS!D:D)=0,"",_xlfn.XLOOKUP(A1425,PARAMETROS!A:A,PARAMETROS!D:D))</f>
        <v/>
      </c>
      <c r="E1425" t="str">
        <f>IF(_xlfn.XLOOKUP('PREENCHIMENTO|LETIVAS'!A1425,PARAMETROS!A:A,PARAMETROS!I:I)=0,"",_xlfn.XLOOKUP('PREENCHIMENTO|LETIVAS'!A1425,PARAMETROS!A:A,PARAMETROS!I:I))</f>
        <v/>
      </c>
      <c r="F1425" s="3"/>
      <c r="G1425" s="3"/>
      <c r="H1425" s="3"/>
      <c r="I1425" s="3"/>
      <c r="J1425" s="3"/>
      <c r="K1425" s="3"/>
      <c r="L1425" s="19"/>
    </row>
    <row r="1426" spans="1:12">
      <c r="A1426" s="3"/>
      <c r="B1426" t="str">
        <f>IF(_xlfn.XLOOKUP(A1426,PARAMETROS!A:A,PARAMETROS!B:B)=0,"",_xlfn.XLOOKUP(A1426,PARAMETROS!A:A,PARAMETROS!B:B))</f>
        <v/>
      </c>
      <c r="C1426" t="str">
        <f>IF(_xlfn.XLOOKUP(A1426,PARAMETROS!A:A,PARAMETROS!C:C)=0,"",_xlfn.XLOOKUP(A1426,PARAMETROS!A:A,PARAMETROS!C:C))</f>
        <v/>
      </c>
      <c r="D1426" t="str">
        <f>IF(_xlfn.XLOOKUP(A1426,PARAMETROS!A:A,PARAMETROS!D:D)=0,"",_xlfn.XLOOKUP(A1426,PARAMETROS!A:A,PARAMETROS!D:D))</f>
        <v/>
      </c>
      <c r="E1426" t="str">
        <f>IF(_xlfn.XLOOKUP('PREENCHIMENTO|LETIVAS'!A1426,PARAMETROS!A:A,PARAMETROS!I:I)=0,"",_xlfn.XLOOKUP('PREENCHIMENTO|LETIVAS'!A1426,PARAMETROS!A:A,PARAMETROS!I:I))</f>
        <v/>
      </c>
      <c r="F1426" s="3"/>
      <c r="G1426" s="3"/>
      <c r="H1426" s="3"/>
      <c r="I1426" s="3"/>
      <c r="J1426" s="3"/>
      <c r="K1426" s="3"/>
      <c r="L1426" s="19"/>
    </row>
    <row r="1427" spans="1:12">
      <c r="A1427" s="3"/>
      <c r="B1427" t="str">
        <f>IF(_xlfn.XLOOKUP(A1427,PARAMETROS!A:A,PARAMETROS!B:B)=0,"",_xlfn.XLOOKUP(A1427,PARAMETROS!A:A,PARAMETROS!B:B))</f>
        <v/>
      </c>
      <c r="C1427" t="str">
        <f>IF(_xlfn.XLOOKUP(A1427,PARAMETROS!A:A,PARAMETROS!C:C)=0,"",_xlfn.XLOOKUP(A1427,PARAMETROS!A:A,PARAMETROS!C:C))</f>
        <v/>
      </c>
      <c r="D1427" t="str">
        <f>IF(_xlfn.XLOOKUP(A1427,PARAMETROS!A:A,PARAMETROS!D:D)=0,"",_xlfn.XLOOKUP(A1427,PARAMETROS!A:A,PARAMETROS!D:D))</f>
        <v/>
      </c>
      <c r="E1427" t="str">
        <f>IF(_xlfn.XLOOKUP('PREENCHIMENTO|LETIVAS'!A1427,PARAMETROS!A:A,PARAMETROS!I:I)=0,"",_xlfn.XLOOKUP('PREENCHIMENTO|LETIVAS'!A1427,PARAMETROS!A:A,PARAMETROS!I:I))</f>
        <v/>
      </c>
      <c r="F1427" s="3"/>
      <c r="G1427" s="3"/>
      <c r="H1427" s="3"/>
      <c r="I1427" s="3"/>
      <c r="J1427" s="3"/>
      <c r="K1427" s="3"/>
      <c r="L1427" s="19"/>
    </row>
    <row r="1428" spans="1:12">
      <c r="A1428" s="3"/>
      <c r="B1428" t="str">
        <f>IF(_xlfn.XLOOKUP(A1428,PARAMETROS!A:A,PARAMETROS!B:B)=0,"",_xlfn.XLOOKUP(A1428,PARAMETROS!A:A,PARAMETROS!B:B))</f>
        <v/>
      </c>
      <c r="C1428" t="str">
        <f>IF(_xlfn.XLOOKUP(A1428,PARAMETROS!A:A,PARAMETROS!C:C)=0,"",_xlfn.XLOOKUP(A1428,PARAMETROS!A:A,PARAMETROS!C:C))</f>
        <v/>
      </c>
      <c r="D1428" t="str">
        <f>IF(_xlfn.XLOOKUP(A1428,PARAMETROS!A:A,PARAMETROS!D:D)=0,"",_xlfn.XLOOKUP(A1428,PARAMETROS!A:A,PARAMETROS!D:D))</f>
        <v/>
      </c>
      <c r="E1428" t="str">
        <f>IF(_xlfn.XLOOKUP('PREENCHIMENTO|LETIVAS'!A1428,PARAMETROS!A:A,PARAMETROS!I:I)=0,"",_xlfn.XLOOKUP('PREENCHIMENTO|LETIVAS'!A1428,PARAMETROS!A:A,PARAMETROS!I:I))</f>
        <v/>
      </c>
      <c r="F1428" s="3"/>
      <c r="G1428" s="3"/>
      <c r="H1428" s="3"/>
      <c r="I1428" s="3"/>
      <c r="J1428" s="3"/>
      <c r="K1428" s="3"/>
      <c r="L1428" s="19"/>
    </row>
    <row r="1429" spans="1:12">
      <c r="A1429" s="3"/>
      <c r="B1429" t="str">
        <f>IF(_xlfn.XLOOKUP(A1429,PARAMETROS!A:A,PARAMETROS!B:B)=0,"",_xlfn.XLOOKUP(A1429,PARAMETROS!A:A,PARAMETROS!B:B))</f>
        <v/>
      </c>
      <c r="C1429" t="str">
        <f>IF(_xlfn.XLOOKUP(A1429,PARAMETROS!A:A,PARAMETROS!C:C)=0,"",_xlfn.XLOOKUP(A1429,PARAMETROS!A:A,PARAMETROS!C:C))</f>
        <v/>
      </c>
      <c r="D1429" t="str">
        <f>IF(_xlfn.XLOOKUP(A1429,PARAMETROS!A:A,PARAMETROS!D:D)=0,"",_xlfn.XLOOKUP(A1429,PARAMETROS!A:A,PARAMETROS!D:D))</f>
        <v/>
      </c>
      <c r="E1429" t="str">
        <f>IF(_xlfn.XLOOKUP('PREENCHIMENTO|LETIVAS'!A1429,PARAMETROS!A:A,PARAMETROS!I:I)=0,"",_xlfn.XLOOKUP('PREENCHIMENTO|LETIVAS'!A1429,PARAMETROS!A:A,PARAMETROS!I:I))</f>
        <v/>
      </c>
      <c r="F1429" s="3"/>
      <c r="G1429" s="3"/>
      <c r="H1429" s="3"/>
      <c r="I1429" s="3"/>
      <c r="J1429" s="3"/>
      <c r="K1429" s="3"/>
      <c r="L1429" s="19"/>
    </row>
    <row r="1430" spans="1:12">
      <c r="A1430" s="3"/>
      <c r="B1430" t="str">
        <f>IF(_xlfn.XLOOKUP(A1430,PARAMETROS!A:A,PARAMETROS!B:B)=0,"",_xlfn.XLOOKUP(A1430,PARAMETROS!A:A,PARAMETROS!B:B))</f>
        <v/>
      </c>
      <c r="C1430" t="str">
        <f>IF(_xlfn.XLOOKUP(A1430,PARAMETROS!A:A,PARAMETROS!C:C)=0,"",_xlfn.XLOOKUP(A1430,PARAMETROS!A:A,PARAMETROS!C:C))</f>
        <v/>
      </c>
      <c r="D1430" t="str">
        <f>IF(_xlfn.XLOOKUP(A1430,PARAMETROS!A:A,PARAMETROS!D:D)=0,"",_xlfn.XLOOKUP(A1430,PARAMETROS!A:A,PARAMETROS!D:D))</f>
        <v/>
      </c>
      <c r="E1430" t="str">
        <f>IF(_xlfn.XLOOKUP('PREENCHIMENTO|LETIVAS'!A1430,PARAMETROS!A:A,PARAMETROS!I:I)=0,"",_xlfn.XLOOKUP('PREENCHIMENTO|LETIVAS'!A1430,PARAMETROS!A:A,PARAMETROS!I:I))</f>
        <v/>
      </c>
      <c r="F1430" s="3"/>
      <c r="G1430" s="3"/>
      <c r="H1430" s="3"/>
      <c r="I1430" s="3"/>
      <c r="J1430" s="3"/>
      <c r="K1430" s="3"/>
      <c r="L1430" s="19"/>
    </row>
    <row r="1431" spans="1:12">
      <c r="A1431" s="3"/>
      <c r="B1431" t="str">
        <f>IF(_xlfn.XLOOKUP(A1431,PARAMETROS!A:A,PARAMETROS!B:B)=0,"",_xlfn.XLOOKUP(A1431,PARAMETROS!A:A,PARAMETROS!B:B))</f>
        <v/>
      </c>
      <c r="C1431" t="str">
        <f>IF(_xlfn.XLOOKUP(A1431,PARAMETROS!A:A,PARAMETROS!C:C)=0,"",_xlfn.XLOOKUP(A1431,PARAMETROS!A:A,PARAMETROS!C:C))</f>
        <v/>
      </c>
      <c r="D1431" t="str">
        <f>IF(_xlfn.XLOOKUP(A1431,PARAMETROS!A:A,PARAMETROS!D:D)=0,"",_xlfn.XLOOKUP(A1431,PARAMETROS!A:A,PARAMETROS!D:D))</f>
        <v/>
      </c>
      <c r="E1431" t="str">
        <f>IF(_xlfn.XLOOKUP('PREENCHIMENTO|LETIVAS'!A1431,PARAMETROS!A:A,PARAMETROS!I:I)=0,"",_xlfn.XLOOKUP('PREENCHIMENTO|LETIVAS'!A1431,PARAMETROS!A:A,PARAMETROS!I:I))</f>
        <v/>
      </c>
      <c r="F1431" s="3"/>
      <c r="G1431" s="3"/>
      <c r="H1431" s="3"/>
      <c r="I1431" s="3"/>
      <c r="J1431" s="3"/>
      <c r="K1431" s="3"/>
      <c r="L1431" s="19"/>
    </row>
    <row r="1432" spans="1:12">
      <c r="A1432" s="3"/>
      <c r="B1432" t="str">
        <f>IF(_xlfn.XLOOKUP(A1432,PARAMETROS!A:A,PARAMETROS!B:B)=0,"",_xlfn.XLOOKUP(A1432,PARAMETROS!A:A,PARAMETROS!B:B))</f>
        <v/>
      </c>
      <c r="C1432" t="str">
        <f>IF(_xlfn.XLOOKUP(A1432,PARAMETROS!A:A,PARAMETROS!C:C)=0,"",_xlfn.XLOOKUP(A1432,PARAMETROS!A:A,PARAMETROS!C:C))</f>
        <v/>
      </c>
      <c r="D1432" t="str">
        <f>IF(_xlfn.XLOOKUP(A1432,PARAMETROS!A:A,PARAMETROS!D:D)=0,"",_xlfn.XLOOKUP(A1432,PARAMETROS!A:A,PARAMETROS!D:D))</f>
        <v/>
      </c>
      <c r="E1432" t="str">
        <f>IF(_xlfn.XLOOKUP('PREENCHIMENTO|LETIVAS'!A1432,PARAMETROS!A:A,PARAMETROS!I:I)=0,"",_xlfn.XLOOKUP('PREENCHIMENTO|LETIVAS'!A1432,PARAMETROS!A:A,PARAMETROS!I:I))</f>
        <v/>
      </c>
      <c r="F1432" s="3"/>
      <c r="G1432" s="3"/>
      <c r="H1432" s="3"/>
      <c r="I1432" s="3"/>
      <c r="J1432" s="3"/>
      <c r="K1432" s="3"/>
      <c r="L1432" s="19"/>
    </row>
    <row r="1433" spans="1:12">
      <c r="A1433" s="3"/>
      <c r="B1433" t="str">
        <f>IF(_xlfn.XLOOKUP(A1433,PARAMETROS!A:A,PARAMETROS!B:B)=0,"",_xlfn.XLOOKUP(A1433,PARAMETROS!A:A,PARAMETROS!B:B))</f>
        <v/>
      </c>
      <c r="C1433" t="str">
        <f>IF(_xlfn.XLOOKUP(A1433,PARAMETROS!A:A,PARAMETROS!C:C)=0,"",_xlfn.XLOOKUP(A1433,PARAMETROS!A:A,PARAMETROS!C:C))</f>
        <v/>
      </c>
      <c r="D1433" t="str">
        <f>IF(_xlfn.XLOOKUP(A1433,PARAMETROS!A:A,PARAMETROS!D:D)=0,"",_xlfn.XLOOKUP(A1433,PARAMETROS!A:A,PARAMETROS!D:D))</f>
        <v/>
      </c>
      <c r="E1433" t="str">
        <f>IF(_xlfn.XLOOKUP('PREENCHIMENTO|LETIVAS'!A1433,PARAMETROS!A:A,PARAMETROS!I:I)=0,"",_xlfn.XLOOKUP('PREENCHIMENTO|LETIVAS'!A1433,PARAMETROS!A:A,PARAMETROS!I:I))</f>
        <v/>
      </c>
      <c r="F1433" s="3"/>
      <c r="G1433" s="3"/>
      <c r="H1433" s="3"/>
      <c r="I1433" s="3"/>
      <c r="J1433" s="3"/>
      <c r="K1433" s="3"/>
      <c r="L1433" s="19"/>
    </row>
    <row r="1434" spans="1:12">
      <c r="A1434" s="3"/>
      <c r="B1434" t="str">
        <f>IF(_xlfn.XLOOKUP(A1434,PARAMETROS!A:A,PARAMETROS!B:B)=0,"",_xlfn.XLOOKUP(A1434,PARAMETROS!A:A,PARAMETROS!B:B))</f>
        <v/>
      </c>
      <c r="C1434" t="str">
        <f>IF(_xlfn.XLOOKUP(A1434,PARAMETROS!A:A,PARAMETROS!C:C)=0,"",_xlfn.XLOOKUP(A1434,PARAMETROS!A:A,PARAMETROS!C:C))</f>
        <v/>
      </c>
      <c r="D1434" t="str">
        <f>IF(_xlfn.XLOOKUP(A1434,PARAMETROS!A:A,PARAMETROS!D:D)=0,"",_xlfn.XLOOKUP(A1434,PARAMETROS!A:A,PARAMETROS!D:D))</f>
        <v/>
      </c>
      <c r="E1434" t="str">
        <f>IF(_xlfn.XLOOKUP('PREENCHIMENTO|LETIVAS'!A1434,PARAMETROS!A:A,PARAMETROS!I:I)=0,"",_xlfn.XLOOKUP('PREENCHIMENTO|LETIVAS'!A1434,PARAMETROS!A:A,PARAMETROS!I:I))</f>
        <v/>
      </c>
      <c r="F1434" s="3"/>
      <c r="G1434" s="3"/>
      <c r="H1434" s="3"/>
      <c r="I1434" s="3"/>
      <c r="J1434" s="3"/>
      <c r="K1434" s="3"/>
      <c r="L1434" s="19"/>
    </row>
    <row r="1435" spans="1:12">
      <c r="A1435" s="3"/>
      <c r="B1435" t="str">
        <f>IF(_xlfn.XLOOKUP(A1435,PARAMETROS!A:A,PARAMETROS!B:B)=0,"",_xlfn.XLOOKUP(A1435,PARAMETROS!A:A,PARAMETROS!B:B))</f>
        <v/>
      </c>
      <c r="C1435" t="str">
        <f>IF(_xlfn.XLOOKUP(A1435,PARAMETROS!A:A,PARAMETROS!C:C)=0,"",_xlfn.XLOOKUP(A1435,PARAMETROS!A:A,PARAMETROS!C:C))</f>
        <v/>
      </c>
      <c r="D1435" t="str">
        <f>IF(_xlfn.XLOOKUP(A1435,PARAMETROS!A:A,PARAMETROS!D:D)=0,"",_xlfn.XLOOKUP(A1435,PARAMETROS!A:A,PARAMETROS!D:D))</f>
        <v/>
      </c>
      <c r="E1435" t="str">
        <f>IF(_xlfn.XLOOKUP('PREENCHIMENTO|LETIVAS'!A1435,PARAMETROS!A:A,PARAMETROS!I:I)=0,"",_xlfn.XLOOKUP('PREENCHIMENTO|LETIVAS'!A1435,PARAMETROS!A:A,PARAMETROS!I:I))</f>
        <v/>
      </c>
      <c r="F1435" s="3"/>
      <c r="G1435" s="3"/>
      <c r="H1435" s="3"/>
      <c r="I1435" s="3"/>
      <c r="J1435" s="3"/>
      <c r="K1435" s="3"/>
      <c r="L1435" s="19"/>
    </row>
    <row r="1436" spans="1:12">
      <c r="A1436" s="3"/>
      <c r="B1436" t="str">
        <f>IF(_xlfn.XLOOKUP(A1436,PARAMETROS!A:A,PARAMETROS!B:B)=0,"",_xlfn.XLOOKUP(A1436,PARAMETROS!A:A,PARAMETROS!B:B))</f>
        <v/>
      </c>
      <c r="C1436" t="str">
        <f>IF(_xlfn.XLOOKUP(A1436,PARAMETROS!A:A,PARAMETROS!C:C)=0,"",_xlfn.XLOOKUP(A1436,PARAMETROS!A:A,PARAMETROS!C:C))</f>
        <v/>
      </c>
      <c r="D1436" t="str">
        <f>IF(_xlfn.XLOOKUP(A1436,PARAMETROS!A:A,PARAMETROS!D:D)=0,"",_xlfn.XLOOKUP(A1436,PARAMETROS!A:A,PARAMETROS!D:D))</f>
        <v/>
      </c>
      <c r="E1436" t="str">
        <f>IF(_xlfn.XLOOKUP('PREENCHIMENTO|LETIVAS'!A1436,PARAMETROS!A:A,PARAMETROS!I:I)=0,"",_xlfn.XLOOKUP('PREENCHIMENTO|LETIVAS'!A1436,PARAMETROS!A:A,PARAMETROS!I:I))</f>
        <v/>
      </c>
      <c r="F1436" s="3"/>
      <c r="G1436" s="3"/>
      <c r="H1436" s="3"/>
      <c r="I1436" s="3"/>
      <c r="J1436" s="3"/>
      <c r="K1436" s="3"/>
      <c r="L1436" s="19"/>
    </row>
    <row r="1437" spans="1:12">
      <c r="A1437" s="3"/>
      <c r="B1437" t="str">
        <f>IF(_xlfn.XLOOKUP(A1437,PARAMETROS!A:A,PARAMETROS!B:B)=0,"",_xlfn.XLOOKUP(A1437,PARAMETROS!A:A,PARAMETROS!B:B))</f>
        <v/>
      </c>
      <c r="C1437" t="str">
        <f>IF(_xlfn.XLOOKUP(A1437,PARAMETROS!A:A,PARAMETROS!C:C)=0,"",_xlfn.XLOOKUP(A1437,PARAMETROS!A:A,PARAMETROS!C:C))</f>
        <v/>
      </c>
      <c r="D1437" t="str">
        <f>IF(_xlfn.XLOOKUP(A1437,PARAMETROS!A:A,PARAMETROS!D:D)=0,"",_xlfn.XLOOKUP(A1437,PARAMETROS!A:A,PARAMETROS!D:D))</f>
        <v/>
      </c>
      <c r="E1437" t="str">
        <f>IF(_xlfn.XLOOKUP('PREENCHIMENTO|LETIVAS'!A1437,PARAMETROS!A:A,PARAMETROS!I:I)=0,"",_xlfn.XLOOKUP('PREENCHIMENTO|LETIVAS'!A1437,PARAMETROS!A:A,PARAMETROS!I:I))</f>
        <v/>
      </c>
      <c r="F1437" s="3"/>
      <c r="G1437" s="3"/>
      <c r="H1437" s="3"/>
      <c r="I1437" s="3"/>
      <c r="J1437" s="3"/>
      <c r="K1437" s="3"/>
      <c r="L1437" s="19"/>
    </row>
    <row r="1438" spans="1:12">
      <c r="A1438" s="3"/>
      <c r="B1438" t="str">
        <f>IF(_xlfn.XLOOKUP(A1438,PARAMETROS!A:A,PARAMETROS!B:B)=0,"",_xlfn.XLOOKUP(A1438,PARAMETROS!A:A,PARAMETROS!B:B))</f>
        <v/>
      </c>
      <c r="C1438" t="str">
        <f>IF(_xlfn.XLOOKUP(A1438,PARAMETROS!A:A,PARAMETROS!C:C)=0,"",_xlfn.XLOOKUP(A1438,PARAMETROS!A:A,PARAMETROS!C:C))</f>
        <v/>
      </c>
      <c r="D1438" t="str">
        <f>IF(_xlfn.XLOOKUP(A1438,PARAMETROS!A:A,PARAMETROS!D:D)=0,"",_xlfn.XLOOKUP(A1438,PARAMETROS!A:A,PARAMETROS!D:D))</f>
        <v/>
      </c>
      <c r="E1438" t="str">
        <f>IF(_xlfn.XLOOKUP('PREENCHIMENTO|LETIVAS'!A1438,PARAMETROS!A:A,PARAMETROS!I:I)=0,"",_xlfn.XLOOKUP('PREENCHIMENTO|LETIVAS'!A1438,PARAMETROS!A:A,PARAMETROS!I:I))</f>
        <v/>
      </c>
      <c r="F1438" s="3"/>
      <c r="G1438" s="3"/>
      <c r="H1438" s="3"/>
      <c r="I1438" s="3"/>
      <c r="J1438" s="3"/>
      <c r="K1438" s="3"/>
      <c r="L1438" s="19"/>
    </row>
    <row r="1439" spans="1:12">
      <c r="A1439" s="3"/>
      <c r="B1439" t="str">
        <f>IF(_xlfn.XLOOKUP(A1439,PARAMETROS!A:A,PARAMETROS!B:B)=0,"",_xlfn.XLOOKUP(A1439,PARAMETROS!A:A,PARAMETROS!B:B))</f>
        <v/>
      </c>
      <c r="C1439" t="str">
        <f>IF(_xlfn.XLOOKUP(A1439,PARAMETROS!A:A,PARAMETROS!C:C)=0,"",_xlfn.XLOOKUP(A1439,PARAMETROS!A:A,PARAMETROS!C:C))</f>
        <v/>
      </c>
      <c r="D1439" t="str">
        <f>IF(_xlfn.XLOOKUP(A1439,PARAMETROS!A:A,PARAMETROS!D:D)=0,"",_xlfn.XLOOKUP(A1439,PARAMETROS!A:A,PARAMETROS!D:D))</f>
        <v/>
      </c>
      <c r="E1439" t="str">
        <f>IF(_xlfn.XLOOKUP('PREENCHIMENTO|LETIVAS'!A1439,PARAMETROS!A:A,PARAMETROS!I:I)=0,"",_xlfn.XLOOKUP('PREENCHIMENTO|LETIVAS'!A1439,PARAMETROS!A:A,PARAMETROS!I:I))</f>
        <v/>
      </c>
      <c r="F1439" s="3"/>
      <c r="G1439" s="3"/>
      <c r="H1439" s="3"/>
      <c r="I1439" s="3"/>
      <c r="J1439" s="3"/>
      <c r="K1439" s="3"/>
      <c r="L1439" s="19"/>
    </row>
    <row r="1440" spans="1:12">
      <c r="A1440" s="3"/>
      <c r="B1440" t="str">
        <f>IF(_xlfn.XLOOKUP(A1440,PARAMETROS!A:A,PARAMETROS!B:B)=0,"",_xlfn.XLOOKUP(A1440,PARAMETROS!A:A,PARAMETROS!B:B))</f>
        <v/>
      </c>
      <c r="C1440" t="str">
        <f>IF(_xlfn.XLOOKUP(A1440,PARAMETROS!A:A,PARAMETROS!C:C)=0,"",_xlfn.XLOOKUP(A1440,PARAMETROS!A:A,PARAMETROS!C:C))</f>
        <v/>
      </c>
      <c r="D1440" t="str">
        <f>IF(_xlfn.XLOOKUP(A1440,PARAMETROS!A:A,PARAMETROS!D:D)=0,"",_xlfn.XLOOKUP(A1440,PARAMETROS!A:A,PARAMETROS!D:D))</f>
        <v/>
      </c>
      <c r="E1440" t="str">
        <f>IF(_xlfn.XLOOKUP('PREENCHIMENTO|LETIVAS'!A1440,PARAMETROS!A:A,PARAMETROS!I:I)=0,"",_xlfn.XLOOKUP('PREENCHIMENTO|LETIVAS'!A1440,PARAMETROS!A:A,PARAMETROS!I:I))</f>
        <v/>
      </c>
      <c r="F1440" s="3"/>
      <c r="G1440" s="3"/>
      <c r="H1440" s="3"/>
      <c r="I1440" s="3"/>
      <c r="J1440" s="3"/>
      <c r="K1440" s="3"/>
      <c r="L1440" s="19"/>
    </row>
    <row r="1441" spans="1:12">
      <c r="A1441" s="3"/>
      <c r="B1441" t="str">
        <f>IF(_xlfn.XLOOKUP(A1441,PARAMETROS!A:A,PARAMETROS!B:B)=0,"",_xlfn.XLOOKUP(A1441,PARAMETROS!A:A,PARAMETROS!B:B))</f>
        <v/>
      </c>
      <c r="C1441" t="str">
        <f>IF(_xlfn.XLOOKUP(A1441,PARAMETROS!A:A,PARAMETROS!C:C)=0,"",_xlfn.XLOOKUP(A1441,PARAMETROS!A:A,PARAMETROS!C:C))</f>
        <v/>
      </c>
      <c r="D1441" t="str">
        <f>IF(_xlfn.XLOOKUP(A1441,PARAMETROS!A:A,PARAMETROS!D:D)=0,"",_xlfn.XLOOKUP(A1441,PARAMETROS!A:A,PARAMETROS!D:D))</f>
        <v/>
      </c>
      <c r="E1441" t="str">
        <f>IF(_xlfn.XLOOKUP('PREENCHIMENTO|LETIVAS'!A1441,PARAMETROS!A:A,PARAMETROS!I:I)=0,"",_xlfn.XLOOKUP('PREENCHIMENTO|LETIVAS'!A1441,PARAMETROS!A:A,PARAMETROS!I:I))</f>
        <v/>
      </c>
      <c r="F1441" s="3"/>
      <c r="G1441" s="3"/>
      <c r="H1441" s="3"/>
      <c r="I1441" s="3"/>
      <c r="J1441" s="3"/>
      <c r="K1441" s="3"/>
      <c r="L1441" s="19"/>
    </row>
    <row r="1442" spans="1:12">
      <c r="A1442" s="3"/>
      <c r="B1442" t="str">
        <f>IF(_xlfn.XLOOKUP(A1442,PARAMETROS!A:A,PARAMETROS!B:B)=0,"",_xlfn.XLOOKUP(A1442,PARAMETROS!A:A,PARAMETROS!B:B))</f>
        <v/>
      </c>
      <c r="C1442" t="str">
        <f>IF(_xlfn.XLOOKUP(A1442,PARAMETROS!A:A,PARAMETROS!C:C)=0,"",_xlfn.XLOOKUP(A1442,PARAMETROS!A:A,PARAMETROS!C:C))</f>
        <v/>
      </c>
      <c r="D1442" t="str">
        <f>IF(_xlfn.XLOOKUP(A1442,PARAMETROS!A:A,PARAMETROS!D:D)=0,"",_xlfn.XLOOKUP(A1442,PARAMETROS!A:A,PARAMETROS!D:D))</f>
        <v/>
      </c>
      <c r="E1442" t="str">
        <f>IF(_xlfn.XLOOKUP('PREENCHIMENTO|LETIVAS'!A1442,PARAMETROS!A:A,PARAMETROS!I:I)=0,"",_xlfn.XLOOKUP('PREENCHIMENTO|LETIVAS'!A1442,PARAMETROS!A:A,PARAMETROS!I:I))</f>
        <v/>
      </c>
      <c r="F1442" s="3"/>
      <c r="G1442" s="3"/>
      <c r="H1442" s="3"/>
      <c r="I1442" s="3"/>
      <c r="J1442" s="3"/>
      <c r="K1442" s="3"/>
      <c r="L1442" s="19"/>
    </row>
    <row r="1443" spans="1:12">
      <c r="A1443" s="3"/>
      <c r="B1443" t="str">
        <f>IF(_xlfn.XLOOKUP(A1443,PARAMETROS!A:A,PARAMETROS!B:B)=0,"",_xlfn.XLOOKUP(A1443,PARAMETROS!A:A,PARAMETROS!B:B))</f>
        <v/>
      </c>
      <c r="C1443" t="str">
        <f>IF(_xlfn.XLOOKUP(A1443,PARAMETROS!A:A,PARAMETROS!C:C)=0,"",_xlfn.XLOOKUP(A1443,PARAMETROS!A:A,PARAMETROS!C:C))</f>
        <v/>
      </c>
      <c r="D1443" t="str">
        <f>IF(_xlfn.XLOOKUP(A1443,PARAMETROS!A:A,PARAMETROS!D:D)=0,"",_xlfn.XLOOKUP(A1443,PARAMETROS!A:A,PARAMETROS!D:D))</f>
        <v/>
      </c>
      <c r="E1443" t="str">
        <f>IF(_xlfn.XLOOKUP('PREENCHIMENTO|LETIVAS'!A1443,PARAMETROS!A:A,PARAMETROS!I:I)=0,"",_xlfn.XLOOKUP('PREENCHIMENTO|LETIVAS'!A1443,PARAMETROS!A:A,PARAMETROS!I:I))</f>
        <v/>
      </c>
      <c r="F1443" s="3"/>
      <c r="G1443" s="3"/>
      <c r="H1443" s="3"/>
      <c r="I1443" s="3"/>
      <c r="J1443" s="3"/>
      <c r="K1443" s="3"/>
      <c r="L1443" s="19"/>
    </row>
    <row r="1444" spans="1:12">
      <c r="A1444" s="3"/>
      <c r="B1444" t="str">
        <f>IF(_xlfn.XLOOKUP(A1444,PARAMETROS!A:A,PARAMETROS!B:B)=0,"",_xlfn.XLOOKUP(A1444,PARAMETROS!A:A,PARAMETROS!B:B))</f>
        <v/>
      </c>
      <c r="C1444" t="str">
        <f>IF(_xlfn.XLOOKUP(A1444,PARAMETROS!A:A,PARAMETROS!C:C)=0,"",_xlfn.XLOOKUP(A1444,PARAMETROS!A:A,PARAMETROS!C:C))</f>
        <v/>
      </c>
      <c r="D1444" t="str">
        <f>IF(_xlfn.XLOOKUP(A1444,PARAMETROS!A:A,PARAMETROS!D:D)=0,"",_xlfn.XLOOKUP(A1444,PARAMETROS!A:A,PARAMETROS!D:D))</f>
        <v/>
      </c>
      <c r="E1444" t="str">
        <f>IF(_xlfn.XLOOKUP('PREENCHIMENTO|LETIVAS'!A1444,PARAMETROS!A:A,PARAMETROS!I:I)=0,"",_xlfn.XLOOKUP('PREENCHIMENTO|LETIVAS'!A1444,PARAMETROS!A:A,PARAMETROS!I:I))</f>
        <v/>
      </c>
      <c r="F1444" s="3"/>
      <c r="G1444" s="3"/>
      <c r="H1444" s="3"/>
      <c r="I1444" s="3"/>
      <c r="J1444" s="3"/>
      <c r="K1444" s="3"/>
      <c r="L1444" s="19"/>
    </row>
    <row r="1445" spans="1:12">
      <c r="A1445" s="3"/>
      <c r="B1445" t="str">
        <f>IF(_xlfn.XLOOKUP(A1445,PARAMETROS!A:A,PARAMETROS!B:B)=0,"",_xlfn.XLOOKUP(A1445,PARAMETROS!A:A,PARAMETROS!B:B))</f>
        <v/>
      </c>
      <c r="C1445" t="str">
        <f>IF(_xlfn.XLOOKUP(A1445,PARAMETROS!A:A,PARAMETROS!C:C)=0,"",_xlfn.XLOOKUP(A1445,PARAMETROS!A:A,PARAMETROS!C:C))</f>
        <v/>
      </c>
      <c r="D1445" t="str">
        <f>IF(_xlfn.XLOOKUP(A1445,PARAMETROS!A:A,PARAMETROS!D:D)=0,"",_xlfn.XLOOKUP(A1445,PARAMETROS!A:A,PARAMETROS!D:D))</f>
        <v/>
      </c>
      <c r="E1445" t="str">
        <f>IF(_xlfn.XLOOKUP('PREENCHIMENTO|LETIVAS'!A1445,PARAMETROS!A:A,PARAMETROS!I:I)=0,"",_xlfn.XLOOKUP('PREENCHIMENTO|LETIVAS'!A1445,PARAMETROS!A:A,PARAMETROS!I:I))</f>
        <v/>
      </c>
      <c r="F1445" s="3"/>
      <c r="G1445" s="3"/>
      <c r="H1445" s="3"/>
      <c r="I1445" s="3"/>
      <c r="J1445" s="3"/>
      <c r="K1445" s="3"/>
      <c r="L1445" s="19"/>
    </row>
    <row r="1446" spans="1:12">
      <c r="A1446" s="3"/>
      <c r="B1446" t="str">
        <f>IF(_xlfn.XLOOKUP(A1446,PARAMETROS!A:A,PARAMETROS!B:B)=0,"",_xlfn.XLOOKUP(A1446,PARAMETROS!A:A,PARAMETROS!B:B))</f>
        <v/>
      </c>
      <c r="C1446" t="str">
        <f>IF(_xlfn.XLOOKUP(A1446,PARAMETROS!A:A,PARAMETROS!C:C)=0,"",_xlfn.XLOOKUP(A1446,PARAMETROS!A:A,PARAMETROS!C:C))</f>
        <v/>
      </c>
      <c r="D1446" t="str">
        <f>IF(_xlfn.XLOOKUP(A1446,PARAMETROS!A:A,PARAMETROS!D:D)=0,"",_xlfn.XLOOKUP(A1446,PARAMETROS!A:A,PARAMETROS!D:D))</f>
        <v/>
      </c>
      <c r="E1446" t="str">
        <f>IF(_xlfn.XLOOKUP('PREENCHIMENTO|LETIVAS'!A1446,PARAMETROS!A:A,PARAMETROS!I:I)=0,"",_xlfn.XLOOKUP('PREENCHIMENTO|LETIVAS'!A1446,PARAMETROS!A:A,PARAMETROS!I:I))</f>
        <v/>
      </c>
      <c r="F1446" s="3"/>
      <c r="G1446" s="3"/>
      <c r="H1446" s="3"/>
      <c r="I1446" s="3"/>
      <c r="J1446" s="3"/>
      <c r="K1446" s="3"/>
      <c r="L1446" s="19"/>
    </row>
    <row r="1447" spans="1:12">
      <c r="A1447" s="3"/>
      <c r="B1447" t="str">
        <f>IF(_xlfn.XLOOKUP(A1447,PARAMETROS!A:A,PARAMETROS!B:B)=0,"",_xlfn.XLOOKUP(A1447,PARAMETROS!A:A,PARAMETROS!B:B))</f>
        <v/>
      </c>
      <c r="C1447" t="str">
        <f>IF(_xlfn.XLOOKUP(A1447,PARAMETROS!A:A,PARAMETROS!C:C)=0,"",_xlfn.XLOOKUP(A1447,PARAMETROS!A:A,PARAMETROS!C:C))</f>
        <v/>
      </c>
      <c r="D1447" t="str">
        <f>IF(_xlfn.XLOOKUP(A1447,PARAMETROS!A:A,PARAMETROS!D:D)=0,"",_xlfn.XLOOKUP(A1447,PARAMETROS!A:A,PARAMETROS!D:D))</f>
        <v/>
      </c>
      <c r="E1447" t="str">
        <f>IF(_xlfn.XLOOKUP('PREENCHIMENTO|LETIVAS'!A1447,PARAMETROS!A:A,PARAMETROS!I:I)=0,"",_xlfn.XLOOKUP('PREENCHIMENTO|LETIVAS'!A1447,PARAMETROS!A:A,PARAMETROS!I:I))</f>
        <v/>
      </c>
      <c r="F1447" s="3"/>
      <c r="G1447" s="3"/>
      <c r="H1447" s="3"/>
      <c r="I1447" s="3"/>
      <c r="J1447" s="3"/>
      <c r="K1447" s="3"/>
      <c r="L1447" s="19"/>
    </row>
    <row r="1448" spans="1:12">
      <c r="A1448" s="3"/>
      <c r="B1448" t="str">
        <f>IF(_xlfn.XLOOKUP(A1448,PARAMETROS!A:A,PARAMETROS!B:B)=0,"",_xlfn.XLOOKUP(A1448,PARAMETROS!A:A,PARAMETROS!B:B))</f>
        <v/>
      </c>
      <c r="C1448" t="str">
        <f>IF(_xlfn.XLOOKUP(A1448,PARAMETROS!A:A,PARAMETROS!C:C)=0,"",_xlfn.XLOOKUP(A1448,PARAMETROS!A:A,PARAMETROS!C:C))</f>
        <v/>
      </c>
      <c r="D1448" t="str">
        <f>IF(_xlfn.XLOOKUP(A1448,PARAMETROS!A:A,PARAMETROS!D:D)=0,"",_xlfn.XLOOKUP(A1448,PARAMETROS!A:A,PARAMETROS!D:D))</f>
        <v/>
      </c>
      <c r="E1448" t="str">
        <f>IF(_xlfn.XLOOKUP('PREENCHIMENTO|LETIVAS'!A1448,PARAMETROS!A:A,PARAMETROS!I:I)=0,"",_xlfn.XLOOKUP('PREENCHIMENTO|LETIVAS'!A1448,PARAMETROS!A:A,PARAMETROS!I:I))</f>
        <v/>
      </c>
      <c r="F1448" s="3"/>
      <c r="G1448" s="3"/>
      <c r="H1448" s="3"/>
      <c r="I1448" s="3"/>
      <c r="J1448" s="3"/>
      <c r="K1448" s="3"/>
      <c r="L1448" s="19"/>
    </row>
    <row r="1449" spans="1:12">
      <c r="A1449" s="3"/>
      <c r="B1449" t="str">
        <f>IF(_xlfn.XLOOKUP(A1449,PARAMETROS!A:A,PARAMETROS!B:B)=0,"",_xlfn.XLOOKUP(A1449,PARAMETROS!A:A,PARAMETROS!B:B))</f>
        <v/>
      </c>
      <c r="C1449" t="str">
        <f>IF(_xlfn.XLOOKUP(A1449,PARAMETROS!A:A,PARAMETROS!C:C)=0,"",_xlfn.XLOOKUP(A1449,PARAMETROS!A:A,PARAMETROS!C:C))</f>
        <v/>
      </c>
      <c r="D1449" t="str">
        <f>IF(_xlfn.XLOOKUP(A1449,PARAMETROS!A:A,PARAMETROS!D:D)=0,"",_xlfn.XLOOKUP(A1449,PARAMETROS!A:A,PARAMETROS!D:D))</f>
        <v/>
      </c>
      <c r="E1449" t="str">
        <f>IF(_xlfn.XLOOKUP('PREENCHIMENTO|LETIVAS'!A1449,PARAMETROS!A:A,PARAMETROS!I:I)=0,"",_xlfn.XLOOKUP('PREENCHIMENTO|LETIVAS'!A1449,PARAMETROS!A:A,PARAMETROS!I:I))</f>
        <v/>
      </c>
      <c r="F1449" s="3"/>
      <c r="G1449" s="3"/>
      <c r="H1449" s="3"/>
      <c r="I1449" s="3"/>
      <c r="J1449" s="3"/>
      <c r="K1449" s="3"/>
      <c r="L1449" s="19"/>
    </row>
    <row r="1450" spans="1:12">
      <c r="A1450" s="3"/>
      <c r="B1450" t="str">
        <f>IF(_xlfn.XLOOKUP(A1450,PARAMETROS!A:A,PARAMETROS!B:B)=0,"",_xlfn.XLOOKUP(A1450,PARAMETROS!A:A,PARAMETROS!B:B))</f>
        <v/>
      </c>
      <c r="C1450" t="str">
        <f>IF(_xlfn.XLOOKUP(A1450,PARAMETROS!A:A,PARAMETROS!C:C)=0,"",_xlfn.XLOOKUP(A1450,PARAMETROS!A:A,PARAMETROS!C:C))</f>
        <v/>
      </c>
      <c r="D1450" t="str">
        <f>IF(_xlfn.XLOOKUP(A1450,PARAMETROS!A:A,PARAMETROS!D:D)=0,"",_xlfn.XLOOKUP(A1450,PARAMETROS!A:A,PARAMETROS!D:D))</f>
        <v/>
      </c>
      <c r="E1450" t="str">
        <f>IF(_xlfn.XLOOKUP('PREENCHIMENTO|LETIVAS'!A1450,PARAMETROS!A:A,PARAMETROS!I:I)=0,"",_xlfn.XLOOKUP('PREENCHIMENTO|LETIVAS'!A1450,PARAMETROS!A:A,PARAMETROS!I:I))</f>
        <v/>
      </c>
      <c r="F1450" s="3"/>
      <c r="G1450" s="3"/>
      <c r="H1450" s="3"/>
      <c r="I1450" s="3"/>
      <c r="J1450" s="3"/>
      <c r="K1450" s="3"/>
      <c r="L1450" s="19"/>
    </row>
    <row r="1451" spans="1:12">
      <c r="A1451" s="3"/>
      <c r="B1451" t="str">
        <f>IF(_xlfn.XLOOKUP(A1451,PARAMETROS!A:A,PARAMETROS!B:B)=0,"",_xlfn.XLOOKUP(A1451,PARAMETROS!A:A,PARAMETROS!B:B))</f>
        <v/>
      </c>
      <c r="C1451" t="str">
        <f>IF(_xlfn.XLOOKUP(A1451,PARAMETROS!A:A,PARAMETROS!C:C)=0,"",_xlfn.XLOOKUP(A1451,PARAMETROS!A:A,PARAMETROS!C:C))</f>
        <v/>
      </c>
      <c r="D1451" t="str">
        <f>IF(_xlfn.XLOOKUP(A1451,PARAMETROS!A:A,PARAMETROS!D:D)=0,"",_xlfn.XLOOKUP(A1451,PARAMETROS!A:A,PARAMETROS!D:D))</f>
        <v/>
      </c>
      <c r="E1451" t="str">
        <f>IF(_xlfn.XLOOKUP('PREENCHIMENTO|LETIVAS'!A1451,PARAMETROS!A:A,PARAMETROS!I:I)=0,"",_xlfn.XLOOKUP('PREENCHIMENTO|LETIVAS'!A1451,PARAMETROS!A:A,PARAMETROS!I:I))</f>
        <v/>
      </c>
      <c r="F1451" s="3"/>
      <c r="G1451" s="3"/>
      <c r="H1451" s="3"/>
      <c r="I1451" s="3"/>
      <c r="J1451" s="3"/>
      <c r="K1451" s="3"/>
      <c r="L1451" s="19"/>
    </row>
    <row r="1452" spans="1:12">
      <c r="A1452" s="3"/>
      <c r="B1452" t="str">
        <f>IF(_xlfn.XLOOKUP(A1452,PARAMETROS!A:A,PARAMETROS!B:B)=0,"",_xlfn.XLOOKUP(A1452,PARAMETROS!A:A,PARAMETROS!B:B))</f>
        <v/>
      </c>
      <c r="C1452" t="str">
        <f>IF(_xlfn.XLOOKUP(A1452,PARAMETROS!A:A,PARAMETROS!C:C)=0,"",_xlfn.XLOOKUP(A1452,PARAMETROS!A:A,PARAMETROS!C:C))</f>
        <v/>
      </c>
      <c r="D1452" t="str">
        <f>IF(_xlfn.XLOOKUP(A1452,PARAMETROS!A:A,PARAMETROS!D:D)=0,"",_xlfn.XLOOKUP(A1452,PARAMETROS!A:A,PARAMETROS!D:D))</f>
        <v/>
      </c>
      <c r="E1452" t="str">
        <f>IF(_xlfn.XLOOKUP('PREENCHIMENTO|LETIVAS'!A1452,PARAMETROS!A:A,PARAMETROS!I:I)=0,"",_xlfn.XLOOKUP('PREENCHIMENTO|LETIVAS'!A1452,PARAMETROS!A:A,PARAMETROS!I:I))</f>
        <v/>
      </c>
      <c r="F1452" s="3"/>
      <c r="G1452" s="3"/>
      <c r="H1452" s="3"/>
      <c r="I1452" s="3"/>
      <c r="J1452" s="3"/>
      <c r="K1452" s="3"/>
      <c r="L1452" s="19"/>
    </row>
    <row r="1453" spans="1:12">
      <c r="A1453" s="3"/>
      <c r="B1453" t="str">
        <f>IF(_xlfn.XLOOKUP(A1453,PARAMETROS!A:A,PARAMETROS!B:B)=0,"",_xlfn.XLOOKUP(A1453,PARAMETROS!A:A,PARAMETROS!B:B))</f>
        <v/>
      </c>
      <c r="C1453" t="str">
        <f>IF(_xlfn.XLOOKUP(A1453,PARAMETROS!A:A,PARAMETROS!C:C)=0,"",_xlfn.XLOOKUP(A1453,PARAMETROS!A:A,PARAMETROS!C:C))</f>
        <v/>
      </c>
      <c r="D1453" t="str">
        <f>IF(_xlfn.XLOOKUP(A1453,PARAMETROS!A:A,PARAMETROS!D:D)=0,"",_xlfn.XLOOKUP(A1453,PARAMETROS!A:A,PARAMETROS!D:D))</f>
        <v/>
      </c>
      <c r="E1453" t="str">
        <f>IF(_xlfn.XLOOKUP('PREENCHIMENTO|LETIVAS'!A1453,PARAMETROS!A:A,PARAMETROS!I:I)=0,"",_xlfn.XLOOKUP('PREENCHIMENTO|LETIVAS'!A1453,PARAMETROS!A:A,PARAMETROS!I:I))</f>
        <v/>
      </c>
      <c r="F1453" s="3"/>
      <c r="G1453" s="3"/>
      <c r="H1453" s="3"/>
      <c r="I1453" s="3"/>
      <c r="J1453" s="3"/>
      <c r="K1453" s="3"/>
      <c r="L1453" s="19"/>
    </row>
    <row r="1454" spans="1:12">
      <c r="A1454" s="3"/>
      <c r="B1454" t="str">
        <f>IF(_xlfn.XLOOKUP(A1454,PARAMETROS!A:A,PARAMETROS!B:B)=0,"",_xlfn.XLOOKUP(A1454,PARAMETROS!A:A,PARAMETROS!B:B))</f>
        <v/>
      </c>
      <c r="C1454" t="str">
        <f>IF(_xlfn.XLOOKUP(A1454,PARAMETROS!A:A,PARAMETROS!C:C)=0,"",_xlfn.XLOOKUP(A1454,PARAMETROS!A:A,PARAMETROS!C:C))</f>
        <v/>
      </c>
      <c r="D1454" t="str">
        <f>IF(_xlfn.XLOOKUP(A1454,PARAMETROS!A:A,PARAMETROS!D:D)=0,"",_xlfn.XLOOKUP(A1454,PARAMETROS!A:A,PARAMETROS!D:D))</f>
        <v/>
      </c>
      <c r="E1454" t="str">
        <f>IF(_xlfn.XLOOKUP('PREENCHIMENTO|LETIVAS'!A1454,PARAMETROS!A:A,PARAMETROS!I:I)=0,"",_xlfn.XLOOKUP('PREENCHIMENTO|LETIVAS'!A1454,PARAMETROS!A:A,PARAMETROS!I:I))</f>
        <v/>
      </c>
      <c r="F1454" s="3"/>
      <c r="G1454" s="3"/>
      <c r="H1454" s="3"/>
      <c r="I1454" s="3"/>
      <c r="J1454" s="3"/>
      <c r="K1454" s="3"/>
      <c r="L1454" s="19"/>
    </row>
    <row r="1455" spans="1:12">
      <c r="A1455" s="3"/>
      <c r="B1455" t="str">
        <f>IF(_xlfn.XLOOKUP(A1455,PARAMETROS!A:A,PARAMETROS!B:B)=0,"",_xlfn.XLOOKUP(A1455,PARAMETROS!A:A,PARAMETROS!B:B))</f>
        <v/>
      </c>
      <c r="C1455" t="str">
        <f>IF(_xlfn.XLOOKUP(A1455,PARAMETROS!A:A,PARAMETROS!C:C)=0,"",_xlfn.XLOOKUP(A1455,PARAMETROS!A:A,PARAMETROS!C:C))</f>
        <v/>
      </c>
      <c r="D1455" t="str">
        <f>IF(_xlfn.XLOOKUP(A1455,PARAMETROS!A:A,PARAMETROS!D:D)=0,"",_xlfn.XLOOKUP(A1455,PARAMETROS!A:A,PARAMETROS!D:D))</f>
        <v/>
      </c>
      <c r="E1455" t="str">
        <f>IF(_xlfn.XLOOKUP('PREENCHIMENTO|LETIVAS'!A1455,PARAMETROS!A:A,PARAMETROS!I:I)=0,"",_xlfn.XLOOKUP('PREENCHIMENTO|LETIVAS'!A1455,PARAMETROS!A:A,PARAMETROS!I:I))</f>
        <v/>
      </c>
      <c r="F1455" s="3"/>
      <c r="G1455" s="3"/>
      <c r="H1455" s="3"/>
      <c r="I1455" s="3"/>
      <c r="J1455" s="3"/>
      <c r="K1455" s="3"/>
      <c r="L1455" s="19"/>
    </row>
    <row r="1456" spans="1:12">
      <c r="A1456" s="3"/>
      <c r="B1456" t="str">
        <f>IF(_xlfn.XLOOKUP(A1456,PARAMETROS!A:A,PARAMETROS!B:B)=0,"",_xlfn.XLOOKUP(A1456,PARAMETROS!A:A,PARAMETROS!B:B))</f>
        <v/>
      </c>
      <c r="C1456" t="str">
        <f>IF(_xlfn.XLOOKUP(A1456,PARAMETROS!A:A,PARAMETROS!C:C)=0,"",_xlfn.XLOOKUP(A1456,PARAMETROS!A:A,PARAMETROS!C:C))</f>
        <v/>
      </c>
      <c r="D1456" t="str">
        <f>IF(_xlfn.XLOOKUP(A1456,PARAMETROS!A:A,PARAMETROS!D:D)=0,"",_xlfn.XLOOKUP(A1456,PARAMETROS!A:A,PARAMETROS!D:D))</f>
        <v/>
      </c>
      <c r="E1456" t="str">
        <f>IF(_xlfn.XLOOKUP('PREENCHIMENTO|LETIVAS'!A1456,PARAMETROS!A:A,PARAMETROS!I:I)=0,"",_xlfn.XLOOKUP('PREENCHIMENTO|LETIVAS'!A1456,PARAMETROS!A:A,PARAMETROS!I:I))</f>
        <v/>
      </c>
      <c r="F1456" s="3"/>
      <c r="G1456" s="3"/>
      <c r="H1456" s="3"/>
      <c r="I1456" s="3"/>
      <c r="J1456" s="3"/>
      <c r="K1456" s="3"/>
      <c r="L1456" s="19"/>
    </row>
    <row r="1457" spans="1:12">
      <c r="A1457" s="3"/>
      <c r="B1457" t="str">
        <f>IF(_xlfn.XLOOKUP(A1457,PARAMETROS!A:A,PARAMETROS!B:B)=0,"",_xlfn.XLOOKUP(A1457,PARAMETROS!A:A,PARAMETROS!B:B))</f>
        <v/>
      </c>
      <c r="C1457" t="str">
        <f>IF(_xlfn.XLOOKUP(A1457,PARAMETROS!A:A,PARAMETROS!C:C)=0,"",_xlfn.XLOOKUP(A1457,PARAMETROS!A:A,PARAMETROS!C:C))</f>
        <v/>
      </c>
      <c r="D1457" t="str">
        <f>IF(_xlfn.XLOOKUP(A1457,PARAMETROS!A:A,PARAMETROS!D:D)=0,"",_xlfn.XLOOKUP(A1457,PARAMETROS!A:A,PARAMETROS!D:D))</f>
        <v/>
      </c>
      <c r="E1457" t="str">
        <f>IF(_xlfn.XLOOKUP('PREENCHIMENTO|LETIVAS'!A1457,PARAMETROS!A:A,PARAMETROS!I:I)=0,"",_xlfn.XLOOKUP('PREENCHIMENTO|LETIVAS'!A1457,PARAMETROS!A:A,PARAMETROS!I:I))</f>
        <v/>
      </c>
      <c r="F1457" s="3"/>
      <c r="G1457" s="3"/>
      <c r="H1457" s="3"/>
      <c r="I1457" s="3"/>
      <c r="J1457" s="3"/>
      <c r="K1457" s="3"/>
      <c r="L1457" s="19"/>
    </row>
    <row r="1458" spans="1:12">
      <c r="A1458" s="3"/>
      <c r="B1458" t="str">
        <f>IF(_xlfn.XLOOKUP(A1458,PARAMETROS!A:A,PARAMETROS!B:B)=0,"",_xlfn.XLOOKUP(A1458,PARAMETROS!A:A,PARAMETROS!B:B))</f>
        <v/>
      </c>
      <c r="C1458" t="str">
        <f>IF(_xlfn.XLOOKUP(A1458,PARAMETROS!A:A,PARAMETROS!C:C)=0,"",_xlfn.XLOOKUP(A1458,PARAMETROS!A:A,PARAMETROS!C:C))</f>
        <v/>
      </c>
      <c r="D1458" t="str">
        <f>IF(_xlfn.XLOOKUP(A1458,PARAMETROS!A:A,PARAMETROS!D:D)=0,"",_xlfn.XLOOKUP(A1458,PARAMETROS!A:A,PARAMETROS!D:D))</f>
        <v/>
      </c>
      <c r="E1458" t="str">
        <f>IF(_xlfn.XLOOKUP('PREENCHIMENTO|LETIVAS'!A1458,PARAMETROS!A:A,PARAMETROS!I:I)=0,"",_xlfn.XLOOKUP('PREENCHIMENTO|LETIVAS'!A1458,PARAMETROS!A:A,PARAMETROS!I:I))</f>
        <v/>
      </c>
      <c r="F1458" s="3"/>
      <c r="G1458" s="3"/>
      <c r="H1458" s="3"/>
      <c r="I1458" s="3"/>
      <c r="J1458" s="3"/>
      <c r="K1458" s="3"/>
      <c r="L1458" s="19"/>
    </row>
    <row r="1459" spans="1:12">
      <c r="A1459" s="3"/>
      <c r="B1459" t="str">
        <f>IF(_xlfn.XLOOKUP(A1459,PARAMETROS!A:A,PARAMETROS!B:B)=0,"",_xlfn.XLOOKUP(A1459,PARAMETROS!A:A,PARAMETROS!B:B))</f>
        <v/>
      </c>
      <c r="C1459" t="str">
        <f>IF(_xlfn.XLOOKUP(A1459,PARAMETROS!A:A,PARAMETROS!C:C)=0,"",_xlfn.XLOOKUP(A1459,PARAMETROS!A:A,PARAMETROS!C:C))</f>
        <v/>
      </c>
      <c r="D1459" t="str">
        <f>IF(_xlfn.XLOOKUP(A1459,PARAMETROS!A:A,PARAMETROS!D:D)=0,"",_xlfn.XLOOKUP(A1459,PARAMETROS!A:A,PARAMETROS!D:D))</f>
        <v/>
      </c>
      <c r="E1459" t="str">
        <f>IF(_xlfn.XLOOKUP('PREENCHIMENTO|LETIVAS'!A1459,PARAMETROS!A:A,PARAMETROS!I:I)=0,"",_xlfn.XLOOKUP('PREENCHIMENTO|LETIVAS'!A1459,PARAMETROS!A:A,PARAMETROS!I:I))</f>
        <v/>
      </c>
      <c r="F1459" s="3"/>
      <c r="G1459" s="3"/>
      <c r="H1459" s="3"/>
      <c r="I1459" s="3"/>
      <c r="J1459" s="3"/>
      <c r="K1459" s="3"/>
      <c r="L1459" s="19"/>
    </row>
    <row r="1460" spans="1:12">
      <c r="A1460" s="3"/>
      <c r="B1460" t="str">
        <f>IF(_xlfn.XLOOKUP(A1460,PARAMETROS!A:A,PARAMETROS!B:B)=0,"",_xlfn.XLOOKUP(A1460,PARAMETROS!A:A,PARAMETROS!B:B))</f>
        <v/>
      </c>
      <c r="C1460" t="str">
        <f>IF(_xlfn.XLOOKUP(A1460,PARAMETROS!A:A,PARAMETROS!C:C)=0,"",_xlfn.XLOOKUP(A1460,PARAMETROS!A:A,PARAMETROS!C:C))</f>
        <v/>
      </c>
      <c r="D1460" t="str">
        <f>IF(_xlfn.XLOOKUP(A1460,PARAMETROS!A:A,PARAMETROS!D:D)=0,"",_xlfn.XLOOKUP(A1460,PARAMETROS!A:A,PARAMETROS!D:D))</f>
        <v/>
      </c>
      <c r="E1460" t="str">
        <f>IF(_xlfn.XLOOKUP('PREENCHIMENTO|LETIVAS'!A1460,PARAMETROS!A:A,PARAMETROS!I:I)=0,"",_xlfn.XLOOKUP('PREENCHIMENTO|LETIVAS'!A1460,PARAMETROS!A:A,PARAMETROS!I:I))</f>
        <v/>
      </c>
      <c r="F1460" s="3"/>
      <c r="G1460" s="3"/>
      <c r="H1460" s="3"/>
      <c r="I1460" s="3"/>
      <c r="J1460" s="3"/>
      <c r="K1460" s="3"/>
      <c r="L1460" s="19"/>
    </row>
    <row r="1461" spans="1:12">
      <c r="A1461" s="3"/>
      <c r="B1461" t="str">
        <f>IF(_xlfn.XLOOKUP(A1461,PARAMETROS!A:A,PARAMETROS!B:B)=0,"",_xlfn.XLOOKUP(A1461,PARAMETROS!A:A,PARAMETROS!B:B))</f>
        <v/>
      </c>
      <c r="C1461" t="str">
        <f>IF(_xlfn.XLOOKUP(A1461,PARAMETROS!A:A,PARAMETROS!C:C)=0,"",_xlfn.XLOOKUP(A1461,PARAMETROS!A:A,PARAMETROS!C:C))</f>
        <v/>
      </c>
      <c r="D1461" t="str">
        <f>IF(_xlfn.XLOOKUP(A1461,PARAMETROS!A:A,PARAMETROS!D:D)=0,"",_xlfn.XLOOKUP(A1461,PARAMETROS!A:A,PARAMETROS!D:D))</f>
        <v/>
      </c>
      <c r="E1461" t="str">
        <f>IF(_xlfn.XLOOKUP('PREENCHIMENTO|LETIVAS'!A1461,PARAMETROS!A:A,PARAMETROS!I:I)=0,"",_xlfn.XLOOKUP('PREENCHIMENTO|LETIVAS'!A1461,PARAMETROS!A:A,PARAMETROS!I:I))</f>
        <v/>
      </c>
      <c r="F1461" s="3"/>
      <c r="G1461" s="3"/>
      <c r="H1461" s="3"/>
      <c r="I1461" s="3"/>
      <c r="J1461" s="3"/>
      <c r="K1461" s="3"/>
      <c r="L1461" s="19"/>
    </row>
    <row r="1462" spans="1:12">
      <c r="A1462" s="3"/>
      <c r="B1462" t="str">
        <f>IF(_xlfn.XLOOKUP(A1462,PARAMETROS!A:A,PARAMETROS!B:B)=0,"",_xlfn.XLOOKUP(A1462,PARAMETROS!A:A,PARAMETROS!B:B))</f>
        <v/>
      </c>
      <c r="C1462" t="str">
        <f>IF(_xlfn.XLOOKUP(A1462,PARAMETROS!A:A,PARAMETROS!C:C)=0,"",_xlfn.XLOOKUP(A1462,PARAMETROS!A:A,PARAMETROS!C:C))</f>
        <v/>
      </c>
      <c r="D1462" t="str">
        <f>IF(_xlfn.XLOOKUP(A1462,PARAMETROS!A:A,PARAMETROS!D:D)=0,"",_xlfn.XLOOKUP(A1462,PARAMETROS!A:A,PARAMETROS!D:D))</f>
        <v/>
      </c>
      <c r="E1462" t="str">
        <f>IF(_xlfn.XLOOKUP('PREENCHIMENTO|LETIVAS'!A1462,PARAMETROS!A:A,PARAMETROS!I:I)=0,"",_xlfn.XLOOKUP('PREENCHIMENTO|LETIVAS'!A1462,PARAMETROS!A:A,PARAMETROS!I:I))</f>
        <v/>
      </c>
      <c r="F1462" s="3"/>
      <c r="G1462" s="3"/>
      <c r="H1462" s="3"/>
      <c r="I1462" s="3"/>
      <c r="J1462" s="3"/>
      <c r="K1462" s="3"/>
      <c r="L1462" s="19"/>
    </row>
    <row r="1463" spans="1:12">
      <c r="A1463" s="3"/>
      <c r="B1463" t="str">
        <f>IF(_xlfn.XLOOKUP(A1463,PARAMETROS!A:A,PARAMETROS!B:B)=0,"",_xlfn.XLOOKUP(A1463,PARAMETROS!A:A,PARAMETROS!B:B))</f>
        <v/>
      </c>
      <c r="C1463" t="str">
        <f>IF(_xlfn.XLOOKUP(A1463,PARAMETROS!A:A,PARAMETROS!C:C)=0,"",_xlfn.XLOOKUP(A1463,PARAMETROS!A:A,PARAMETROS!C:C))</f>
        <v/>
      </c>
      <c r="D1463" t="str">
        <f>IF(_xlfn.XLOOKUP(A1463,PARAMETROS!A:A,PARAMETROS!D:D)=0,"",_xlfn.XLOOKUP(A1463,PARAMETROS!A:A,PARAMETROS!D:D))</f>
        <v/>
      </c>
      <c r="E1463" t="str">
        <f>IF(_xlfn.XLOOKUP('PREENCHIMENTO|LETIVAS'!A1463,PARAMETROS!A:A,PARAMETROS!I:I)=0,"",_xlfn.XLOOKUP('PREENCHIMENTO|LETIVAS'!A1463,PARAMETROS!A:A,PARAMETROS!I:I))</f>
        <v/>
      </c>
      <c r="F1463" s="3"/>
      <c r="G1463" s="3"/>
      <c r="H1463" s="3"/>
      <c r="I1463" s="3"/>
      <c r="J1463" s="3"/>
      <c r="K1463" s="3"/>
      <c r="L1463" s="19"/>
    </row>
    <row r="1464" spans="1:12">
      <c r="A1464" s="3"/>
      <c r="B1464" t="str">
        <f>IF(_xlfn.XLOOKUP(A1464,PARAMETROS!A:A,PARAMETROS!B:B)=0,"",_xlfn.XLOOKUP(A1464,PARAMETROS!A:A,PARAMETROS!B:B))</f>
        <v/>
      </c>
      <c r="C1464" t="str">
        <f>IF(_xlfn.XLOOKUP(A1464,PARAMETROS!A:A,PARAMETROS!C:C)=0,"",_xlfn.XLOOKUP(A1464,PARAMETROS!A:A,PARAMETROS!C:C))</f>
        <v/>
      </c>
      <c r="D1464" t="str">
        <f>IF(_xlfn.XLOOKUP(A1464,PARAMETROS!A:A,PARAMETROS!D:D)=0,"",_xlfn.XLOOKUP(A1464,PARAMETROS!A:A,PARAMETROS!D:D))</f>
        <v/>
      </c>
      <c r="E1464" t="str">
        <f>IF(_xlfn.XLOOKUP('PREENCHIMENTO|LETIVAS'!A1464,PARAMETROS!A:A,PARAMETROS!I:I)=0,"",_xlfn.XLOOKUP('PREENCHIMENTO|LETIVAS'!A1464,PARAMETROS!A:A,PARAMETROS!I:I))</f>
        <v/>
      </c>
      <c r="F1464" s="3"/>
      <c r="G1464" s="3"/>
      <c r="H1464" s="3"/>
      <c r="I1464" s="3"/>
      <c r="J1464" s="3"/>
      <c r="K1464" s="3"/>
      <c r="L1464" s="19"/>
    </row>
    <row r="1465" spans="1:12">
      <c r="A1465" s="3"/>
      <c r="B1465" t="str">
        <f>IF(_xlfn.XLOOKUP(A1465,PARAMETROS!A:A,PARAMETROS!B:B)=0,"",_xlfn.XLOOKUP(A1465,PARAMETROS!A:A,PARAMETROS!B:B))</f>
        <v/>
      </c>
      <c r="C1465" t="str">
        <f>IF(_xlfn.XLOOKUP(A1465,PARAMETROS!A:A,PARAMETROS!C:C)=0,"",_xlfn.XLOOKUP(A1465,PARAMETROS!A:A,PARAMETROS!C:C))</f>
        <v/>
      </c>
      <c r="D1465" t="str">
        <f>IF(_xlfn.XLOOKUP(A1465,PARAMETROS!A:A,PARAMETROS!D:D)=0,"",_xlfn.XLOOKUP(A1465,PARAMETROS!A:A,PARAMETROS!D:D))</f>
        <v/>
      </c>
      <c r="E1465" t="str">
        <f>IF(_xlfn.XLOOKUP('PREENCHIMENTO|LETIVAS'!A1465,PARAMETROS!A:A,PARAMETROS!I:I)=0,"",_xlfn.XLOOKUP('PREENCHIMENTO|LETIVAS'!A1465,PARAMETROS!A:A,PARAMETROS!I:I))</f>
        <v/>
      </c>
      <c r="F1465" s="3"/>
      <c r="G1465" s="3"/>
      <c r="H1465" s="3"/>
      <c r="I1465" s="3"/>
      <c r="J1465" s="3"/>
      <c r="K1465" s="3"/>
      <c r="L1465" s="19"/>
    </row>
    <row r="1466" spans="1:12">
      <c r="A1466" s="3"/>
      <c r="B1466" t="str">
        <f>IF(_xlfn.XLOOKUP(A1466,PARAMETROS!A:A,PARAMETROS!B:B)=0,"",_xlfn.XLOOKUP(A1466,PARAMETROS!A:A,PARAMETROS!B:B))</f>
        <v/>
      </c>
      <c r="C1466" t="str">
        <f>IF(_xlfn.XLOOKUP(A1466,PARAMETROS!A:A,PARAMETROS!C:C)=0,"",_xlfn.XLOOKUP(A1466,PARAMETROS!A:A,PARAMETROS!C:C))</f>
        <v/>
      </c>
      <c r="D1466" t="str">
        <f>IF(_xlfn.XLOOKUP(A1466,PARAMETROS!A:A,PARAMETROS!D:D)=0,"",_xlfn.XLOOKUP(A1466,PARAMETROS!A:A,PARAMETROS!D:D))</f>
        <v/>
      </c>
      <c r="E1466" t="str">
        <f>IF(_xlfn.XLOOKUP('PREENCHIMENTO|LETIVAS'!A1466,PARAMETROS!A:A,PARAMETROS!I:I)=0,"",_xlfn.XLOOKUP('PREENCHIMENTO|LETIVAS'!A1466,PARAMETROS!A:A,PARAMETROS!I:I))</f>
        <v/>
      </c>
      <c r="F1466" s="3"/>
      <c r="G1466" s="3"/>
      <c r="H1466" s="3"/>
      <c r="I1466" s="3"/>
      <c r="J1466" s="3"/>
      <c r="K1466" s="3"/>
      <c r="L1466" s="19"/>
    </row>
    <row r="1467" spans="1:12">
      <c r="A1467" s="3"/>
      <c r="B1467" t="str">
        <f>IF(_xlfn.XLOOKUP(A1467,PARAMETROS!A:A,PARAMETROS!B:B)=0,"",_xlfn.XLOOKUP(A1467,PARAMETROS!A:A,PARAMETROS!B:B))</f>
        <v/>
      </c>
      <c r="C1467" t="str">
        <f>IF(_xlfn.XLOOKUP(A1467,PARAMETROS!A:A,PARAMETROS!C:C)=0,"",_xlfn.XLOOKUP(A1467,PARAMETROS!A:A,PARAMETROS!C:C))</f>
        <v/>
      </c>
      <c r="D1467" t="str">
        <f>IF(_xlfn.XLOOKUP(A1467,PARAMETROS!A:A,PARAMETROS!D:D)=0,"",_xlfn.XLOOKUP(A1467,PARAMETROS!A:A,PARAMETROS!D:D))</f>
        <v/>
      </c>
      <c r="E1467" t="str">
        <f>IF(_xlfn.XLOOKUP('PREENCHIMENTO|LETIVAS'!A1467,PARAMETROS!A:A,PARAMETROS!I:I)=0,"",_xlfn.XLOOKUP('PREENCHIMENTO|LETIVAS'!A1467,PARAMETROS!A:A,PARAMETROS!I:I))</f>
        <v/>
      </c>
      <c r="F1467" s="3"/>
      <c r="G1467" s="3"/>
      <c r="H1467" s="3"/>
      <c r="I1467" s="3"/>
      <c r="J1467" s="3"/>
      <c r="K1467" s="3"/>
      <c r="L1467" s="19"/>
    </row>
    <row r="1468" spans="1:12">
      <c r="A1468" s="3"/>
      <c r="B1468" t="str">
        <f>IF(_xlfn.XLOOKUP(A1468,PARAMETROS!A:A,PARAMETROS!B:B)=0,"",_xlfn.XLOOKUP(A1468,PARAMETROS!A:A,PARAMETROS!B:B))</f>
        <v/>
      </c>
      <c r="C1468" t="str">
        <f>IF(_xlfn.XLOOKUP(A1468,PARAMETROS!A:A,PARAMETROS!C:C)=0,"",_xlfn.XLOOKUP(A1468,PARAMETROS!A:A,PARAMETROS!C:C))</f>
        <v/>
      </c>
      <c r="D1468" t="str">
        <f>IF(_xlfn.XLOOKUP(A1468,PARAMETROS!A:A,PARAMETROS!D:D)=0,"",_xlfn.XLOOKUP(A1468,PARAMETROS!A:A,PARAMETROS!D:D))</f>
        <v/>
      </c>
      <c r="E1468" t="str">
        <f>IF(_xlfn.XLOOKUP('PREENCHIMENTO|LETIVAS'!A1468,PARAMETROS!A:A,PARAMETROS!I:I)=0,"",_xlfn.XLOOKUP('PREENCHIMENTO|LETIVAS'!A1468,PARAMETROS!A:A,PARAMETROS!I:I))</f>
        <v/>
      </c>
      <c r="F1468" s="3"/>
      <c r="G1468" s="3"/>
      <c r="H1468" s="3"/>
      <c r="I1468" s="3"/>
      <c r="J1468" s="3"/>
      <c r="K1468" s="3"/>
      <c r="L1468" s="19"/>
    </row>
    <row r="1469" spans="1:12">
      <c r="A1469" s="3"/>
      <c r="B1469" t="str">
        <f>IF(_xlfn.XLOOKUP(A1469,PARAMETROS!A:A,PARAMETROS!B:B)=0,"",_xlfn.XLOOKUP(A1469,PARAMETROS!A:A,PARAMETROS!B:B))</f>
        <v/>
      </c>
      <c r="C1469" t="str">
        <f>IF(_xlfn.XLOOKUP(A1469,PARAMETROS!A:A,PARAMETROS!C:C)=0,"",_xlfn.XLOOKUP(A1469,PARAMETROS!A:A,PARAMETROS!C:C))</f>
        <v/>
      </c>
      <c r="D1469" t="str">
        <f>IF(_xlfn.XLOOKUP(A1469,PARAMETROS!A:A,PARAMETROS!D:D)=0,"",_xlfn.XLOOKUP(A1469,PARAMETROS!A:A,PARAMETROS!D:D))</f>
        <v/>
      </c>
      <c r="E1469" t="str">
        <f>IF(_xlfn.XLOOKUP('PREENCHIMENTO|LETIVAS'!A1469,PARAMETROS!A:A,PARAMETROS!I:I)=0,"",_xlfn.XLOOKUP('PREENCHIMENTO|LETIVAS'!A1469,PARAMETROS!A:A,PARAMETROS!I:I))</f>
        <v/>
      </c>
      <c r="F1469" s="3"/>
      <c r="G1469" s="3"/>
      <c r="H1469" s="3"/>
      <c r="I1469" s="3"/>
      <c r="J1469" s="3"/>
      <c r="K1469" s="3"/>
      <c r="L1469" s="19"/>
    </row>
    <row r="1470" spans="1:12">
      <c r="A1470" s="3"/>
      <c r="B1470" t="str">
        <f>IF(_xlfn.XLOOKUP(A1470,PARAMETROS!A:A,PARAMETROS!B:B)=0,"",_xlfn.XLOOKUP(A1470,PARAMETROS!A:A,PARAMETROS!B:B))</f>
        <v/>
      </c>
      <c r="C1470" t="str">
        <f>IF(_xlfn.XLOOKUP(A1470,PARAMETROS!A:A,PARAMETROS!C:C)=0,"",_xlfn.XLOOKUP(A1470,PARAMETROS!A:A,PARAMETROS!C:C))</f>
        <v/>
      </c>
      <c r="D1470" t="str">
        <f>IF(_xlfn.XLOOKUP(A1470,PARAMETROS!A:A,PARAMETROS!D:D)=0,"",_xlfn.XLOOKUP(A1470,PARAMETROS!A:A,PARAMETROS!D:D))</f>
        <v/>
      </c>
      <c r="E1470" t="str">
        <f>IF(_xlfn.XLOOKUP('PREENCHIMENTO|LETIVAS'!A1470,PARAMETROS!A:A,PARAMETROS!I:I)=0,"",_xlfn.XLOOKUP('PREENCHIMENTO|LETIVAS'!A1470,PARAMETROS!A:A,PARAMETROS!I:I))</f>
        <v/>
      </c>
      <c r="F1470" s="3"/>
      <c r="G1470" s="3"/>
      <c r="H1470" s="3"/>
      <c r="I1470" s="3"/>
      <c r="J1470" s="3"/>
      <c r="K1470" s="3"/>
      <c r="L1470" s="19"/>
    </row>
    <row r="1471" spans="1:12">
      <c r="A1471" s="3"/>
      <c r="B1471" t="str">
        <f>IF(_xlfn.XLOOKUP(A1471,PARAMETROS!A:A,PARAMETROS!B:B)=0,"",_xlfn.XLOOKUP(A1471,PARAMETROS!A:A,PARAMETROS!B:B))</f>
        <v/>
      </c>
      <c r="C1471" t="str">
        <f>IF(_xlfn.XLOOKUP(A1471,PARAMETROS!A:A,PARAMETROS!C:C)=0,"",_xlfn.XLOOKUP(A1471,PARAMETROS!A:A,PARAMETROS!C:C))</f>
        <v/>
      </c>
      <c r="D1471" t="str">
        <f>IF(_xlfn.XLOOKUP(A1471,PARAMETROS!A:A,PARAMETROS!D:D)=0,"",_xlfn.XLOOKUP(A1471,PARAMETROS!A:A,PARAMETROS!D:D))</f>
        <v/>
      </c>
      <c r="E1471" t="str">
        <f>IF(_xlfn.XLOOKUP('PREENCHIMENTO|LETIVAS'!A1471,PARAMETROS!A:A,PARAMETROS!I:I)=0,"",_xlfn.XLOOKUP('PREENCHIMENTO|LETIVAS'!A1471,PARAMETROS!A:A,PARAMETROS!I:I))</f>
        <v/>
      </c>
      <c r="F1471" s="3"/>
      <c r="G1471" s="3"/>
      <c r="H1471" s="3"/>
      <c r="I1471" s="3"/>
      <c r="J1471" s="3"/>
      <c r="K1471" s="3"/>
      <c r="L1471" s="19"/>
    </row>
    <row r="1472" spans="1:12">
      <c r="A1472" s="3"/>
      <c r="B1472" t="str">
        <f>IF(_xlfn.XLOOKUP(A1472,PARAMETROS!A:A,PARAMETROS!B:B)=0,"",_xlfn.XLOOKUP(A1472,PARAMETROS!A:A,PARAMETROS!B:B))</f>
        <v/>
      </c>
      <c r="C1472" t="str">
        <f>IF(_xlfn.XLOOKUP(A1472,PARAMETROS!A:A,PARAMETROS!C:C)=0,"",_xlfn.XLOOKUP(A1472,PARAMETROS!A:A,PARAMETROS!C:C))</f>
        <v/>
      </c>
      <c r="D1472" t="str">
        <f>IF(_xlfn.XLOOKUP(A1472,PARAMETROS!A:A,PARAMETROS!D:D)=0,"",_xlfn.XLOOKUP(A1472,PARAMETROS!A:A,PARAMETROS!D:D))</f>
        <v/>
      </c>
      <c r="E1472" t="str">
        <f>IF(_xlfn.XLOOKUP('PREENCHIMENTO|LETIVAS'!A1472,PARAMETROS!A:A,PARAMETROS!I:I)=0,"",_xlfn.XLOOKUP('PREENCHIMENTO|LETIVAS'!A1472,PARAMETROS!A:A,PARAMETROS!I:I))</f>
        <v/>
      </c>
      <c r="F1472" s="3"/>
      <c r="G1472" s="3"/>
      <c r="H1472" s="3"/>
      <c r="I1472" s="3"/>
      <c r="J1472" s="3"/>
      <c r="K1472" s="3"/>
      <c r="L1472" s="19"/>
    </row>
    <row r="1473" spans="1:12">
      <c r="A1473" s="3"/>
      <c r="B1473" t="str">
        <f>IF(_xlfn.XLOOKUP(A1473,PARAMETROS!A:A,PARAMETROS!B:B)=0,"",_xlfn.XLOOKUP(A1473,PARAMETROS!A:A,PARAMETROS!B:B))</f>
        <v/>
      </c>
      <c r="C1473" t="str">
        <f>IF(_xlfn.XLOOKUP(A1473,PARAMETROS!A:A,PARAMETROS!C:C)=0,"",_xlfn.XLOOKUP(A1473,PARAMETROS!A:A,PARAMETROS!C:C))</f>
        <v/>
      </c>
      <c r="D1473" t="str">
        <f>IF(_xlfn.XLOOKUP(A1473,PARAMETROS!A:A,PARAMETROS!D:D)=0,"",_xlfn.XLOOKUP(A1473,PARAMETROS!A:A,PARAMETROS!D:D))</f>
        <v/>
      </c>
      <c r="E1473" t="str">
        <f>IF(_xlfn.XLOOKUP('PREENCHIMENTO|LETIVAS'!A1473,PARAMETROS!A:A,PARAMETROS!I:I)=0,"",_xlfn.XLOOKUP('PREENCHIMENTO|LETIVAS'!A1473,PARAMETROS!A:A,PARAMETROS!I:I))</f>
        <v/>
      </c>
      <c r="F1473" s="3"/>
      <c r="G1473" s="3"/>
      <c r="H1473" s="3"/>
      <c r="I1473" s="3"/>
      <c r="J1473" s="3"/>
      <c r="K1473" s="3"/>
      <c r="L1473" s="19"/>
    </row>
    <row r="1474" spans="1:12">
      <c r="A1474" s="3"/>
      <c r="B1474" t="str">
        <f>IF(_xlfn.XLOOKUP(A1474,PARAMETROS!A:A,PARAMETROS!B:B)=0,"",_xlfn.XLOOKUP(A1474,PARAMETROS!A:A,PARAMETROS!B:B))</f>
        <v/>
      </c>
      <c r="C1474" t="str">
        <f>IF(_xlfn.XLOOKUP(A1474,PARAMETROS!A:A,PARAMETROS!C:C)=0,"",_xlfn.XLOOKUP(A1474,PARAMETROS!A:A,PARAMETROS!C:C))</f>
        <v/>
      </c>
      <c r="D1474" t="str">
        <f>IF(_xlfn.XLOOKUP(A1474,PARAMETROS!A:A,PARAMETROS!D:D)=0,"",_xlfn.XLOOKUP(A1474,PARAMETROS!A:A,PARAMETROS!D:D))</f>
        <v/>
      </c>
      <c r="E1474" t="str">
        <f>IF(_xlfn.XLOOKUP('PREENCHIMENTO|LETIVAS'!A1474,PARAMETROS!A:A,PARAMETROS!I:I)=0,"",_xlfn.XLOOKUP('PREENCHIMENTO|LETIVAS'!A1474,PARAMETROS!A:A,PARAMETROS!I:I))</f>
        <v/>
      </c>
      <c r="F1474" s="3"/>
      <c r="G1474" s="3"/>
      <c r="H1474" s="3"/>
      <c r="I1474" s="3"/>
      <c r="J1474" s="3"/>
      <c r="K1474" s="3"/>
      <c r="L1474" s="19"/>
    </row>
    <row r="1475" spans="1:12">
      <c r="A1475" s="3"/>
      <c r="B1475" t="str">
        <f>IF(_xlfn.XLOOKUP(A1475,PARAMETROS!A:A,PARAMETROS!B:B)=0,"",_xlfn.XLOOKUP(A1475,PARAMETROS!A:A,PARAMETROS!B:B))</f>
        <v/>
      </c>
      <c r="C1475" t="str">
        <f>IF(_xlfn.XLOOKUP(A1475,PARAMETROS!A:A,PARAMETROS!C:C)=0,"",_xlfn.XLOOKUP(A1475,PARAMETROS!A:A,PARAMETROS!C:C))</f>
        <v/>
      </c>
      <c r="D1475" t="str">
        <f>IF(_xlfn.XLOOKUP(A1475,PARAMETROS!A:A,PARAMETROS!D:D)=0,"",_xlfn.XLOOKUP(A1475,PARAMETROS!A:A,PARAMETROS!D:D))</f>
        <v/>
      </c>
      <c r="E1475" t="str">
        <f>IF(_xlfn.XLOOKUP('PREENCHIMENTO|LETIVAS'!A1475,PARAMETROS!A:A,PARAMETROS!I:I)=0,"",_xlfn.XLOOKUP('PREENCHIMENTO|LETIVAS'!A1475,PARAMETROS!A:A,PARAMETROS!I:I))</f>
        <v/>
      </c>
      <c r="F1475" s="3"/>
      <c r="G1475" s="3"/>
      <c r="H1475" s="3"/>
      <c r="I1475" s="3"/>
      <c r="J1475" s="3"/>
      <c r="K1475" s="3"/>
      <c r="L1475" s="19"/>
    </row>
    <row r="1476" spans="1:12">
      <c r="A1476" s="3"/>
      <c r="B1476" t="str">
        <f>IF(_xlfn.XLOOKUP(A1476,PARAMETROS!A:A,PARAMETROS!B:B)=0,"",_xlfn.XLOOKUP(A1476,PARAMETROS!A:A,PARAMETROS!B:B))</f>
        <v/>
      </c>
      <c r="C1476" t="str">
        <f>IF(_xlfn.XLOOKUP(A1476,PARAMETROS!A:A,PARAMETROS!C:C)=0,"",_xlfn.XLOOKUP(A1476,PARAMETROS!A:A,PARAMETROS!C:C))</f>
        <v/>
      </c>
      <c r="D1476" t="str">
        <f>IF(_xlfn.XLOOKUP(A1476,PARAMETROS!A:A,PARAMETROS!D:D)=0,"",_xlfn.XLOOKUP(A1476,PARAMETROS!A:A,PARAMETROS!D:D))</f>
        <v/>
      </c>
      <c r="E1476" t="str">
        <f>IF(_xlfn.XLOOKUP('PREENCHIMENTO|LETIVAS'!A1476,PARAMETROS!A:A,PARAMETROS!I:I)=0,"",_xlfn.XLOOKUP('PREENCHIMENTO|LETIVAS'!A1476,PARAMETROS!A:A,PARAMETROS!I:I))</f>
        <v/>
      </c>
      <c r="F1476" s="3"/>
      <c r="G1476" s="3"/>
      <c r="H1476" s="3"/>
      <c r="I1476" s="3"/>
      <c r="J1476" s="3"/>
      <c r="K1476" s="3"/>
      <c r="L1476" s="19"/>
    </row>
    <row r="1477" spans="1:12">
      <c r="A1477" s="3"/>
      <c r="B1477" t="str">
        <f>IF(_xlfn.XLOOKUP(A1477,PARAMETROS!A:A,PARAMETROS!B:B)=0,"",_xlfn.XLOOKUP(A1477,PARAMETROS!A:A,PARAMETROS!B:B))</f>
        <v/>
      </c>
      <c r="C1477" t="str">
        <f>IF(_xlfn.XLOOKUP(A1477,PARAMETROS!A:A,PARAMETROS!C:C)=0,"",_xlfn.XLOOKUP(A1477,PARAMETROS!A:A,PARAMETROS!C:C))</f>
        <v/>
      </c>
      <c r="D1477" t="str">
        <f>IF(_xlfn.XLOOKUP(A1477,PARAMETROS!A:A,PARAMETROS!D:D)=0,"",_xlfn.XLOOKUP(A1477,PARAMETROS!A:A,PARAMETROS!D:D))</f>
        <v/>
      </c>
      <c r="E1477" t="str">
        <f>IF(_xlfn.XLOOKUP('PREENCHIMENTO|LETIVAS'!A1477,PARAMETROS!A:A,PARAMETROS!I:I)=0,"",_xlfn.XLOOKUP('PREENCHIMENTO|LETIVAS'!A1477,PARAMETROS!A:A,PARAMETROS!I:I))</f>
        <v/>
      </c>
      <c r="F1477" s="3"/>
      <c r="G1477" s="3"/>
      <c r="H1477" s="3"/>
      <c r="I1477" s="3"/>
      <c r="J1477" s="3"/>
      <c r="K1477" s="3"/>
      <c r="L1477" s="19"/>
    </row>
    <row r="1478" spans="1:12">
      <c r="A1478" s="3"/>
      <c r="B1478" t="str">
        <f>IF(_xlfn.XLOOKUP(A1478,PARAMETROS!A:A,PARAMETROS!B:B)=0,"",_xlfn.XLOOKUP(A1478,PARAMETROS!A:A,PARAMETROS!B:B))</f>
        <v/>
      </c>
      <c r="C1478" t="str">
        <f>IF(_xlfn.XLOOKUP(A1478,PARAMETROS!A:A,PARAMETROS!C:C)=0,"",_xlfn.XLOOKUP(A1478,PARAMETROS!A:A,PARAMETROS!C:C))</f>
        <v/>
      </c>
      <c r="D1478" t="str">
        <f>IF(_xlfn.XLOOKUP(A1478,PARAMETROS!A:A,PARAMETROS!D:D)=0,"",_xlfn.XLOOKUP(A1478,PARAMETROS!A:A,PARAMETROS!D:D))</f>
        <v/>
      </c>
      <c r="E1478" t="str">
        <f>IF(_xlfn.XLOOKUP('PREENCHIMENTO|LETIVAS'!A1478,PARAMETROS!A:A,PARAMETROS!I:I)=0,"",_xlfn.XLOOKUP('PREENCHIMENTO|LETIVAS'!A1478,PARAMETROS!A:A,PARAMETROS!I:I))</f>
        <v/>
      </c>
      <c r="F1478" s="3"/>
      <c r="G1478" s="3"/>
      <c r="H1478" s="3"/>
      <c r="I1478" s="3"/>
      <c r="J1478" s="3"/>
      <c r="K1478" s="3"/>
      <c r="L1478" s="19"/>
    </row>
    <row r="1479" spans="1:12">
      <c r="A1479" s="3"/>
      <c r="B1479" t="str">
        <f>IF(_xlfn.XLOOKUP(A1479,PARAMETROS!A:A,PARAMETROS!B:B)=0,"",_xlfn.XLOOKUP(A1479,PARAMETROS!A:A,PARAMETROS!B:B))</f>
        <v/>
      </c>
      <c r="C1479" t="str">
        <f>IF(_xlfn.XLOOKUP(A1479,PARAMETROS!A:A,PARAMETROS!C:C)=0,"",_xlfn.XLOOKUP(A1479,PARAMETROS!A:A,PARAMETROS!C:C))</f>
        <v/>
      </c>
      <c r="D1479" t="str">
        <f>IF(_xlfn.XLOOKUP(A1479,PARAMETROS!A:A,PARAMETROS!D:D)=0,"",_xlfn.XLOOKUP(A1479,PARAMETROS!A:A,PARAMETROS!D:D))</f>
        <v/>
      </c>
      <c r="E1479" t="str">
        <f>IF(_xlfn.XLOOKUP('PREENCHIMENTO|LETIVAS'!A1479,PARAMETROS!A:A,PARAMETROS!I:I)=0,"",_xlfn.XLOOKUP('PREENCHIMENTO|LETIVAS'!A1479,PARAMETROS!A:A,PARAMETROS!I:I))</f>
        <v/>
      </c>
      <c r="F1479" s="3"/>
      <c r="G1479" s="3"/>
      <c r="H1479" s="3"/>
      <c r="I1479" s="3"/>
      <c r="J1479" s="3"/>
      <c r="K1479" s="3"/>
      <c r="L1479" s="19"/>
    </row>
    <row r="1480" spans="1:12">
      <c r="A1480" s="3"/>
      <c r="B1480" t="str">
        <f>IF(_xlfn.XLOOKUP(A1480,PARAMETROS!A:A,PARAMETROS!B:B)=0,"",_xlfn.XLOOKUP(A1480,PARAMETROS!A:A,PARAMETROS!B:B))</f>
        <v/>
      </c>
      <c r="C1480" t="str">
        <f>IF(_xlfn.XLOOKUP(A1480,PARAMETROS!A:A,PARAMETROS!C:C)=0,"",_xlfn.XLOOKUP(A1480,PARAMETROS!A:A,PARAMETROS!C:C))</f>
        <v/>
      </c>
      <c r="D1480" t="str">
        <f>IF(_xlfn.XLOOKUP(A1480,PARAMETROS!A:A,PARAMETROS!D:D)=0,"",_xlfn.XLOOKUP(A1480,PARAMETROS!A:A,PARAMETROS!D:D))</f>
        <v/>
      </c>
      <c r="E1480" t="str">
        <f>IF(_xlfn.XLOOKUP('PREENCHIMENTO|LETIVAS'!A1480,PARAMETROS!A:A,PARAMETROS!I:I)=0,"",_xlfn.XLOOKUP('PREENCHIMENTO|LETIVAS'!A1480,PARAMETROS!A:A,PARAMETROS!I:I))</f>
        <v/>
      </c>
      <c r="F1480" s="3"/>
      <c r="G1480" s="3"/>
      <c r="H1480" s="3"/>
      <c r="I1480" s="3"/>
      <c r="J1480" s="3"/>
      <c r="K1480" s="3"/>
      <c r="L1480" s="19"/>
    </row>
    <row r="1481" spans="1:12">
      <c r="A1481" s="3"/>
      <c r="B1481" t="str">
        <f>IF(_xlfn.XLOOKUP(A1481,PARAMETROS!A:A,PARAMETROS!B:B)=0,"",_xlfn.XLOOKUP(A1481,PARAMETROS!A:A,PARAMETROS!B:B))</f>
        <v/>
      </c>
      <c r="C1481" t="str">
        <f>IF(_xlfn.XLOOKUP(A1481,PARAMETROS!A:A,PARAMETROS!C:C)=0,"",_xlfn.XLOOKUP(A1481,PARAMETROS!A:A,PARAMETROS!C:C))</f>
        <v/>
      </c>
      <c r="D1481" t="str">
        <f>IF(_xlfn.XLOOKUP(A1481,PARAMETROS!A:A,PARAMETROS!D:D)=0,"",_xlfn.XLOOKUP(A1481,PARAMETROS!A:A,PARAMETROS!D:D))</f>
        <v/>
      </c>
      <c r="E1481" t="str">
        <f>IF(_xlfn.XLOOKUP('PREENCHIMENTO|LETIVAS'!A1481,PARAMETROS!A:A,PARAMETROS!I:I)=0,"",_xlfn.XLOOKUP('PREENCHIMENTO|LETIVAS'!A1481,PARAMETROS!A:A,PARAMETROS!I:I))</f>
        <v/>
      </c>
      <c r="F1481" s="3"/>
      <c r="G1481" s="3"/>
      <c r="H1481" s="3"/>
      <c r="I1481" s="3"/>
      <c r="J1481" s="3"/>
      <c r="K1481" s="3"/>
      <c r="L1481" s="19"/>
    </row>
    <row r="1482" spans="1:12">
      <c r="A1482" s="3"/>
      <c r="B1482" t="str">
        <f>IF(_xlfn.XLOOKUP(A1482,PARAMETROS!A:A,PARAMETROS!B:B)=0,"",_xlfn.XLOOKUP(A1482,PARAMETROS!A:A,PARAMETROS!B:B))</f>
        <v/>
      </c>
      <c r="C1482" t="str">
        <f>IF(_xlfn.XLOOKUP(A1482,PARAMETROS!A:A,PARAMETROS!C:C)=0,"",_xlfn.XLOOKUP(A1482,PARAMETROS!A:A,PARAMETROS!C:C))</f>
        <v/>
      </c>
      <c r="D1482" t="str">
        <f>IF(_xlfn.XLOOKUP(A1482,PARAMETROS!A:A,PARAMETROS!D:D)=0,"",_xlfn.XLOOKUP(A1482,PARAMETROS!A:A,PARAMETROS!D:D))</f>
        <v/>
      </c>
      <c r="E1482" t="str">
        <f>IF(_xlfn.XLOOKUP('PREENCHIMENTO|LETIVAS'!A1482,PARAMETROS!A:A,PARAMETROS!I:I)=0,"",_xlfn.XLOOKUP('PREENCHIMENTO|LETIVAS'!A1482,PARAMETROS!A:A,PARAMETROS!I:I))</f>
        <v/>
      </c>
      <c r="F1482" s="3"/>
      <c r="G1482" s="3"/>
      <c r="H1482" s="3"/>
      <c r="I1482" s="3"/>
      <c r="J1482" s="3"/>
      <c r="K1482" s="3"/>
      <c r="L1482" s="19"/>
    </row>
    <row r="1483" spans="1:12">
      <c r="A1483" s="3"/>
      <c r="B1483" t="str">
        <f>IF(_xlfn.XLOOKUP(A1483,PARAMETROS!A:A,PARAMETROS!B:B)=0,"",_xlfn.XLOOKUP(A1483,PARAMETROS!A:A,PARAMETROS!B:B))</f>
        <v/>
      </c>
      <c r="C1483" t="str">
        <f>IF(_xlfn.XLOOKUP(A1483,PARAMETROS!A:A,PARAMETROS!C:C)=0,"",_xlfn.XLOOKUP(A1483,PARAMETROS!A:A,PARAMETROS!C:C))</f>
        <v/>
      </c>
      <c r="D1483" t="str">
        <f>IF(_xlfn.XLOOKUP(A1483,PARAMETROS!A:A,PARAMETROS!D:D)=0,"",_xlfn.XLOOKUP(A1483,PARAMETROS!A:A,PARAMETROS!D:D))</f>
        <v/>
      </c>
      <c r="E1483" t="str">
        <f>IF(_xlfn.XLOOKUP('PREENCHIMENTO|LETIVAS'!A1483,PARAMETROS!A:A,PARAMETROS!I:I)=0,"",_xlfn.XLOOKUP('PREENCHIMENTO|LETIVAS'!A1483,PARAMETROS!A:A,PARAMETROS!I:I))</f>
        <v/>
      </c>
      <c r="F1483" s="3"/>
      <c r="G1483" s="3"/>
      <c r="H1483" s="3"/>
      <c r="I1483" s="3"/>
      <c r="J1483" s="3"/>
      <c r="K1483" s="3"/>
      <c r="L1483" s="19"/>
    </row>
    <row r="1484" spans="1:12">
      <c r="A1484" s="3"/>
      <c r="B1484" t="str">
        <f>IF(_xlfn.XLOOKUP(A1484,PARAMETROS!A:A,PARAMETROS!B:B)=0,"",_xlfn.XLOOKUP(A1484,PARAMETROS!A:A,PARAMETROS!B:B))</f>
        <v/>
      </c>
      <c r="C1484" t="str">
        <f>IF(_xlfn.XLOOKUP(A1484,PARAMETROS!A:A,PARAMETROS!C:C)=0,"",_xlfn.XLOOKUP(A1484,PARAMETROS!A:A,PARAMETROS!C:C))</f>
        <v/>
      </c>
      <c r="D1484" t="str">
        <f>IF(_xlfn.XLOOKUP(A1484,PARAMETROS!A:A,PARAMETROS!D:D)=0,"",_xlfn.XLOOKUP(A1484,PARAMETROS!A:A,PARAMETROS!D:D))</f>
        <v/>
      </c>
      <c r="E1484" t="str">
        <f>IF(_xlfn.XLOOKUP('PREENCHIMENTO|LETIVAS'!A1484,PARAMETROS!A:A,PARAMETROS!I:I)=0,"",_xlfn.XLOOKUP('PREENCHIMENTO|LETIVAS'!A1484,PARAMETROS!A:A,PARAMETROS!I:I))</f>
        <v/>
      </c>
      <c r="F1484" s="3"/>
      <c r="G1484" s="3"/>
      <c r="H1484" s="3"/>
      <c r="I1484" s="3"/>
      <c r="J1484" s="3"/>
      <c r="K1484" s="3"/>
      <c r="L1484" s="19"/>
    </row>
    <row r="1485" spans="1:12">
      <c r="A1485" s="3"/>
      <c r="B1485" t="str">
        <f>IF(_xlfn.XLOOKUP(A1485,PARAMETROS!A:A,PARAMETROS!B:B)=0,"",_xlfn.XLOOKUP(A1485,PARAMETROS!A:A,PARAMETROS!B:B))</f>
        <v/>
      </c>
      <c r="C1485" t="str">
        <f>IF(_xlfn.XLOOKUP(A1485,PARAMETROS!A:A,PARAMETROS!C:C)=0,"",_xlfn.XLOOKUP(A1485,PARAMETROS!A:A,PARAMETROS!C:C))</f>
        <v/>
      </c>
      <c r="D1485" t="str">
        <f>IF(_xlfn.XLOOKUP(A1485,PARAMETROS!A:A,PARAMETROS!D:D)=0,"",_xlfn.XLOOKUP(A1485,PARAMETROS!A:A,PARAMETROS!D:D))</f>
        <v/>
      </c>
      <c r="E1485" t="str">
        <f>IF(_xlfn.XLOOKUP('PREENCHIMENTO|LETIVAS'!A1485,PARAMETROS!A:A,PARAMETROS!I:I)=0,"",_xlfn.XLOOKUP('PREENCHIMENTO|LETIVAS'!A1485,PARAMETROS!A:A,PARAMETROS!I:I))</f>
        <v/>
      </c>
      <c r="F1485" s="3"/>
      <c r="G1485" s="3"/>
      <c r="H1485" s="3"/>
      <c r="I1485" s="3"/>
      <c r="J1485" s="3"/>
      <c r="K1485" s="3"/>
      <c r="L1485" s="19"/>
    </row>
    <row r="1486" spans="1:12">
      <c r="A1486" s="3"/>
      <c r="B1486" t="str">
        <f>IF(_xlfn.XLOOKUP(A1486,PARAMETROS!A:A,PARAMETROS!B:B)=0,"",_xlfn.XLOOKUP(A1486,PARAMETROS!A:A,PARAMETROS!B:B))</f>
        <v/>
      </c>
      <c r="C1486" t="str">
        <f>IF(_xlfn.XLOOKUP(A1486,PARAMETROS!A:A,PARAMETROS!C:C)=0,"",_xlfn.XLOOKUP(A1486,PARAMETROS!A:A,PARAMETROS!C:C))</f>
        <v/>
      </c>
      <c r="D1486" t="str">
        <f>IF(_xlfn.XLOOKUP(A1486,PARAMETROS!A:A,PARAMETROS!D:D)=0,"",_xlfn.XLOOKUP(A1486,PARAMETROS!A:A,PARAMETROS!D:D))</f>
        <v/>
      </c>
      <c r="E1486" t="str">
        <f>IF(_xlfn.XLOOKUP('PREENCHIMENTO|LETIVAS'!A1486,PARAMETROS!A:A,PARAMETROS!I:I)=0,"",_xlfn.XLOOKUP('PREENCHIMENTO|LETIVAS'!A1486,PARAMETROS!A:A,PARAMETROS!I:I))</f>
        <v/>
      </c>
      <c r="F1486" s="3"/>
      <c r="G1486" s="3"/>
      <c r="H1486" s="3"/>
      <c r="I1486" s="3"/>
      <c r="J1486" s="3"/>
      <c r="K1486" s="3"/>
      <c r="L1486" s="19"/>
    </row>
    <row r="1487" spans="1:12">
      <c r="A1487" s="3"/>
      <c r="B1487" t="str">
        <f>IF(_xlfn.XLOOKUP(A1487,PARAMETROS!A:A,PARAMETROS!B:B)=0,"",_xlfn.XLOOKUP(A1487,PARAMETROS!A:A,PARAMETROS!B:B))</f>
        <v/>
      </c>
      <c r="C1487" t="str">
        <f>IF(_xlfn.XLOOKUP(A1487,PARAMETROS!A:A,PARAMETROS!C:C)=0,"",_xlfn.XLOOKUP(A1487,PARAMETROS!A:A,PARAMETROS!C:C))</f>
        <v/>
      </c>
      <c r="D1487" t="str">
        <f>IF(_xlfn.XLOOKUP(A1487,PARAMETROS!A:A,PARAMETROS!D:D)=0,"",_xlfn.XLOOKUP(A1487,PARAMETROS!A:A,PARAMETROS!D:D))</f>
        <v/>
      </c>
      <c r="E1487" t="str">
        <f>IF(_xlfn.XLOOKUP('PREENCHIMENTO|LETIVAS'!A1487,PARAMETROS!A:A,PARAMETROS!I:I)=0,"",_xlfn.XLOOKUP('PREENCHIMENTO|LETIVAS'!A1487,PARAMETROS!A:A,PARAMETROS!I:I))</f>
        <v/>
      </c>
      <c r="F1487" s="3"/>
      <c r="G1487" s="3"/>
      <c r="H1487" s="3"/>
      <c r="I1487" s="3"/>
      <c r="J1487" s="3"/>
      <c r="K1487" s="3"/>
      <c r="L1487" s="19"/>
    </row>
    <row r="1488" spans="1:12">
      <c r="A1488" s="3"/>
      <c r="B1488" t="str">
        <f>IF(_xlfn.XLOOKUP(A1488,PARAMETROS!A:A,PARAMETROS!B:B)=0,"",_xlfn.XLOOKUP(A1488,PARAMETROS!A:A,PARAMETROS!B:B))</f>
        <v/>
      </c>
      <c r="C1488" t="str">
        <f>IF(_xlfn.XLOOKUP(A1488,PARAMETROS!A:A,PARAMETROS!C:C)=0,"",_xlfn.XLOOKUP(A1488,PARAMETROS!A:A,PARAMETROS!C:C))</f>
        <v/>
      </c>
      <c r="D1488" t="str">
        <f>IF(_xlfn.XLOOKUP(A1488,PARAMETROS!A:A,PARAMETROS!D:D)=0,"",_xlfn.XLOOKUP(A1488,PARAMETROS!A:A,PARAMETROS!D:D))</f>
        <v/>
      </c>
      <c r="E1488" t="str">
        <f>IF(_xlfn.XLOOKUP('PREENCHIMENTO|LETIVAS'!A1488,PARAMETROS!A:A,PARAMETROS!I:I)=0,"",_xlfn.XLOOKUP('PREENCHIMENTO|LETIVAS'!A1488,PARAMETROS!A:A,PARAMETROS!I:I))</f>
        <v/>
      </c>
      <c r="F1488" s="3"/>
      <c r="G1488" s="3"/>
      <c r="H1488" s="3"/>
      <c r="I1488" s="3"/>
      <c r="J1488" s="3"/>
      <c r="K1488" s="3"/>
      <c r="L1488" s="19"/>
    </row>
    <row r="1489" spans="1:12">
      <c r="A1489" s="3"/>
      <c r="B1489" t="str">
        <f>IF(_xlfn.XLOOKUP(A1489,PARAMETROS!A:A,PARAMETROS!B:B)=0,"",_xlfn.XLOOKUP(A1489,PARAMETROS!A:A,PARAMETROS!B:B))</f>
        <v/>
      </c>
      <c r="C1489" t="str">
        <f>IF(_xlfn.XLOOKUP(A1489,PARAMETROS!A:A,PARAMETROS!C:C)=0,"",_xlfn.XLOOKUP(A1489,PARAMETROS!A:A,PARAMETROS!C:C))</f>
        <v/>
      </c>
      <c r="D1489" t="str">
        <f>IF(_xlfn.XLOOKUP(A1489,PARAMETROS!A:A,PARAMETROS!D:D)=0,"",_xlfn.XLOOKUP(A1489,PARAMETROS!A:A,PARAMETROS!D:D))</f>
        <v/>
      </c>
      <c r="E1489" t="str">
        <f>IF(_xlfn.XLOOKUP('PREENCHIMENTO|LETIVAS'!A1489,PARAMETROS!A:A,PARAMETROS!I:I)=0,"",_xlfn.XLOOKUP('PREENCHIMENTO|LETIVAS'!A1489,PARAMETROS!A:A,PARAMETROS!I:I))</f>
        <v/>
      </c>
      <c r="F1489" s="3"/>
      <c r="G1489" s="3"/>
      <c r="H1489" s="3"/>
      <c r="I1489" s="3"/>
      <c r="J1489" s="3"/>
      <c r="K1489" s="3"/>
      <c r="L1489" s="19"/>
    </row>
    <row r="1490" spans="1:12">
      <c r="A1490" s="3"/>
      <c r="B1490" t="str">
        <f>IF(_xlfn.XLOOKUP(A1490,PARAMETROS!A:A,PARAMETROS!B:B)=0,"",_xlfn.XLOOKUP(A1490,PARAMETROS!A:A,PARAMETROS!B:B))</f>
        <v/>
      </c>
      <c r="C1490" t="str">
        <f>IF(_xlfn.XLOOKUP(A1490,PARAMETROS!A:A,PARAMETROS!C:C)=0,"",_xlfn.XLOOKUP(A1490,PARAMETROS!A:A,PARAMETROS!C:C))</f>
        <v/>
      </c>
      <c r="D1490" t="str">
        <f>IF(_xlfn.XLOOKUP(A1490,PARAMETROS!A:A,PARAMETROS!D:D)=0,"",_xlfn.XLOOKUP(A1490,PARAMETROS!A:A,PARAMETROS!D:D))</f>
        <v/>
      </c>
      <c r="E1490" t="str">
        <f>IF(_xlfn.XLOOKUP('PREENCHIMENTO|LETIVAS'!A1490,PARAMETROS!A:A,PARAMETROS!I:I)=0,"",_xlfn.XLOOKUP('PREENCHIMENTO|LETIVAS'!A1490,PARAMETROS!A:A,PARAMETROS!I:I))</f>
        <v/>
      </c>
      <c r="F1490" s="3"/>
      <c r="G1490" s="3"/>
      <c r="H1490" s="3"/>
      <c r="I1490" s="3"/>
      <c r="J1490" s="3"/>
      <c r="K1490" s="3"/>
      <c r="L1490" s="19"/>
    </row>
    <row r="1491" spans="1:12">
      <c r="A1491" s="3"/>
      <c r="B1491" t="str">
        <f>IF(_xlfn.XLOOKUP(A1491,PARAMETROS!A:A,PARAMETROS!B:B)=0,"",_xlfn.XLOOKUP(A1491,PARAMETROS!A:A,PARAMETROS!B:B))</f>
        <v/>
      </c>
      <c r="C1491" t="str">
        <f>IF(_xlfn.XLOOKUP(A1491,PARAMETROS!A:A,PARAMETROS!C:C)=0,"",_xlfn.XLOOKUP(A1491,PARAMETROS!A:A,PARAMETROS!C:C))</f>
        <v/>
      </c>
      <c r="D1491" t="str">
        <f>IF(_xlfn.XLOOKUP(A1491,PARAMETROS!A:A,PARAMETROS!D:D)=0,"",_xlfn.XLOOKUP(A1491,PARAMETROS!A:A,PARAMETROS!D:D))</f>
        <v/>
      </c>
      <c r="E1491" t="str">
        <f>IF(_xlfn.XLOOKUP('PREENCHIMENTO|LETIVAS'!A1491,PARAMETROS!A:A,PARAMETROS!I:I)=0,"",_xlfn.XLOOKUP('PREENCHIMENTO|LETIVAS'!A1491,PARAMETROS!A:A,PARAMETROS!I:I))</f>
        <v/>
      </c>
      <c r="F1491" s="3"/>
      <c r="G1491" s="3"/>
      <c r="H1491" s="3"/>
      <c r="I1491" s="3"/>
      <c r="J1491" s="3"/>
      <c r="K1491" s="3"/>
      <c r="L1491" s="19"/>
    </row>
    <row r="1492" spans="1:12">
      <c r="A1492" s="3"/>
      <c r="B1492" t="str">
        <f>IF(_xlfn.XLOOKUP(A1492,PARAMETROS!A:A,PARAMETROS!B:B)=0,"",_xlfn.XLOOKUP(A1492,PARAMETROS!A:A,PARAMETROS!B:B))</f>
        <v/>
      </c>
      <c r="C1492" t="str">
        <f>IF(_xlfn.XLOOKUP(A1492,PARAMETROS!A:A,PARAMETROS!C:C)=0,"",_xlfn.XLOOKUP(A1492,PARAMETROS!A:A,PARAMETROS!C:C))</f>
        <v/>
      </c>
      <c r="D1492" t="str">
        <f>IF(_xlfn.XLOOKUP(A1492,PARAMETROS!A:A,PARAMETROS!D:D)=0,"",_xlfn.XLOOKUP(A1492,PARAMETROS!A:A,PARAMETROS!D:D))</f>
        <v/>
      </c>
      <c r="E1492" t="str">
        <f>IF(_xlfn.XLOOKUP('PREENCHIMENTO|LETIVAS'!A1492,PARAMETROS!A:A,PARAMETROS!I:I)=0,"",_xlfn.XLOOKUP('PREENCHIMENTO|LETIVAS'!A1492,PARAMETROS!A:A,PARAMETROS!I:I))</f>
        <v/>
      </c>
      <c r="F1492" s="3"/>
      <c r="G1492" s="3"/>
      <c r="H1492" s="3"/>
      <c r="I1492" s="3"/>
      <c r="J1492" s="3"/>
      <c r="K1492" s="3"/>
      <c r="L1492" s="19"/>
    </row>
    <row r="1493" spans="1:12">
      <c r="A1493" s="3"/>
      <c r="B1493" t="str">
        <f>IF(_xlfn.XLOOKUP(A1493,PARAMETROS!A:A,PARAMETROS!B:B)=0,"",_xlfn.XLOOKUP(A1493,PARAMETROS!A:A,PARAMETROS!B:B))</f>
        <v/>
      </c>
      <c r="C1493" t="str">
        <f>IF(_xlfn.XLOOKUP(A1493,PARAMETROS!A:A,PARAMETROS!C:C)=0,"",_xlfn.XLOOKUP(A1493,PARAMETROS!A:A,PARAMETROS!C:C))</f>
        <v/>
      </c>
      <c r="D1493" t="str">
        <f>IF(_xlfn.XLOOKUP(A1493,PARAMETROS!A:A,PARAMETROS!D:D)=0,"",_xlfn.XLOOKUP(A1493,PARAMETROS!A:A,PARAMETROS!D:D))</f>
        <v/>
      </c>
      <c r="E1493" t="str">
        <f>IF(_xlfn.XLOOKUP('PREENCHIMENTO|LETIVAS'!A1493,PARAMETROS!A:A,PARAMETROS!I:I)=0,"",_xlfn.XLOOKUP('PREENCHIMENTO|LETIVAS'!A1493,PARAMETROS!A:A,PARAMETROS!I:I))</f>
        <v/>
      </c>
      <c r="F1493" s="3"/>
      <c r="G1493" s="3"/>
      <c r="H1493" s="3"/>
      <c r="I1493" s="3"/>
      <c r="J1493" s="3"/>
      <c r="K1493" s="3"/>
      <c r="L1493" s="19"/>
    </row>
    <row r="1494" spans="1:12">
      <c r="A1494" s="3"/>
      <c r="B1494" t="str">
        <f>IF(_xlfn.XLOOKUP(A1494,PARAMETROS!A:A,PARAMETROS!B:B)=0,"",_xlfn.XLOOKUP(A1494,PARAMETROS!A:A,PARAMETROS!B:B))</f>
        <v/>
      </c>
      <c r="C1494" t="str">
        <f>IF(_xlfn.XLOOKUP(A1494,PARAMETROS!A:A,PARAMETROS!C:C)=0,"",_xlfn.XLOOKUP(A1494,PARAMETROS!A:A,PARAMETROS!C:C))</f>
        <v/>
      </c>
      <c r="D1494" t="str">
        <f>IF(_xlfn.XLOOKUP(A1494,PARAMETROS!A:A,PARAMETROS!D:D)=0,"",_xlfn.XLOOKUP(A1494,PARAMETROS!A:A,PARAMETROS!D:D))</f>
        <v/>
      </c>
      <c r="E1494" t="str">
        <f>IF(_xlfn.XLOOKUP('PREENCHIMENTO|LETIVAS'!A1494,PARAMETROS!A:A,PARAMETROS!I:I)=0,"",_xlfn.XLOOKUP('PREENCHIMENTO|LETIVAS'!A1494,PARAMETROS!A:A,PARAMETROS!I:I))</f>
        <v/>
      </c>
      <c r="F1494" s="3"/>
      <c r="G1494" s="3"/>
      <c r="H1494" s="3"/>
      <c r="I1494" s="3"/>
      <c r="J1494" s="3"/>
      <c r="K1494" s="3"/>
      <c r="L1494" s="19"/>
    </row>
    <row r="1495" spans="1:12">
      <c r="A1495" s="3"/>
      <c r="B1495" t="str">
        <f>IF(_xlfn.XLOOKUP(A1495,PARAMETROS!A:A,PARAMETROS!B:B)=0,"",_xlfn.XLOOKUP(A1495,PARAMETROS!A:A,PARAMETROS!B:B))</f>
        <v/>
      </c>
      <c r="C1495" t="str">
        <f>IF(_xlfn.XLOOKUP(A1495,PARAMETROS!A:A,PARAMETROS!C:C)=0,"",_xlfn.XLOOKUP(A1495,PARAMETROS!A:A,PARAMETROS!C:C))</f>
        <v/>
      </c>
      <c r="D1495" t="str">
        <f>IF(_xlfn.XLOOKUP(A1495,PARAMETROS!A:A,PARAMETROS!D:D)=0,"",_xlfn.XLOOKUP(A1495,PARAMETROS!A:A,PARAMETROS!D:D))</f>
        <v/>
      </c>
      <c r="E1495" t="str">
        <f>IF(_xlfn.XLOOKUP('PREENCHIMENTO|LETIVAS'!A1495,PARAMETROS!A:A,PARAMETROS!I:I)=0,"",_xlfn.XLOOKUP('PREENCHIMENTO|LETIVAS'!A1495,PARAMETROS!A:A,PARAMETROS!I:I))</f>
        <v/>
      </c>
      <c r="F1495" s="3"/>
      <c r="G1495" s="3"/>
      <c r="H1495" s="3"/>
      <c r="I1495" s="3"/>
      <c r="J1495" s="3"/>
      <c r="K1495" s="3"/>
      <c r="L1495" s="19"/>
    </row>
    <row r="1496" spans="1:12">
      <c r="A1496" s="3"/>
      <c r="B1496" t="str">
        <f>IF(_xlfn.XLOOKUP(A1496,PARAMETROS!A:A,PARAMETROS!B:B)=0,"",_xlfn.XLOOKUP(A1496,PARAMETROS!A:A,PARAMETROS!B:B))</f>
        <v/>
      </c>
      <c r="C1496" t="str">
        <f>IF(_xlfn.XLOOKUP(A1496,PARAMETROS!A:A,PARAMETROS!C:C)=0,"",_xlfn.XLOOKUP(A1496,PARAMETROS!A:A,PARAMETROS!C:C))</f>
        <v/>
      </c>
      <c r="D1496" t="str">
        <f>IF(_xlfn.XLOOKUP(A1496,PARAMETROS!A:A,PARAMETROS!D:D)=0,"",_xlfn.XLOOKUP(A1496,PARAMETROS!A:A,PARAMETROS!D:D))</f>
        <v/>
      </c>
      <c r="E1496" t="str">
        <f>IF(_xlfn.XLOOKUP('PREENCHIMENTO|LETIVAS'!A1496,PARAMETROS!A:A,PARAMETROS!I:I)=0,"",_xlfn.XLOOKUP('PREENCHIMENTO|LETIVAS'!A1496,PARAMETROS!A:A,PARAMETROS!I:I))</f>
        <v/>
      </c>
      <c r="F1496" s="3"/>
      <c r="G1496" s="3"/>
      <c r="H1496" s="3"/>
      <c r="I1496" s="3"/>
      <c r="J1496" s="3"/>
      <c r="K1496" s="3"/>
      <c r="L1496" s="19"/>
    </row>
    <row r="1497" spans="1:12">
      <c r="A1497" s="3"/>
      <c r="B1497" t="str">
        <f>IF(_xlfn.XLOOKUP(A1497,PARAMETROS!A:A,PARAMETROS!B:B)=0,"",_xlfn.XLOOKUP(A1497,PARAMETROS!A:A,PARAMETROS!B:B))</f>
        <v/>
      </c>
      <c r="C1497" t="str">
        <f>IF(_xlfn.XLOOKUP(A1497,PARAMETROS!A:A,PARAMETROS!C:C)=0,"",_xlfn.XLOOKUP(A1497,PARAMETROS!A:A,PARAMETROS!C:C))</f>
        <v/>
      </c>
      <c r="D1497" t="str">
        <f>IF(_xlfn.XLOOKUP(A1497,PARAMETROS!A:A,PARAMETROS!D:D)=0,"",_xlfn.XLOOKUP(A1497,PARAMETROS!A:A,PARAMETROS!D:D))</f>
        <v/>
      </c>
      <c r="E1497" t="str">
        <f>IF(_xlfn.XLOOKUP('PREENCHIMENTO|LETIVAS'!A1497,PARAMETROS!A:A,PARAMETROS!I:I)=0,"",_xlfn.XLOOKUP('PREENCHIMENTO|LETIVAS'!A1497,PARAMETROS!A:A,PARAMETROS!I:I))</f>
        <v/>
      </c>
      <c r="F1497" s="3"/>
      <c r="G1497" s="3"/>
      <c r="H1497" s="3"/>
      <c r="I1497" s="3"/>
      <c r="J1497" s="3"/>
      <c r="K1497" s="3"/>
      <c r="L1497" s="19"/>
    </row>
    <row r="1498" spans="1:12">
      <c r="A1498" s="3"/>
      <c r="B1498" t="str">
        <f>IF(_xlfn.XLOOKUP(A1498,PARAMETROS!A:A,PARAMETROS!B:B)=0,"",_xlfn.XLOOKUP(A1498,PARAMETROS!A:A,PARAMETROS!B:B))</f>
        <v/>
      </c>
      <c r="C1498" t="str">
        <f>IF(_xlfn.XLOOKUP(A1498,PARAMETROS!A:A,PARAMETROS!C:C)=0,"",_xlfn.XLOOKUP(A1498,PARAMETROS!A:A,PARAMETROS!C:C))</f>
        <v/>
      </c>
      <c r="D1498" t="str">
        <f>IF(_xlfn.XLOOKUP(A1498,PARAMETROS!A:A,PARAMETROS!D:D)=0,"",_xlfn.XLOOKUP(A1498,PARAMETROS!A:A,PARAMETROS!D:D))</f>
        <v/>
      </c>
      <c r="E1498" t="str">
        <f>IF(_xlfn.XLOOKUP('PREENCHIMENTO|LETIVAS'!A1498,PARAMETROS!A:A,PARAMETROS!I:I)=0,"",_xlfn.XLOOKUP('PREENCHIMENTO|LETIVAS'!A1498,PARAMETROS!A:A,PARAMETROS!I:I))</f>
        <v/>
      </c>
      <c r="F1498" s="3"/>
      <c r="G1498" s="3"/>
      <c r="H1498" s="3"/>
      <c r="I1498" s="3"/>
      <c r="J1498" s="3"/>
      <c r="K1498" s="3"/>
      <c r="L1498" s="19"/>
    </row>
    <row r="1499" spans="1:12">
      <c r="A1499" s="3"/>
      <c r="B1499" t="str">
        <f>IF(_xlfn.XLOOKUP(A1499,PARAMETROS!A:A,PARAMETROS!B:B)=0,"",_xlfn.XLOOKUP(A1499,PARAMETROS!A:A,PARAMETROS!B:B))</f>
        <v/>
      </c>
      <c r="C1499" t="str">
        <f>IF(_xlfn.XLOOKUP(A1499,PARAMETROS!A:A,PARAMETROS!C:C)=0,"",_xlfn.XLOOKUP(A1499,PARAMETROS!A:A,PARAMETROS!C:C))</f>
        <v/>
      </c>
      <c r="D1499" t="str">
        <f>IF(_xlfn.XLOOKUP(A1499,PARAMETROS!A:A,PARAMETROS!D:D)=0,"",_xlfn.XLOOKUP(A1499,PARAMETROS!A:A,PARAMETROS!D:D))</f>
        <v/>
      </c>
      <c r="E1499" t="str">
        <f>IF(_xlfn.XLOOKUP('PREENCHIMENTO|LETIVAS'!A1499,PARAMETROS!A:A,PARAMETROS!I:I)=0,"",_xlfn.XLOOKUP('PREENCHIMENTO|LETIVAS'!A1499,PARAMETROS!A:A,PARAMETROS!I:I))</f>
        <v/>
      </c>
      <c r="F1499" s="3"/>
      <c r="G1499" s="3"/>
      <c r="H1499" s="3"/>
      <c r="I1499" s="3"/>
      <c r="J1499" s="3"/>
      <c r="K1499" s="3"/>
      <c r="L1499" s="19"/>
    </row>
    <row r="1500" spans="1:12">
      <c r="A1500" s="3"/>
      <c r="B1500" t="str">
        <f>IF(_xlfn.XLOOKUP(A1500,PARAMETROS!A:A,PARAMETROS!B:B)=0,"",_xlfn.XLOOKUP(A1500,PARAMETROS!A:A,PARAMETROS!B:B))</f>
        <v/>
      </c>
      <c r="C1500" t="str">
        <f>IF(_xlfn.XLOOKUP(A1500,PARAMETROS!A:A,PARAMETROS!C:C)=0,"",_xlfn.XLOOKUP(A1500,PARAMETROS!A:A,PARAMETROS!C:C))</f>
        <v/>
      </c>
      <c r="D1500" t="str">
        <f>IF(_xlfn.XLOOKUP(A1500,PARAMETROS!A:A,PARAMETROS!D:D)=0,"",_xlfn.XLOOKUP(A1500,PARAMETROS!A:A,PARAMETROS!D:D))</f>
        <v/>
      </c>
      <c r="E1500" t="str">
        <f>IF(_xlfn.XLOOKUP('PREENCHIMENTO|LETIVAS'!A1500,PARAMETROS!A:A,PARAMETROS!I:I)=0,"",_xlfn.XLOOKUP('PREENCHIMENTO|LETIVAS'!A1500,PARAMETROS!A:A,PARAMETROS!I:I))</f>
        <v/>
      </c>
      <c r="F1500" s="3"/>
      <c r="G1500" s="3"/>
      <c r="H1500" s="3"/>
      <c r="I1500" s="3"/>
      <c r="J1500" s="3"/>
      <c r="K1500" s="3"/>
      <c r="L1500" s="19"/>
    </row>
    <row r="1501" spans="1:12">
      <c r="A1501" s="3"/>
      <c r="B1501" t="str">
        <f>IF(_xlfn.XLOOKUP(A1501,PARAMETROS!A:A,PARAMETROS!B:B)=0,"",_xlfn.XLOOKUP(A1501,PARAMETROS!A:A,PARAMETROS!B:B))</f>
        <v/>
      </c>
      <c r="C1501" t="str">
        <f>IF(_xlfn.XLOOKUP(A1501,PARAMETROS!A:A,PARAMETROS!C:C)=0,"",_xlfn.XLOOKUP(A1501,PARAMETROS!A:A,PARAMETROS!C:C))</f>
        <v/>
      </c>
      <c r="D1501" t="str">
        <f>IF(_xlfn.XLOOKUP(A1501,PARAMETROS!A:A,PARAMETROS!D:D)=0,"",_xlfn.XLOOKUP(A1501,PARAMETROS!A:A,PARAMETROS!D:D))</f>
        <v/>
      </c>
      <c r="E1501" t="str">
        <f>IF(_xlfn.XLOOKUP('PREENCHIMENTO|LETIVAS'!A1501,PARAMETROS!A:A,PARAMETROS!I:I)=0,"",_xlfn.XLOOKUP('PREENCHIMENTO|LETIVAS'!A1501,PARAMETROS!A:A,PARAMETROS!I:I))</f>
        <v/>
      </c>
      <c r="F1501" s="3"/>
      <c r="G1501" s="3"/>
      <c r="H1501" s="3"/>
      <c r="I1501" s="3"/>
      <c r="J1501" s="3"/>
      <c r="K1501" s="3"/>
      <c r="L1501" s="19"/>
    </row>
    <row r="1502" spans="1:12">
      <c r="A1502" s="3"/>
      <c r="B1502" t="str">
        <f>IF(_xlfn.XLOOKUP(A1502,PARAMETROS!A:A,PARAMETROS!B:B)=0,"",_xlfn.XLOOKUP(A1502,PARAMETROS!A:A,PARAMETROS!B:B))</f>
        <v/>
      </c>
      <c r="C1502" t="str">
        <f>IF(_xlfn.XLOOKUP(A1502,PARAMETROS!A:A,PARAMETROS!C:C)=0,"",_xlfn.XLOOKUP(A1502,PARAMETROS!A:A,PARAMETROS!C:C))</f>
        <v/>
      </c>
      <c r="D1502" t="str">
        <f>IF(_xlfn.XLOOKUP(A1502,PARAMETROS!A:A,PARAMETROS!D:D)=0,"",_xlfn.XLOOKUP(A1502,PARAMETROS!A:A,PARAMETROS!D:D))</f>
        <v/>
      </c>
      <c r="E1502" t="str">
        <f>IF(_xlfn.XLOOKUP('PREENCHIMENTO|LETIVAS'!A1502,PARAMETROS!A:A,PARAMETROS!I:I)=0,"",_xlfn.XLOOKUP('PREENCHIMENTO|LETIVAS'!A1502,PARAMETROS!A:A,PARAMETROS!I:I))</f>
        <v/>
      </c>
      <c r="F1502" s="3"/>
      <c r="G1502" s="3"/>
      <c r="H1502" s="3"/>
      <c r="I1502" s="3"/>
      <c r="J1502" s="3"/>
      <c r="K1502" s="3"/>
      <c r="L1502" s="19"/>
    </row>
    <row r="1503" spans="1:12">
      <c r="A1503" s="3"/>
      <c r="B1503" t="str">
        <f>IF(_xlfn.XLOOKUP(A1503,PARAMETROS!A:A,PARAMETROS!B:B)=0,"",_xlfn.XLOOKUP(A1503,PARAMETROS!A:A,PARAMETROS!B:B))</f>
        <v/>
      </c>
      <c r="C1503" t="str">
        <f>IF(_xlfn.XLOOKUP(A1503,PARAMETROS!A:A,PARAMETROS!C:C)=0,"",_xlfn.XLOOKUP(A1503,PARAMETROS!A:A,PARAMETROS!C:C))</f>
        <v/>
      </c>
      <c r="D1503" t="str">
        <f>IF(_xlfn.XLOOKUP(A1503,PARAMETROS!A:A,PARAMETROS!D:D)=0,"",_xlfn.XLOOKUP(A1503,PARAMETROS!A:A,PARAMETROS!D:D))</f>
        <v/>
      </c>
      <c r="E1503" t="str">
        <f>IF(_xlfn.XLOOKUP('PREENCHIMENTO|LETIVAS'!A1503,PARAMETROS!A:A,PARAMETROS!I:I)=0,"",_xlfn.XLOOKUP('PREENCHIMENTO|LETIVAS'!A1503,PARAMETROS!A:A,PARAMETROS!I:I))</f>
        <v/>
      </c>
      <c r="F1503" s="3"/>
      <c r="G1503" s="3"/>
      <c r="H1503" s="3"/>
      <c r="I1503" s="3"/>
      <c r="J1503" s="3"/>
      <c r="K1503" s="3"/>
      <c r="L1503" s="19"/>
    </row>
    <row r="1504" spans="1:12">
      <c r="A1504" s="3"/>
      <c r="B1504" t="str">
        <f>IF(_xlfn.XLOOKUP(A1504,PARAMETROS!A:A,PARAMETROS!B:B)=0,"",_xlfn.XLOOKUP(A1504,PARAMETROS!A:A,PARAMETROS!B:B))</f>
        <v/>
      </c>
      <c r="C1504" t="str">
        <f>IF(_xlfn.XLOOKUP(A1504,PARAMETROS!A:A,PARAMETROS!C:C)=0,"",_xlfn.XLOOKUP(A1504,PARAMETROS!A:A,PARAMETROS!C:C))</f>
        <v/>
      </c>
      <c r="D1504" t="str">
        <f>IF(_xlfn.XLOOKUP(A1504,PARAMETROS!A:A,PARAMETROS!D:D)=0,"",_xlfn.XLOOKUP(A1504,PARAMETROS!A:A,PARAMETROS!D:D))</f>
        <v/>
      </c>
      <c r="E1504" t="str">
        <f>IF(_xlfn.XLOOKUP('PREENCHIMENTO|LETIVAS'!A1504,PARAMETROS!A:A,PARAMETROS!I:I)=0,"",_xlfn.XLOOKUP('PREENCHIMENTO|LETIVAS'!A1504,PARAMETROS!A:A,PARAMETROS!I:I))</f>
        <v/>
      </c>
      <c r="F1504" s="3"/>
      <c r="G1504" s="3"/>
      <c r="H1504" s="3"/>
      <c r="I1504" s="3"/>
      <c r="J1504" s="3"/>
      <c r="K1504" s="3"/>
      <c r="L1504" s="19"/>
    </row>
    <row r="1505" spans="1:12">
      <c r="A1505" s="3"/>
      <c r="B1505" t="str">
        <f>IF(_xlfn.XLOOKUP(A1505,PARAMETROS!A:A,PARAMETROS!B:B)=0,"",_xlfn.XLOOKUP(A1505,PARAMETROS!A:A,PARAMETROS!B:B))</f>
        <v/>
      </c>
      <c r="C1505" t="str">
        <f>IF(_xlfn.XLOOKUP(A1505,PARAMETROS!A:A,PARAMETROS!C:C)=0,"",_xlfn.XLOOKUP(A1505,PARAMETROS!A:A,PARAMETROS!C:C))</f>
        <v/>
      </c>
      <c r="D1505" t="str">
        <f>IF(_xlfn.XLOOKUP(A1505,PARAMETROS!A:A,PARAMETROS!D:D)=0,"",_xlfn.XLOOKUP(A1505,PARAMETROS!A:A,PARAMETROS!D:D))</f>
        <v/>
      </c>
      <c r="E1505" t="str">
        <f>IF(_xlfn.XLOOKUP('PREENCHIMENTO|LETIVAS'!A1505,PARAMETROS!A:A,PARAMETROS!I:I)=0,"",_xlfn.XLOOKUP('PREENCHIMENTO|LETIVAS'!A1505,PARAMETROS!A:A,PARAMETROS!I:I))</f>
        <v/>
      </c>
      <c r="F1505" s="3"/>
      <c r="G1505" s="3"/>
      <c r="H1505" s="3"/>
      <c r="I1505" s="3"/>
      <c r="J1505" s="3"/>
      <c r="K1505" s="3"/>
      <c r="L1505" s="19"/>
    </row>
    <row r="1506" spans="1:12">
      <c r="A1506" s="3"/>
      <c r="B1506" t="str">
        <f>IF(_xlfn.XLOOKUP(A1506,PARAMETROS!A:A,PARAMETROS!B:B)=0,"",_xlfn.XLOOKUP(A1506,PARAMETROS!A:A,PARAMETROS!B:B))</f>
        <v/>
      </c>
      <c r="C1506" t="str">
        <f>IF(_xlfn.XLOOKUP(A1506,PARAMETROS!A:A,PARAMETROS!C:C)=0,"",_xlfn.XLOOKUP(A1506,PARAMETROS!A:A,PARAMETROS!C:C))</f>
        <v/>
      </c>
      <c r="D1506" t="str">
        <f>IF(_xlfn.XLOOKUP(A1506,PARAMETROS!A:A,PARAMETROS!D:D)=0,"",_xlfn.XLOOKUP(A1506,PARAMETROS!A:A,PARAMETROS!D:D))</f>
        <v/>
      </c>
      <c r="E1506" t="str">
        <f>IF(_xlfn.XLOOKUP('PREENCHIMENTO|LETIVAS'!A1506,PARAMETROS!A:A,PARAMETROS!I:I)=0,"",_xlfn.XLOOKUP('PREENCHIMENTO|LETIVAS'!A1506,PARAMETROS!A:A,PARAMETROS!I:I))</f>
        <v/>
      </c>
      <c r="F1506" s="3"/>
      <c r="G1506" s="3"/>
      <c r="H1506" s="3"/>
      <c r="I1506" s="3"/>
      <c r="J1506" s="3"/>
      <c r="K1506" s="3"/>
      <c r="L1506" s="19"/>
    </row>
    <row r="1507" spans="1:12">
      <c r="A1507" s="3"/>
      <c r="B1507" t="str">
        <f>IF(_xlfn.XLOOKUP(A1507,PARAMETROS!A:A,PARAMETROS!B:B)=0,"",_xlfn.XLOOKUP(A1507,PARAMETROS!A:A,PARAMETROS!B:B))</f>
        <v/>
      </c>
      <c r="C1507" t="str">
        <f>IF(_xlfn.XLOOKUP(A1507,PARAMETROS!A:A,PARAMETROS!C:C)=0,"",_xlfn.XLOOKUP(A1507,PARAMETROS!A:A,PARAMETROS!C:C))</f>
        <v/>
      </c>
      <c r="D1507" t="str">
        <f>IF(_xlfn.XLOOKUP(A1507,PARAMETROS!A:A,PARAMETROS!D:D)=0,"",_xlfn.XLOOKUP(A1507,PARAMETROS!A:A,PARAMETROS!D:D))</f>
        <v/>
      </c>
      <c r="E1507" t="str">
        <f>IF(_xlfn.XLOOKUP('PREENCHIMENTO|LETIVAS'!A1507,PARAMETROS!A:A,PARAMETROS!I:I)=0,"",_xlfn.XLOOKUP('PREENCHIMENTO|LETIVAS'!A1507,PARAMETROS!A:A,PARAMETROS!I:I))</f>
        <v/>
      </c>
      <c r="F1507" s="3"/>
      <c r="G1507" s="3"/>
      <c r="H1507" s="3"/>
      <c r="I1507" s="3"/>
      <c r="J1507" s="3"/>
      <c r="K1507" s="3"/>
      <c r="L1507" s="19"/>
    </row>
    <row r="1508" spans="1:12">
      <c r="A1508" s="3"/>
      <c r="B1508" t="str">
        <f>IF(_xlfn.XLOOKUP(A1508,PARAMETROS!A:A,PARAMETROS!B:B)=0,"",_xlfn.XLOOKUP(A1508,PARAMETROS!A:A,PARAMETROS!B:B))</f>
        <v/>
      </c>
      <c r="C1508" t="str">
        <f>IF(_xlfn.XLOOKUP(A1508,PARAMETROS!A:A,PARAMETROS!C:C)=0,"",_xlfn.XLOOKUP(A1508,PARAMETROS!A:A,PARAMETROS!C:C))</f>
        <v/>
      </c>
      <c r="D1508" t="str">
        <f>IF(_xlfn.XLOOKUP(A1508,PARAMETROS!A:A,PARAMETROS!D:D)=0,"",_xlfn.XLOOKUP(A1508,PARAMETROS!A:A,PARAMETROS!D:D))</f>
        <v/>
      </c>
      <c r="E1508" t="str">
        <f>IF(_xlfn.XLOOKUP('PREENCHIMENTO|LETIVAS'!A1508,PARAMETROS!A:A,PARAMETROS!I:I)=0,"",_xlfn.XLOOKUP('PREENCHIMENTO|LETIVAS'!A1508,PARAMETROS!A:A,PARAMETROS!I:I))</f>
        <v/>
      </c>
      <c r="F1508" s="3"/>
      <c r="G1508" s="3"/>
      <c r="H1508" s="3"/>
      <c r="I1508" s="3"/>
      <c r="J1508" s="3"/>
      <c r="K1508" s="3"/>
      <c r="L1508" s="19"/>
    </row>
    <row r="1509" spans="1:12">
      <c r="A1509" s="3"/>
      <c r="B1509" t="str">
        <f>IF(_xlfn.XLOOKUP(A1509,PARAMETROS!A:A,PARAMETROS!B:B)=0,"",_xlfn.XLOOKUP(A1509,PARAMETROS!A:A,PARAMETROS!B:B))</f>
        <v/>
      </c>
      <c r="C1509" t="str">
        <f>IF(_xlfn.XLOOKUP(A1509,PARAMETROS!A:A,PARAMETROS!C:C)=0,"",_xlfn.XLOOKUP(A1509,PARAMETROS!A:A,PARAMETROS!C:C))</f>
        <v/>
      </c>
      <c r="D1509" t="str">
        <f>IF(_xlfn.XLOOKUP(A1509,PARAMETROS!A:A,PARAMETROS!D:D)=0,"",_xlfn.XLOOKUP(A1509,PARAMETROS!A:A,PARAMETROS!D:D))</f>
        <v/>
      </c>
      <c r="E1509" t="str">
        <f>IF(_xlfn.XLOOKUP('PREENCHIMENTO|LETIVAS'!A1509,PARAMETROS!A:A,PARAMETROS!I:I)=0,"",_xlfn.XLOOKUP('PREENCHIMENTO|LETIVAS'!A1509,PARAMETROS!A:A,PARAMETROS!I:I))</f>
        <v/>
      </c>
      <c r="F1509" s="3"/>
      <c r="G1509" s="3"/>
      <c r="H1509" s="3"/>
      <c r="I1509" s="3"/>
      <c r="J1509" s="3"/>
      <c r="K1509" s="3"/>
      <c r="L1509" s="19"/>
    </row>
    <row r="1510" spans="1:12">
      <c r="A1510" s="3"/>
      <c r="B1510" t="str">
        <f>IF(_xlfn.XLOOKUP(A1510,PARAMETROS!A:A,PARAMETROS!B:B)=0,"",_xlfn.XLOOKUP(A1510,PARAMETROS!A:A,PARAMETROS!B:B))</f>
        <v/>
      </c>
      <c r="C1510" t="str">
        <f>IF(_xlfn.XLOOKUP(A1510,PARAMETROS!A:A,PARAMETROS!C:C)=0,"",_xlfn.XLOOKUP(A1510,PARAMETROS!A:A,PARAMETROS!C:C))</f>
        <v/>
      </c>
      <c r="D1510" t="str">
        <f>IF(_xlfn.XLOOKUP(A1510,PARAMETROS!A:A,PARAMETROS!D:D)=0,"",_xlfn.XLOOKUP(A1510,PARAMETROS!A:A,PARAMETROS!D:D))</f>
        <v/>
      </c>
      <c r="E1510" t="str">
        <f>IF(_xlfn.XLOOKUP('PREENCHIMENTO|LETIVAS'!A1510,PARAMETROS!A:A,PARAMETROS!I:I)=0,"",_xlfn.XLOOKUP('PREENCHIMENTO|LETIVAS'!A1510,PARAMETROS!A:A,PARAMETROS!I:I))</f>
        <v/>
      </c>
      <c r="F1510" s="3"/>
      <c r="G1510" s="3"/>
      <c r="H1510" s="3"/>
      <c r="I1510" s="3"/>
      <c r="J1510" s="3"/>
      <c r="K1510" s="3"/>
      <c r="L1510" s="19"/>
    </row>
    <row r="1511" spans="1:12">
      <c r="A1511" s="3"/>
      <c r="B1511" t="str">
        <f>IF(_xlfn.XLOOKUP(A1511,PARAMETROS!A:A,PARAMETROS!B:B)=0,"",_xlfn.XLOOKUP(A1511,PARAMETROS!A:A,PARAMETROS!B:B))</f>
        <v/>
      </c>
      <c r="C1511" t="str">
        <f>IF(_xlfn.XLOOKUP(A1511,PARAMETROS!A:A,PARAMETROS!C:C)=0,"",_xlfn.XLOOKUP(A1511,PARAMETROS!A:A,PARAMETROS!C:C))</f>
        <v/>
      </c>
      <c r="D1511" t="str">
        <f>IF(_xlfn.XLOOKUP(A1511,PARAMETROS!A:A,PARAMETROS!D:D)=0,"",_xlfn.XLOOKUP(A1511,PARAMETROS!A:A,PARAMETROS!D:D))</f>
        <v/>
      </c>
      <c r="E1511" t="str">
        <f>IF(_xlfn.XLOOKUP('PREENCHIMENTO|LETIVAS'!A1511,PARAMETROS!A:A,PARAMETROS!I:I)=0,"",_xlfn.XLOOKUP('PREENCHIMENTO|LETIVAS'!A1511,PARAMETROS!A:A,PARAMETROS!I:I))</f>
        <v/>
      </c>
      <c r="F1511" s="3"/>
      <c r="G1511" s="3"/>
      <c r="H1511" s="3"/>
      <c r="I1511" s="3"/>
      <c r="J1511" s="3"/>
      <c r="K1511" s="3"/>
      <c r="L1511" s="19"/>
    </row>
    <row r="1512" spans="1:12">
      <c r="A1512" s="3"/>
      <c r="B1512" t="str">
        <f>IF(_xlfn.XLOOKUP(A1512,PARAMETROS!A:A,PARAMETROS!B:B)=0,"",_xlfn.XLOOKUP(A1512,PARAMETROS!A:A,PARAMETROS!B:B))</f>
        <v/>
      </c>
      <c r="C1512" t="str">
        <f>IF(_xlfn.XLOOKUP(A1512,PARAMETROS!A:A,PARAMETROS!C:C)=0,"",_xlfn.XLOOKUP(A1512,PARAMETROS!A:A,PARAMETROS!C:C))</f>
        <v/>
      </c>
      <c r="D1512" t="str">
        <f>IF(_xlfn.XLOOKUP(A1512,PARAMETROS!A:A,PARAMETROS!D:D)=0,"",_xlfn.XLOOKUP(A1512,PARAMETROS!A:A,PARAMETROS!D:D))</f>
        <v/>
      </c>
      <c r="E1512" t="str">
        <f>IF(_xlfn.XLOOKUP('PREENCHIMENTO|LETIVAS'!A1512,PARAMETROS!A:A,PARAMETROS!I:I)=0,"",_xlfn.XLOOKUP('PREENCHIMENTO|LETIVAS'!A1512,PARAMETROS!A:A,PARAMETROS!I:I))</f>
        <v/>
      </c>
      <c r="F1512" s="3"/>
      <c r="G1512" s="3"/>
      <c r="H1512" s="3"/>
      <c r="I1512" s="3"/>
      <c r="J1512" s="3"/>
      <c r="K1512" s="3"/>
      <c r="L1512" s="19"/>
    </row>
    <row r="1513" spans="1:12">
      <c r="A1513" s="3"/>
      <c r="B1513" t="str">
        <f>IF(_xlfn.XLOOKUP(A1513,PARAMETROS!A:A,PARAMETROS!B:B)=0,"",_xlfn.XLOOKUP(A1513,PARAMETROS!A:A,PARAMETROS!B:B))</f>
        <v/>
      </c>
      <c r="C1513" t="str">
        <f>IF(_xlfn.XLOOKUP(A1513,PARAMETROS!A:A,PARAMETROS!C:C)=0,"",_xlfn.XLOOKUP(A1513,PARAMETROS!A:A,PARAMETROS!C:C))</f>
        <v/>
      </c>
      <c r="D1513" t="str">
        <f>IF(_xlfn.XLOOKUP(A1513,PARAMETROS!A:A,PARAMETROS!D:D)=0,"",_xlfn.XLOOKUP(A1513,PARAMETROS!A:A,PARAMETROS!D:D))</f>
        <v/>
      </c>
      <c r="E1513" t="str">
        <f>IF(_xlfn.XLOOKUP('PREENCHIMENTO|LETIVAS'!A1513,PARAMETROS!A:A,PARAMETROS!I:I)=0,"",_xlfn.XLOOKUP('PREENCHIMENTO|LETIVAS'!A1513,PARAMETROS!A:A,PARAMETROS!I:I))</f>
        <v/>
      </c>
      <c r="F1513" s="3"/>
      <c r="G1513" s="3"/>
      <c r="H1513" s="3"/>
      <c r="I1513" s="3"/>
      <c r="J1513" s="3"/>
      <c r="K1513" s="3"/>
      <c r="L1513" s="19"/>
    </row>
    <row r="1514" spans="1:12">
      <c r="A1514" s="3"/>
      <c r="B1514" t="str">
        <f>IF(_xlfn.XLOOKUP(A1514,PARAMETROS!A:A,PARAMETROS!B:B)=0,"",_xlfn.XLOOKUP(A1514,PARAMETROS!A:A,PARAMETROS!B:B))</f>
        <v/>
      </c>
      <c r="C1514" t="str">
        <f>IF(_xlfn.XLOOKUP(A1514,PARAMETROS!A:A,PARAMETROS!C:C)=0,"",_xlfn.XLOOKUP(A1514,PARAMETROS!A:A,PARAMETROS!C:C))</f>
        <v/>
      </c>
      <c r="D1514" t="str">
        <f>IF(_xlfn.XLOOKUP(A1514,PARAMETROS!A:A,PARAMETROS!D:D)=0,"",_xlfn.XLOOKUP(A1514,PARAMETROS!A:A,PARAMETROS!D:D))</f>
        <v/>
      </c>
      <c r="E1514" t="str">
        <f>IF(_xlfn.XLOOKUP('PREENCHIMENTO|LETIVAS'!A1514,PARAMETROS!A:A,PARAMETROS!I:I)=0,"",_xlfn.XLOOKUP('PREENCHIMENTO|LETIVAS'!A1514,PARAMETROS!A:A,PARAMETROS!I:I))</f>
        <v/>
      </c>
      <c r="F1514" s="3"/>
      <c r="G1514" s="3"/>
      <c r="H1514" s="3"/>
      <c r="I1514" s="3"/>
      <c r="J1514" s="3"/>
      <c r="K1514" s="3"/>
      <c r="L1514" s="19"/>
    </row>
    <row r="1515" spans="1:12">
      <c r="A1515" s="3"/>
      <c r="B1515" t="str">
        <f>IF(_xlfn.XLOOKUP(A1515,PARAMETROS!A:A,PARAMETROS!B:B)=0,"",_xlfn.XLOOKUP(A1515,PARAMETROS!A:A,PARAMETROS!B:B))</f>
        <v/>
      </c>
      <c r="C1515" t="str">
        <f>IF(_xlfn.XLOOKUP(A1515,PARAMETROS!A:A,PARAMETROS!C:C)=0,"",_xlfn.XLOOKUP(A1515,PARAMETROS!A:A,PARAMETROS!C:C))</f>
        <v/>
      </c>
      <c r="D1515" t="str">
        <f>IF(_xlfn.XLOOKUP(A1515,PARAMETROS!A:A,PARAMETROS!D:D)=0,"",_xlfn.XLOOKUP(A1515,PARAMETROS!A:A,PARAMETROS!D:D))</f>
        <v/>
      </c>
      <c r="E1515" t="str">
        <f>IF(_xlfn.XLOOKUP('PREENCHIMENTO|LETIVAS'!A1515,PARAMETROS!A:A,PARAMETROS!I:I)=0,"",_xlfn.XLOOKUP('PREENCHIMENTO|LETIVAS'!A1515,PARAMETROS!A:A,PARAMETROS!I:I))</f>
        <v/>
      </c>
      <c r="F1515" s="3"/>
      <c r="G1515" s="3"/>
      <c r="H1515" s="3"/>
      <c r="I1515" s="3"/>
      <c r="J1515" s="3"/>
      <c r="K1515" s="3"/>
      <c r="L1515" s="19"/>
    </row>
    <row r="1516" spans="1:12">
      <c r="A1516" s="3"/>
      <c r="B1516" t="str">
        <f>IF(_xlfn.XLOOKUP(A1516,PARAMETROS!A:A,PARAMETROS!B:B)=0,"",_xlfn.XLOOKUP(A1516,PARAMETROS!A:A,PARAMETROS!B:B))</f>
        <v/>
      </c>
      <c r="C1516" t="str">
        <f>IF(_xlfn.XLOOKUP(A1516,PARAMETROS!A:A,PARAMETROS!C:C)=0,"",_xlfn.XLOOKUP(A1516,PARAMETROS!A:A,PARAMETROS!C:C))</f>
        <v/>
      </c>
      <c r="D1516" t="str">
        <f>IF(_xlfn.XLOOKUP(A1516,PARAMETROS!A:A,PARAMETROS!D:D)=0,"",_xlfn.XLOOKUP(A1516,PARAMETROS!A:A,PARAMETROS!D:D))</f>
        <v/>
      </c>
      <c r="E1516" t="str">
        <f>IF(_xlfn.XLOOKUP('PREENCHIMENTO|LETIVAS'!A1516,PARAMETROS!A:A,PARAMETROS!I:I)=0,"",_xlfn.XLOOKUP('PREENCHIMENTO|LETIVAS'!A1516,PARAMETROS!A:A,PARAMETROS!I:I))</f>
        <v/>
      </c>
      <c r="F1516" s="3"/>
      <c r="G1516" s="3"/>
      <c r="H1516" s="3"/>
      <c r="I1516" s="3"/>
      <c r="J1516" s="3"/>
      <c r="K1516" s="3"/>
      <c r="L1516" s="19"/>
    </row>
    <row r="1517" spans="1:12">
      <c r="A1517" s="3"/>
      <c r="B1517" t="str">
        <f>IF(_xlfn.XLOOKUP(A1517,PARAMETROS!A:A,PARAMETROS!B:B)=0,"",_xlfn.XLOOKUP(A1517,PARAMETROS!A:A,PARAMETROS!B:B))</f>
        <v/>
      </c>
      <c r="C1517" t="str">
        <f>IF(_xlfn.XLOOKUP(A1517,PARAMETROS!A:A,PARAMETROS!C:C)=0,"",_xlfn.XLOOKUP(A1517,PARAMETROS!A:A,PARAMETROS!C:C))</f>
        <v/>
      </c>
      <c r="D1517" t="str">
        <f>IF(_xlfn.XLOOKUP(A1517,PARAMETROS!A:A,PARAMETROS!D:D)=0,"",_xlfn.XLOOKUP(A1517,PARAMETROS!A:A,PARAMETROS!D:D))</f>
        <v/>
      </c>
      <c r="E1517" t="str">
        <f>IF(_xlfn.XLOOKUP('PREENCHIMENTO|LETIVAS'!A1517,PARAMETROS!A:A,PARAMETROS!I:I)=0,"",_xlfn.XLOOKUP('PREENCHIMENTO|LETIVAS'!A1517,PARAMETROS!A:A,PARAMETROS!I:I))</f>
        <v/>
      </c>
      <c r="F1517" s="3"/>
      <c r="G1517" s="3"/>
      <c r="H1517" s="3"/>
      <c r="I1517" s="3"/>
      <c r="J1517" s="3"/>
      <c r="K1517" s="3"/>
      <c r="L1517" s="19"/>
    </row>
    <row r="1518" spans="1:12">
      <c r="A1518" s="3"/>
      <c r="B1518" t="str">
        <f>IF(_xlfn.XLOOKUP(A1518,PARAMETROS!A:A,PARAMETROS!B:B)=0,"",_xlfn.XLOOKUP(A1518,PARAMETROS!A:A,PARAMETROS!B:B))</f>
        <v/>
      </c>
      <c r="C1518" t="str">
        <f>IF(_xlfn.XLOOKUP(A1518,PARAMETROS!A:A,PARAMETROS!C:C)=0,"",_xlfn.XLOOKUP(A1518,PARAMETROS!A:A,PARAMETROS!C:C))</f>
        <v/>
      </c>
      <c r="D1518" t="str">
        <f>IF(_xlfn.XLOOKUP(A1518,PARAMETROS!A:A,PARAMETROS!D:D)=0,"",_xlfn.XLOOKUP(A1518,PARAMETROS!A:A,PARAMETROS!D:D))</f>
        <v/>
      </c>
      <c r="E1518" t="str">
        <f>IF(_xlfn.XLOOKUP('PREENCHIMENTO|LETIVAS'!A1518,PARAMETROS!A:A,PARAMETROS!I:I)=0,"",_xlfn.XLOOKUP('PREENCHIMENTO|LETIVAS'!A1518,PARAMETROS!A:A,PARAMETROS!I:I))</f>
        <v/>
      </c>
      <c r="F1518" s="3"/>
      <c r="G1518" s="3"/>
      <c r="H1518" s="3"/>
      <c r="I1518" s="3"/>
      <c r="J1518" s="3"/>
      <c r="K1518" s="3"/>
      <c r="L1518" s="19"/>
    </row>
    <row r="1519" spans="1:12">
      <c r="A1519" s="3"/>
      <c r="B1519" t="str">
        <f>IF(_xlfn.XLOOKUP(A1519,PARAMETROS!A:A,PARAMETROS!B:B)=0,"",_xlfn.XLOOKUP(A1519,PARAMETROS!A:A,PARAMETROS!B:B))</f>
        <v/>
      </c>
      <c r="C1519" t="str">
        <f>IF(_xlfn.XLOOKUP(A1519,PARAMETROS!A:A,PARAMETROS!C:C)=0,"",_xlfn.XLOOKUP(A1519,PARAMETROS!A:A,PARAMETROS!C:C))</f>
        <v/>
      </c>
      <c r="D1519" t="str">
        <f>IF(_xlfn.XLOOKUP(A1519,PARAMETROS!A:A,PARAMETROS!D:D)=0,"",_xlfn.XLOOKUP(A1519,PARAMETROS!A:A,PARAMETROS!D:D))</f>
        <v/>
      </c>
      <c r="E1519" t="str">
        <f>IF(_xlfn.XLOOKUP('PREENCHIMENTO|LETIVAS'!A1519,PARAMETROS!A:A,PARAMETROS!I:I)=0,"",_xlfn.XLOOKUP('PREENCHIMENTO|LETIVAS'!A1519,PARAMETROS!A:A,PARAMETROS!I:I))</f>
        <v/>
      </c>
      <c r="F1519" s="3"/>
      <c r="G1519" s="3"/>
      <c r="H1519" s="3"/>
      <c r="I1519" s="3"/>
      <c r="J1519" s="3"/>
      <c r="K1519" s="3"/>
      <c r="L1519" s="19"/>
    </row>
    <row r="1520" spans="1:12">
      <c r="A1520" s="3"/>
      <c r="B1520" t="str">
        <f>IF(_xlfn.XLOOKUP(A1520,PARAMETROS!A:A,PARAMETROS!B:B)=0,"",_xlfn.XLOOKUP(A1520,PARAMETROS!A:A,PARAMETROS!B:B))</f>
        <v/>
      </c>
      <c r="C1520" t="str">
        <f>IF(_xlfn.XLOOKUP(A1520,PARAMETROS!A:A,PARAMETROS!C:C)=0,"",_xlfn.XLOOKUP(A1520,PARAMETROS!A:A,PARAMETROS!C:C))</f>
        <v/>
      </c>
      <c r="D1520" t="str">
        <f>IF(_xlfn.XLOOKUP(A1520,PARAMETROS!A:A,PARAMETROS!D:D)=0,"",_xlfn.XLOOKUP(A1520,PARAMETROS!A:A,PARAMETROS!D:D))</f>
        <v/>
      </c>
      <c r="E1520" t="str">
        <f>IF(_xlfn.XLOOKUP('PREENCHIMENTO|LETIVAS'!A1520,PARAMETROS!A:A,PARAMETROS!I:I)=0,"",_xlfn.XLOOKUP('PREENCHIMENTO|LETIVAS'!A1520,PARAMETROS!A:A,PARAMETROS!I:I))</f>
        <v/>
      </c>
      <c r="F1520" s="3"/>
      <c r="G1520" s="3"/>
      <c r="H1520" s="3"/>
      <c r="I1520" s="3"/>
      <c r="J1520" s="3"/>
      <c r="K1520" s="3"/>
      <c r="L1520" s="19"/>
    </row>
    <row r="1521" spans="1:12">
      <c r="A1521" s="3"/>
      <c r="B1521" t="str">
        <f>IF(_xlfn.XLOOKUP(A1521,PARAMETROS!A:A,PARAMETROS!B:B)=0,"",_xlfn.XLOOKUP(A1521,PARAMETROS!A:A,PARAMETROS!B:B))</f>
        <v/>
      </c>
      <c r="C1521" t="str">
        <f>IF(_xlfn.XLOOKUP(A1521,PARAMETROS!A:A,PARAMETROS!C:C)=0,"",_xlfn.XLOOKUP(A1521,PARAMETROS!A:A,PARAMETROS!C:C))</f>
        <v/>
      </c>
      <c r="D1521" t="str">
        <f>IF(_xlfn.XLOOKUP(A1521,PARAMETROS!A:A,PARAMETROS!D:D)=0,"",_xlfn.XLOOKUP(A1521,PARAMETROS!A:A,PARAMETROS!D:D))</f>
        <v/>
      </c>
      <c r="E1521" t="str">
        <f>IF(_xlfn.XLOOKUP('PREENCHIMENTO|LETIVAS'!A1521,PARAMETROS!A:A,PARAMETROS!I:I)=0,"",_xlfn.XLOOKUP('PREENCHIMENTO|LETIVAS'!A1521,PARAMETROS!A:A,PARAMETROS!I:I))</f>
        <v/>
      </c>
      <c r="F1521" s="3"/>
      <c r="G1521" s="3"/>
      <c r="H1521" s="3"/>
      <c r="I1521" s="3"/>
      <c r="J1521" s="3"/>
      <c r="K1521" s="3"/>
      <c r="L1521" s="19"/>
    </row>
    <row r="1522" spans="1:12">
      <c r="A1522" s="3"/>
      <c r="B1522" t="str">
        <f>IF(_xlfn.XLOOKUP(A1522,PARAMETROS!A:A,PARAMETROS!B:B)=0,"",_xlfn.XLOOKUP(A1522,PARAMETROS!A:A,PARAMETROS!B:B))</f>
        <v/>
      </c>
      <c r="C1522" t="str">
        <f>IF(_xlfn.XLOOKUP(A1522,PARAMETROS!A:A,PARAMETROS!C:C)=0,"",_xlfn.XLOOKUP(A1522,PARAMETROS!A:A,PARAMETROS!C:C))</f>
        <v/>
      </c>
      <c r="D1522" t="str">
        <f>IF(_xlfn.XLOOKUP(A1522,PARAMETROS!A:A,PARAMETROS!D:D)=0,"",_xlfn.XLOOKUP(A1522,PARAMETROS!A:A,PARAMETROS!D:D))</f>
        <v/>
      </c>
      <c r="E1522" t="str">
        <f>IF(_xlfn.XLOOKUP('PREENCHIMENTO|LETIVAS'!A1522,PARAMETROS!A:A,PARAMETROS!I:I)=0,"",_xlfn.XLOOKUP('PREENCHIMENTO|LETIVAS'!A1522,PARAMETROS!A:A,PARAMETROS!I:I))</f>
        <v/>
      </c>
      <c r="F1522" s="3"/>
      <c r="G1522" s="3"/>
      <c r="H1522" s="3"/>
      <c r="I1522" s="3"/>
      <c r="J1522" s="3"/>
      <c r="K1522" s="3"/>
      <c r="L1522" s="19"/>
    </row>
    <row r="1523" spans="1:12">
      <c r="A1523" s="3"/>
      <c r="B1523" t="str">
        <f>IF(_xlfn.XLOOKUP(A1523,PARAMETROS!A:A,PARAMETROS!B:B)=0,"",_xlfn.XLOOKUP(A1523,PARAMETROS!A:A,PARAMETROS!B:B))</f>
        <v/>
      </c>
      <c r="C1523" t="str">
        <f>IF(_xlfn.XLOOKUP(A1523,PARAMETROS!A:A,PARAMETROS!C:C)=0,"",_xlfn.XLOOKUP(A1523,PARAMETROS!A:A,PARAMETROS!C:C))</f>
        <v/>
      </c>
      <c r="D1523" t="str">
        <f>IF(_xlfn.XLOOKUP(A1523,PARAMETROS!A:A,PARAMETROS!D:D)=0,"",_xlfn.XLOOKUP(A1523,PARAMETROS!A:A,PARAMETROS!D:D))</f>
        <v/>
      </c>
      <c r="E1523" t="str">
        <f>IF(_xlfn.XLOOKUP('PREENCHIMENTO|LETIVAS'!A1523,PARAMETROS!A:A,PARAMETROS!I:I)=0,"",_xlfn.XLOOKUP('PREENCHIMENTO|LETIVAS'!A1523,PARAMETROS!A:A,PARAMETROS!I:I))</f>
        <v/>
      </c>
      <c r="F1523" s="3"/>
      <c r="G1523" s="3"/>
      <c r="H1523" s="3"/>
      <c r="I1523" s="3"/>
      <c r="J1523" s="3"/>
      <c r="K1523" s="3"/>
      <c r="L1523" s="19"/>
    </row>
    <row r="1524" spans="1:12">
      <c r="A1524" s="3"/>
      <c r="B1524" t="str">
        <f>IF(_xlfn.XLOOKUP(A1524,PARAMETROS!A:A,PARAMETROS!B:B)=0,"",_xlfn.XLOOKUP(A1524,PARAMETROS!A:A,PARAMETROS!B:B))</f>
        <v/>
      </c>
      <c r="C1524" t="str">
        <f>IF(_xlfn.XLOOKUP(A1524,PARAMETROS!A:A,PARAMETROS!C:C)=0,"",_xlfn.XLOOKUP(A1524,PARAMETROS!A:A,PARAMETROS!C:C))</f>
        <v/>
      </c>
      <c r="D1524" t="str">
        <f>IF(_xlfn.XLOOKUP(A1524,PARAMETROS!A:A,PARAMETROS!D:D)=0,"",_xlfn.XLOOKUP(A1524,PARAMETROS!A:A,PARAMETROS!D:D))</f>
        <v/>
      </c>
      <c r="E1524" t="str">
        <f>IF(_xlfn.XLOOKUP('PREENCHIMENTO|LETIVAS'!A1524,PARAMETROS!A:A,PARAMETROS!I:I)=0,"",_xlfn.XLOOKUP('PREENCHIMENTO|LETIVAS'!A1524,PARAMETROS!A:A,PARAMETROS!I:I))</f>
        <v/>
      </c>
      <c r="F1524" s="3"/>
      <c r="G1524" s="3"/>
      <c r="H1524" s="3"/>
      <c r="I1524" s="3"/>
      <c r="J1524" s="3"/>
      <c r="K1524" s="3"/>
      <c r="L1524" s="19"/>
    </row>
    <row r="1525" spans="1:12">
      <c r="A1525" s="3"/>
      <c r="B1525" t="str">
        <f>IF(_xlfn.XLOOKUP(A1525,PARAMETROS!A:A,PARAMETROS!B:B)=0,"",_xlfn.XLOOKUP(A1525,PARAMETROS!A:A,PARAMETROS!B:B))</f>
        <v/>
      </c>
      <c r="C1525" t="str">
        <f>IF(_xlfn.XLOOKUP(A1525,PARAMETROS!A:A,PARAMETROS!C:C)=0,"",_xlfn.XLOOKUP(A1525,PARAMETROS!A:A,PARAMETROS!C:C))</f>
        <v/>
      </c>
      <c r="D1525" t="str">
        <f>IF(_xlfn.XLOOKUP(A1525,PARAMETROS!A:A,PARAMETROS!D:D)=0,"",_xlfn.XLOOKUP(A1525,PARAMETROS!A:A,PARAMETROS!D:D))</f>
        <v/>
      </c>
      <c r="E1525" t="str">
        <f>IF(_xlfn.XLOOKUP('PREENCHIMENTO|LETIVAS'!A1525,PARAMETROS!A:A,PARAMETROS!I:I)=0,"",_xlfn.XLOOKUP('PREENCHIMENTO|LETIVAS'!A1525,PARAMETROS!A:A,PARAMETROS!I:I))</f>
        <v/>
      </c>
      <c r="F1525" s="3"/>
      <c r="G1525" s="3"/>
      <c r="H1525" s="3"/>
      <c r="I1525" s="3"/>
      <c r="J1525" s="3"/>
      <c r="K1525" s="3"/>
      <c r="L1525" s="19"/>
    </row>
    <row r="1526" spans="1:12">
      <c r="A1526" s="3"/>
      <c r="B1526" t="str">
        <f>IF(_xlfn.XLOOKUP(A1526,PARAMETROS!A:A,PARAMETROS!B:B)=0,"",_xlfn.XLOOKUP(A1526,PARAMETROS!A:A,PARAMETROS!B:B))</f>
        <v/>
      </c>
      <c r="C1526" t="str">
        <f>IF(_xlfn.XLOOKUP(A1526,PARAMETROS!A:A,PARAMETROS!C:C)=0,"",_xlfn.XLOOKUP(A1526,PARAMETROS!A:A,PARAMETROS!C:C))</f>
        <v/>
      </c>
      <c r="D1526" t="str">
        <f>IF(_xlfn.XLOOKUP(A1526,PARAMETROS!A:A,PARAMETROS!D:D)=0,"",_xlfn.XLOOKUP(A1526,PARAMETROS!A:A,PARAMETROS!D:D))</f>
        <v/>
      </c>
      <c r="E1526" t="str">
        <f>IF(_xlfn.XLOOKUP('PREENCHIMENTO|LETIVAS'!A1526,PARAMETROS!A:A,PARAMETROS!I:I)=0,"",_xlfn.XLOOKUP('PREENCHIMENTO|LETIVAS'!A1526,PARAMETROS!A:A,PARAMETROS!I:I))</f>
        <v/>
      </c>
      <c r="F1526" s="3"/>
      <c r="G1526" s="3"/>
      <c r="H1526" s="3"/>
      <c r="I1526" s="3"/>
      <c r="J1526" s="3"/>
      <c r="K1526" s="3"/>
      <c r="L1526" s="19"/>
    </row>
    <row r="1527" spans="1:12">
      <c r="A1527" s="3"/>
      <c r="B1527" t="str">
        <f>IF(_xlfn.XLOOKUP(A1527,PARAMETROS!A:A,PARAMETROS!B:B)=0,"",_xlfn.XLOOKUP(A1527,PARAMETROS!A:A,PARAMETROS!B:B))</f>
        <v/>
      </c>
      <c r="C1527" t="str">
        <f>IF(_xlfn.XLOOKUP(A1527,PARAMETROS!A:A,PARAMETROS!C:C)=0,"",_xlfn.XLOOKUP(A1527,PARAMETROS!A:A,PARAMETROS!C:C))</f>
        <v/>
      </c>
      <c r="D1527" t="str">
        <f>IF(_xlfn.XLOOKUP(A1527,PARAMETROS!A:A,PARAMETROS!D:D)=0,"",_xlfn.XLOOKUP(A1527,PARAMETROS!A:A,PARAMETROS!D:D))</f>
        <v/>
      </c>
      <c r="E1527" t="str">
        <f>IF(_xlfn.XLOOKUP('PREENCHIMENTO|LETIVAS'!A1527,PARAMETROS!A:A,PARAMETROS!I:I)=0,"",_xlfn.XLOOKUP('PREENCHIMENTO|LETIVAS'!A1527,PARAMETROS!A:A,PARAMETROS!I:I))</f>
        <v/>
      </c>
      <c r="F1527" s="3"/>
      <c r="G1527" s="3"/>
      <c r="H1527" s="3"/>
      <c r="I1527" s="3"/>
      <c r="J1527" s="3"/>
      <c r="K1527" s="3"/>
      <c r="L1527" s="19"/>
    </row>
    <row r="1528" spans="1:12">
      <c r="A1528" s="3"/>
      <c r="B1528" t="str">
        <f>IF(_xlfn.XLOOKUP(A1528,PARAMETROS!A:A,PARAMETROS!B:B)=0,"",_xlfn.XLOOKUP(A1528,PARAMETROS!A:A,PARAMETROS!B:B))</f>
        <v/>
      </c>
      <c r="C1528" t="str">
        <f>IF(_xlfn.XLOOKUP(A1528,PARAMETROS!A:A,PARAMETROS!C:C)=0,"",_xlfn.XLOOKUP(A1528,PARAMETROS!A:A,PARAMETROS!C:C))</f>
        <v/>
      </c>
      <c r="D1528" t="str">
        <f>IF(_xlfn.XLOOKUP(A1528,PARAMETROS!A:A,PARAMETROS!D:D)=0,"",_xlfn.XLOOKUP(A1528,PARAMETROS!A:A,PARAMETROS!D:D))</f>
        <v/>
      </c>
      <c r="E1528" t="str">
        <f>IF(_xlfn.XLOOKUP('PREENCHIMENTO|LETIVAS'!A1528,PARAMETROS!A:A,PARAMETROS!I:I)=0,"",_xlfn.XLOOKUP('PREENCHIMENTO|LETIVAS'!A1528,PARAMETROS!A:A,PARAMETROS!I:I))</f>
        <v/>
      </c>
      <c r="F1528" s="3"/>
      <c r="G1528" s="3"/>
      <c r="H1528" s="3"/>
      <c r="I1528" s="3"/>
      <c r="J1528" s="3"/>
      <c r="K1528" s="3"/>
      <c r="L1528" s="19"/>
    </row>
    <row r="1529" spans="1:12">
      <c r="A1529" s="3"/>
      <c r="B1529" t="str">
        <f>IF(_xlfn.XLOOKUP(A1529,PARAMETROS!A:A,PARAMETROS!B:B)=0,"",_xlfn.XLOOKUP(A1529,PARAMETROS!A:A,PARAMETROS!B:B))</f>
        <v/>
      </c>
      <c r="C1529" t="str">
        <f>IF(_xlfn.XLOOKUP(A1529,PARAMETROS!A:A,PARAMETROS!C:C)=0,"",_xlfn.XLOOKUP(A1529,PARAMETROS!A:A,PARAMETROS!C:C))</f>
        <v/>
      </c>
      <c r="D1529" t="str">
        <f>IF(_xlfn.XLOOKUP(A1529,PARAMETROS!A:A,PARAMETROS!D:D)=0,"",_xlfn.XLOOKUP(A1529,PARAMETROS!A:A,PARAMETROS!D:D))</f>
        <v/>
      </c>
      <c r="E1529" t="str">
        <f>IF(_xlfn.XLOOKUP('PREENCHIMENTO|LETIVAS'!A1529,PARAMETROS!A:A,PARAMETROS!I:I)=0,"",_xlfn.XLOOKUP('PREENCHIMENTO|LETIVAS'!A1529,PARAMETROS!A:A,PARAMETROS!I:I))</f>
        <v/>
      </c>
      <c r="F1529" s="3"/>
      <c r="G1529" s="3"/>
      <c r="H1529" s="3"/>
      <c r="I1529" s="3"/>
      <c r="J1529" s="3"/>
      <c r="K1529" s="3"/>
      <c r="L1529" s="19"/>
    </row>
    <row r="1530" spans="1:12">
      <c r="A1530" s="3"/>
      <c r="B1530" t="str">
        <f>IF(_xlfn.XLOOKUP(A1530,PARAMETROS!A:A,PARAMETROS!B:B)=0,"",_xlfn.XLOOKUP(A1530,PARAMETROS!A:A,PARAMETROS!B:B))</f>
        <v/>
      </c>
      <c r="C1530" t="str">
        <f>IF(_xlfn.XLOOKUP(A1530,PARAMETROS!A:A,PARAMETROS!C:C)=0,"",_xlfn.XLOOKUP(A1530,PARAMETROS!A:A,PARAMETROS!C:C))</f>
        <v/>
      </c>
      <c r="D1530" t="str">
        <f>IF(_xlfn.XLOOKUP(A1530,PARAMETROS!A:A,PARAMETROS!D:D)=0,"",_xlfn.XLOOKUP(A1530,PARAMETROS!A:A,PARAMETROS!D:D))</f>
        <v/>
      </c>
      <c r="E1530" t="str">
        <f>IF(_xlfn.XLOOKUP('PREENCHIMENTO|LETIVAS'!A1530,PARAMETROS!A:A,PARAMETROS!I:I)=0,"",_xlfn.XLOOKUP('PREENCHIMENTO|LETIVAS'!A1530,PARAMETROS!A:A,PARAMETROS!I:I))</f>
        <v/>
      </c>
      <c r="F1530" s="3"/>
      <c r="G1530" s="3"/>
      <c r="H1530" s="3"/>
      <c r="I1530" s="3"/>
      <c r="J1530" s="3"/>
      <c r="K1530" s="3"/>
      <c r="L1530" s="19"/>
    </row>
    <row r="1531" spans="1:12">
      <c r="A1531" s="3"/>
      <c r="B1531" t="str">
        <f>IF(_xlfn.XLOOKUP(A1531,PARAMETROS!A:A,PARAMETROS!B:B)=0,"",_xlfn.XLOOKUP(A1531,PARAMETROS!A:A,PARAMETROS!B:B))</f>
        <v/>
      </c>
      <c r="C1531" t="str">
        <f>IF(_xlfn.XLOOKUP(A1531,PARAMETROS!A:A,PARAMETROS!C:C)=0,"",_xlfn.XLOOKUP(A1531,PARAMETROS!A:A,PARAMETROS!C:C))</f>
        <v/>
      </c>
      <c r="D1531" t="str">
        <f>IF(_xlfn.XLOOKUP(A1531,PARAMETROS!A:A,PARAMETROS!D:D)=0,"",_xlfn.XLOOKUP(A1531,PARAMETROS!A:A,PARAMETROS!D:D))</f>
        <v/>
      </c>
      <c r="E1531" t="str">
        <f>IF(_xlfn.XLOOKUP('PREENCHIMENTO|LETIVAS'!A1531,PARAMETROS!A:A,PARAMETROS!I:I)=0,"",_xlfn.XLOOKUP('PREENCHIMENTO|LETIVAS'!A1531,PARAMETROS!A:A,PARAMETROS!I:I))</f>
        <v/>
      </c>
      <c r="F1531" s="3"/>
      <c r="G1531" s="3"/>
      <c r="H1531" s="3"/>
      <c r="I1531" s="3"/>
      <c r="J1531" s="3"/>
      <c r="K1531" s="3"/>
      <c r="L1531" s="19"/>
    </row>
    <row r="1532" spans="1:12">
      <c r="A1532" s="3"/>
      <c r="B1532" t="str">
        <f>IF(_xlfn.XLOOKUP(A1532,PARAMETROS!A:A,PARAMETROS!B:B)=0,"",_xlfn.XLOOKUP(A1532,PARAMETROS!A:A,PARAMETROS!B:B))</f>
        <v/>
      </c>
      <c r="C1532" t="str">
        <f>IF(_xlfn.XLOOKUP(A1532,PARAMETROS!A:A,PARAMETROS!C:C)=0,"",_xlfn.XLOOKUP(A1532,PARAMETROS!A:A,PARAMETROS!C:C))</f>
        <v/>
      </c>
      <c r="D1532" t="str">
        <f>IF(_xlfn.XLOOKUP(A1532,PARAMETROS!A:A,PARAMETROS!D:D)=0,"",_xlfn.XLOOKUP(A1532,PARAMETROS!A:A,PARAMETROS!D:D))</f>
        <v/>
      </c>
      <c r="E1532" t="str">
        <f>IF(_xlfn.XLOOKUP('PREENCHIMENTO|LETIVAS'!A1532,PARAMETROS!A:A,PARAMETROS!I:I)=0,"",_xlfn.XLOOKUP('PREENCHIMENTO|LETIVAS'!A1532,PARAMETROS!A:A,PARAMETROS!I:I))</f>
        <v/>
      </c>
      <c r="F1532" s="3"/>
      <c r="G1532" s="3"/>
      <c r="H1532" s="3"/>
      <c r="I1532" s="3"/>
      <c r="J1532" s="3"/>
      <c r="K1532" s="3"/>
      <c r="L1532" s="19"/>
    </row>
    <row r="1533" spans="1:12">
      <c r="A1533" s="3"/>
      <c r="B1533" t="str">
        <f>IF(_xlfn.XLOOKUP(A1533,PARAMETROS!A:A,PARAMETROS!B:B)=0,"",_xlfn.XLOOKUP(A1533,PARAMETROS!A:A,PARAMETROS!B:B))</f>
        <v/>
      </c>
      <c r="C1533" t="str">
        <f>IF(_xlfn.XLOOKUP(A1533,PARAMETROS!A:A,PARAMETROS!C:C)=0,"",_xlfn.XLOOKUP(A1533,PARAMETROS!A:A,PARAMETROS!C:C))</f>
        <v/>
      </c>
      <c r="D1533" t="str">
        <f>IF(_xlfn.XLOOKUP(A1533,PARAMETROS!A:A,PARAMETROS!D:D)=0,"",_xlfn.XLOOKUP(A1533,PARAMETROS!A:A,PARAMETROS!D:D))</f>
        <v/>
      </c>
      <c r="E1533" t="str">
        <f>IF(_xlfn.XLOOKUP('PREENCHIMENTO|LETIVAS'!A1533,PARAMETROS!A:A,PARAMETROS!I:I)=0,"",_xlfn.XLOOKUP('PREENCHIMENTO|LETIVAS'!A1533,PARAMETROS!A:A,PARAMETROS!I:I))</f>
        <v/>
      </c>
      <c r="F1533" s="3"/>
      <c r="G1533" s="3"/>
      <c r="H1533" s="3"/>
      <c r="I1533" s="3"/>
      <c r="J1533" s="3"/>
      <c r="K1533" s="3"/>
      <c r="L1533" s="19"/>
    </row>
    <row r="1534" spans="1:12">
      <c r="A1534" s="3"/>
      <c r="B1534" t="str">
        <f>IF(_xlfn.XLOOKUP(A1534,PARAMETROS!A:A,PARAMETROS!B:B)=0,"",_xlfn.XLOOKUP(A1534,PARAMETROS!A:A,PARAMETROS!B:B))</f>
        <v/>
      </c>
      <c r="C1534" t="str">
        <f>IF(_xlfn.XLOOKUP(A1534,PARAMETROS!A:A,PARAMETROS!C:C)=0,"",_xlfn.XLOOKUP(A1534,PARAMETROS!A:A,PARAMETROS!C:C))</f>
        <v/>
      </c>
      <c r="D1534" t="str">
        <f>IF(_xlfn.XLOOKUP(A1534,PARAMETROS!A:A,PARAMETROS!D:D)=0,"",_xlfn.XLOOKUP(A1534,PARAMETROS!A:A,PARAMETROS!D:D))</f>
        <v/>
      </c>
      <c r="E1534" t="str">
        <f>IF(_xlfn.XLOOKUP('PREENCHIMENTO|LETIVAS'!A1534,PARAMETROS!A:A,PARAMETROS!I:I)=0,"",_xlfn.XLOOKUP('PREENCHIMENTO|LETIVAS'!A1534,PARAMETROS!A:A,PARAMETROS!I:I))</f>
        <v/>
      </c>
      <c r="F1534" s="3"/>
      <c r="G1534" s="3"/>
      <c r="H1534" s="3"/>
      <c r="I1534" s="3"/>
      <c r="J1534" s="3"/>
      <c r="K1534" s="3"/>
      <c r="L1534" s="19"/>
    </row>
    <row r="1535" spans="1:12">
      <c r="A1535" s="3"/>
      <c r="B1535" t="str">
        <f>IF(_xlfn.XLOOKUP(A1535,PARAMETROS!A:A,PARAMETROS!B:B)=0,"",_xlfn.XLOOKUP(A1535,PARAMETROS!A:A,PARAMETROS!B:B))</f>
        <v/>
      </c>
      <c r="C1535" t="str">
        <f>IF(_xlfn.XLOOKUP(A1535,PARAMETROS!A:A,PARAMETROS!C:C)=0,"",_xlfn.XLOOKUP(A1535,PARAMETROS!A:A,PARAMETROS!C:C))</f>
        <v/>
      </c>
      <c r="D1535" t="str">
        <f>IF(_xlfn.XLOOKUP(A1535,PARAMETROS!A:A,PARAMETROS!D:D)=0,"",_xlfn.XLOOKUP(A1535,PARAMETROS!A:A,PARAMETROS!D:D))</f>
        <v/>
      </c>
      <c r="E1535" t="str">
        <f>IF(_xlfn.XLOOKUP('PREENCHIMENTO|LETIVAS'!A1535,PARAMETROS!A:A,PARAMETROS!I:I)=0,"",_xlfn.XLOOKUP('PREENCHIMENTO|LETIVAS'!A1535,PARAMETROS!A:A,PARAMETROS!I:I))</f>
        <v/>
      </c>
      <c r="F1535" s="3"/>
      <c r="G1535" s="3"/>
      <c r="H1535" s="3"/>
      <c r="I1535" s="3"/>
      <c r="J1535" s="3"/>
      <c r="K1535" s="3"/>
      <c r="L1535" s="19"/>
    </row>
    <row r="1536" spans="1:12">
      <c r="A1536" s="3"/>
      <c r="B1536" t="str">
        <f>IF(_xlfn.XLOOKUP(A1536,PARAMETROS!A:A,PARAMETROS!B:B)=0,"",_xlfn.XLOOKUP(A1536,PARAMETROS!A:A,PARAMETROS!B:B))</f>
        <v/>
      </c>
      <c r="C1536" t="str">
        <f>IF(_xlfn.XLOOKUP(A1536,PARAMETROS!A:A,PARAMETROS!C:C)=0,"",_xlfn.XLOOKUP(A1536,PARAMETROS!A:A,PARAMETROS!C:C))</f>
        <v/>
      </c>
      <c r="D1536" t="str">
        <f>IF(_xlfn.XLOOKUP(A1536,PARAMETROS!A:A,PARAMETROS!D:D)=0,"",_xlfn.XLOOKUP(A1536,PARAMETROS!A:A,PARAMETROS!D:D))</f>
        <v/>
      </c>
      <c r="E1536" t="str">
        <f>IF(_xlfn.XLOOKUP('PREENCHIMENTO|LETIVAS'!A1536,PARAMETROS!A:A,PARAMETROS!I:I)=0,"",_xlfn.XLOOKUP('PREENCHIMENTO|LETIVAS'!A1536,PARAMETROS!A:A,PARAMETROS!I:I))</f>
        <v/>
      </c>
      <c r="F1536" s="3"/>
      <c r="G1536" s="3"/>
      <c r="H1536" s="3"/>
      <c r="I1536" s="3"/>
      <c r="J1536" s="3"/>
      <c r="K1536" s="3"/>
      <c r="L1536" s="19"/>
    </row>
    <row r="1537" spans="1:12">
      <c r="A1537" s="3"/>
      <c r="B1537" t="str">
        <f>IF(_xlfn.XLOOKUP(A1537,PARAMETROS!A:A,PARAMETROS!B:B)=0,"",_xlfn.XLOOKUP(A1537,PARAMETROS!A:A,PARAMETROS!B:B))</f>
        <v/>
      </c>
      <c r="C1537" t="str">
        <f>IF(_xlfn.XLOOKUP(A1537,PARAMETROS!A:A,PARAMETROS!C:C)=0,"",_xlfn.XLOOKUP(A1537,PARAMETROS!A:A,PARAMETROS!C:C))</f>
        <v/>
      </c>
      <c r="D1537" t="str">
        <f>IF(_xlfn.XLOOKUP(A1537,PARAMETROS!A:A,PARAMETROS!D:D)=0,"",_xlfn.XLOOKUP(A1537,PARAMETROS!A:A,PARAMETROS!D:D))</f>
        <v/>
      </c>
      <c r="E1537" t="str">
        <f>IF(_xlfn.XLOOKUP('PREENCHIMENTO|LETIVAS'!A1537,PARAMETROS!A:A,PARAMETROS!I:I)=0,"",_xlfn.XLOOKUP('PREENCHIMENTO|LETIVAS'!A1537,PARAMETROS!A:A,PARAMETROS!I:I))</f>
        <v/>
      </c>
      <c r="F1537" s="3"/>
      <c r="G1537" s="3"/>
      <c r="H1537" s="3"/>
      <c r="I1537" s="3"/>
      <c r="J1537" s="3"/>
      <c r="K1537" s="3"/>
      <c r="L1537" s="19"/>
    </row>
    <row r="1538" spans="1:12">
      <c r="A1538" s="3"/>
      <c r="B1538" t="str">
        <f>IF(_xlfn.XLOOKUP(A1538,PARAMETROS!A:A,PARAMETROS!B:B)=0,"",_xlfn.XLOOKUP(A1538,PARAMETROS!A:A,PARAMETROS!B:B))</f>
        <v/>
      </c>
      <c r="C1538" t="str">
        <f>IF(_xlfn.XLOOKUP(A1538,PARAMETROS!A:A,PARAMETROS!C:C)=0,"",_xlfn.XLOOKUP(A1538,PARAMETROS!A:A,PARAMETROS!C:C))</f>
        <v/>
      </c>
      <c r="D1538" t="str">
        <f>IF(_xlfn.XLOOKUP(A1538,PARAMETROS!A:A,PARAMETROS!D:D)=0,"",_xlfn.XLOOKUP(A1538,PARAMETROS!A:A,PARAMETROS!D:D))</f>
        <v/>
      </c>
      <c r="E1538" t="str">
        <f>IF(_xlfn.XLOOKUP('PREENCHIMENTO|LETIVAS'!A1538,PARAMETROS!A:A,PARAMETROS!I:I)=0,"",_xlfn.XLOOKUP('PREENCHIMENTO|LETIVAS'!A1538,PARAMETROS!A:A,PARAMETROS!I:I))</f>
        <v/>
      </c>
      <c r="F1538" s="3"/>
      <c r="G1538" s="3"/>
      <c r="H1538" s="3"/>
      <c r="I1538" s="3"/>
      <c r="J1538" s="3"/>
      <c r="K1538" s="3"/>
      <c r="L1538" s="19"/>
    </row>
    <row r="1539" spans="1:12">
      <c r="A1539" s="3"/>
      <c r="B1539" t="str">
        <f>IF(_xlfn.XLOOKUP(A1539,PARAMETROS!A:A,PARAMETROS!B:B)=0,"",_xlfn.XLOOKUP(A1539,PARAMETROS!A:A,PARAMETROS!B:B))</f>
        <v/>
      </c>
      <c r="C1539" t="str">
        <f>IF(_xlfn.XLOOKUP(A1539,PARAMETROS!A:A,PARAMETROS!C:C)=0,"",_xlfn.XLOOKUP(A1539,PARAMETROS!A:A,PARAMETROS!C:C))</f>
        <v/>
      </c>
      <c r="D1539" t="str">
        <f>IF(_xlfn.XLOOKUP(A1539,PARAMETROS!A:A,PARAMETROS!D:D)=0,"",_xlfn.XLOOKUP(A1539,PARAMETROS!A:A,PARAMETROS!D:D))</f>
        <v/>
      </c>
      <c r="E1539" t="str">
        <f>IF(_xlfn.XLOOKUP('PREENCHIMENTO|LETIVAS'!A1539,PARAMETROS!A:A,PARAMETROS!I:I)=0,"",_xlfn.XLOOKUP('PREENCHIMENTO|LETIVAS'!A1539,PARAMETROS!A:A,PARAMETROS!I:I))</f>
        <v/>
      </c>
      <c r="F1539" s="3"/>
      <c r="G1539" s="3"/>
      <c r="H1539" s="3"/>
      <c r="I1539" s="3"/>
      <c r="J1539" s="3"/>
      <c r="K1539" s="3"/>
      <c r="L1539" s="19"/>
    </row>
    <row r="1540" spans="1:12">
      <c r="A1540" s="3"/>
      <c r="B1540" t="str">
        <f>IF(_xlfn.XLOOKUP(A1540,PARAMETROS!A:A,PARAMETROS!B:B)=0,"",_xlfn.XLOOKUP(A1540,PARAMETROS!A:A,PARAMETROS!B:B))</f>
        <v/>
      </c>
      <c r="C1540" t="str">
        <f>IF(_xlfn.XLOOKUP(A1540,PARAMETROS!A:A,PARAMETROS!C:C)=0,"",_xlfn.XLOOKUP(A1540,PARAMETROS!A:A,PARAMETROS!C:C))</f>
        <v/>
      </c>
      <c r="D1540" t="str">
        <f>IF(_xlfn.XLOOKUP(A1540,PARAMETROS!A:A,PARAMETROS!D:D)=0,"",_xlfn.XLOOKUP(A1540,PARAMETROS!A:A,PARAMETROS!D:D))</f>
        <v/>
      </c>
      <c r="E1540" t="str">
        <f>IF(_xlfn.XLOOKUP('PREENCHIMENTO|LETIVAS'!A1540,PARAMETROS!A:A,PARAMETROS!I:I)=0,"",_xlfn.XLOOKUP('PREENCHIMENTO|LETIVAS'!A1540,PARAMETROS!A:A,PARAMETROS!I:I))</f>
        <v/>
      </c>
      <c r="F1540" s="3"/>
      <c r="G1540" s="3"/>
      <c r="H1540" s="3"/>
      <c r="I1540" s="3"/>
      <c r="J1540" s="3"/>
      <c r="K1540" s="3"/>
      <c r="L1540" s="19"/>
    </row>
    <row r="1541" spans="1:12">
      <c r="A1541" s="3"/>
      <c r="B1541" t="str">
        <f>IF(_xlfn.XLOOKUP(A1541,PARAMETROS!A:A,PARAMETROS!B:B)=0,"",_xlfn.XLOOKUP(A1541,PARAMETROS!A:A,PARAMETROS!B:B))</f>
        <v/>
      </c>
      <c r="C1541" t="str">
        <f>IF(_xlfn.XLOOKUP(A1541,PARAMETROS!A:A,PARAMETROS!C:C)=0,"",_xlfn.XLOOKUP(A1541,PARAMETROS!A:A,PARAMETROS!C:C))</f>
        <v/>
      </c>
      <c r="D1541" t="str">
        <f>IF(_xlfn.XLOOKUP(A1541,PARAMETROS!A:A,PARAMETROS!D:D)=0,"",_xlfn.XLOOKUP(A1541,PARAMETROS!A:A,PARAMETROS!D:D))</f>
        <v/>
      </c>
      <c r="E1541" t="str">
        <f>IF(_xlfn.XLOOKUP('PREENCHIMENTO|LETIVAS'!A1541,PARAMETROS!A:A,PARAMETROS!I:I)=0,"",_xlfn.XLOOKUP('PREENCHIMENTO|LETIVAS'!A1541,PARAMETROS!A:A,PARAMETROS!I:I))</f>
        <v/>
      </c>
      <c r="F1541" s="3"/>
      <c r="G1541" s="3"/>
      <c r="H1541" s="3"/>
      <c r="I1541" s="3"/>
      <c r="J1541" s="3"/>
      <c r="K1541" s="3"/>
      <c r="L1541" s="19"/>
    </row>
    <row r="1542" spans="1:12">
      <c r="A1542" s="3"/>
      <c r="B1542" t="str">
        <f>IF(_xlfn.XLOOKUP(A1542,PARAMETROS!A:A,PARAMETROS!B:B)=0,"",_xlfn.XLOOKUP(A1542,PARAMETROS!A:A,PARAMETROS!B:B))</f>
        <v/>
      </c>
      <c r="C1542" t="str">
        <f>IF(_xlfn.XLOOKUP(A1542,PARAMETROS!A:A,PARAMETROS!C:C)=0,"",_xlfn.XLOOKUP(A1542,PARAMETROS!A:A,PARAMETROS!C:C))</f>
        <v/>
      </c>
      <c r="D1542" t="str">
        <f>IF(_xlfn.XLOOKUP(A1542,PARAMETROS!A:A,PARAMETROS!D:D)=0,"",_xlfn.XLOOKUP(A1542,PARAMETROS!A:A,PARAMETROS!D:D))</f>
        <v/>
      </c>
      <c r="E1542" t="str">
        <f>IF(_xlfn.XLOOKUP('PREENCHIMENTO|LETIVAS'!A1542,PARAMETROS!A:A,PARAMETROS!I:I)=0,"",_xlfn.XLOOKUP('PREENCHIMENTO|LETIVAS'!A1542,PARAMETROS!A:A,PARAMETROS!I:I))</f>
        <v/>
      </c>
      <c r="F1542" s="3"/>
      <c r="G1542" s="3"/>
      <c r="H1542" s="3"/>
      <c r="I1542" s="3"/>
      <c r="J1542" s="3"/>
      <c r="K1542" s="3"/>
      <c r="L1542" s="19"/>
    </row>
    <row r="1543" spans="1:12">
      <c r="A1543" s="3"/>
      <c r="B1543" t="str">
        <f>IF(_xlfn.XLOOKUP(A1543,PARAMETROS!A:A,PARAMETROS!B:B)=0,"",_xlfn.XLOOKUP(A1543,PARAMETROS!A:A,PARAMETROS!B:B))</f>
        <v/>
      </c>
      <c r="C1543" t="str">
        <f>IF(_xlfn.XLOOKUP(A1543,PARAMETROS!A:A,PARAMETROS!C:C)=0,"",_xlfn.XLOOKUP(A1543,PARAMETROS!A:A,PARAMETROS!C:C))</f>
        <v/>
      </c>
      <c r="D1543" t="str">
        <f>IF(_xlfn.XLOOKUP(A1543,PARAMETROS!A:A,PARAMETROS!D:D)=0,"",_xlfn.XLOOKUP(A1543,PARAMETROS!A:A,PARAMETROS!D:D))</f>
        <v/>
      </c>
      <c r="E1543" t="str">
        <f>IF(_xlfn.XLOOKUP('PREENCHIMENTO|LETIVAS'!A1543,PARAMETROS!A:A,PARAMETROS!I:I)=0,"",_xlfn.XLOOKUP('PREENCHIMENTO|LETIVAS'!A1543,PARAMETROS!A:A,PARAMETROS!I:I))</f>
        <v/>
      </c>
      <c r="F1543" s="3"/>
      <c r="G1543" s="3"/>
      <c r="H1543" s="3"/>
      <c r="I1543" s="3"/>
      <c r="J1543" s="3"/>
      <c r="K1543" s="3"/>
      <c r="L1543" s="19"/>
    </row>
    <row r="1544" spans="1:12">
      <c r="A1544" s="3"/>
      <c r="B1544" t="str">
        <f>IF(_xlfn.XLOOKUP(A1544,PARAMETROS!A:A,PARAMETROS!B:B)=0,"",_xlfn.XLOOKUP(A1544,PARAMETROS!A:A,PARAMETROS!B:B))</f>
        <v/>
      </c>
      <c r="C1544" t="str">
        <f>IF(_xlfn.XLOOKUP(A1544,PARAMETROS!A:A,PARAMETROS!C:C)=0,"",_xlfn.XLOOKUP(A1544,PARAMETROS!A:A,PARAMETROS!C:C))</f>
        <v/>
      </c>
      <c r="D1544" t="str">
        <f>IF(_xlfn.XLOOKUP(A1544,PARAMETROS!A:A,PARAMETROS!D:D)=0,"",_xlfn.XLOOKUP(A1544,PARAMETROS!A:A,PARAMETROS!D:D))</f>
        <v/>
      </c>
      <c r="E1544" t="str">
        <f>IF(_xlfn.XLOOKUP('PREENCHIMENTO|LETIVAS'!A1544,PARAMETROS!A:A,PARAMETROS!I:I)=0,"",_xlfn.XLOOKUP('PREENCHIMENTO|LETIVAS'!A1544,PARAMETROS!A:A,PARAMETROS!I:I))</f>
        <v/>
      </c>
      <c r="F1544" s="3"/>
      <c r="G1544" s="3"/>
      <c r="H1544" s="3"/>
      <c r="I1544" s="3"/>
      <c r="J1544" s="3"/>
      <c r="K1544" s="3"/>
      <c r="L1544" s="19"/>
    </row>
    <row r="1545" spans="1:12">
      <c r="A1545" s="3"/>
      <c r="B1545" t="str">
        <f>IF(_xlfn.XLOOKUP(A1545,PARAMETROS!A:A,PARAMETROS!B:B)=0,"",_xlfn.XLOOKUP(A1545,PARAMETROS!A:A,PARAMETROS!B:B))</f>
        <v/>
      </c>
      <c r="C1545" t="str">
        <f>IF(_xlfn.XLOOKUP(A1545,PARAMETROS!A:A,PARAMETROS!C:C)=0,"",_xlfn.XLOOKUP(A1545,PARAMETROS!A:A,PARAMETROS!C:C))</f>
        <v/>
      </c>
      <c r="D1545" t="str">
        <f>IF(_xlfn.XLOOKUP(A1545,PARAMETROS!A:A,PARAMETROS!D:D)=0,"",_xlfn.XLOOKUP(A1545,PARAMETROS!A:A,PARAMETROS!D:D))</f>
        <v/>
      </c>
      <c r="E1545" t="str">
        <f>IF(_xlfn.XLOOKUP('PREENCHIMENTO|LETIVAS'!A1545,PARAMETROS!A:A,PARAMETROS!I:I)=0,"",_xlfn.XLOOKUP('PREENCHIMENTO|LETIVAS'!A1545,PARAMETROS!A:A,PARAMETROS!I:I))</f>
        <v/>
      </c>
      <c r="F1545" s="3"/>
      <c r="G1545" s="3"/>
      <c r="H1545" s="3"/>
      <c r="I1545" s="3"/>
      <c r="J1545" s="3"/>
      <c r="K1545" s="3"/>
      <c r="L1545" s="19"/>
    </row>
    <row r="1546" spans="1:12">
      <c r="A1546" s="3"/>
      <c r="B1546" t="str">
        <f>IF(_xlfn.XLOOKUP(A1546,PARAMETROS!A:A,PARAMETROS!B:B)=0,"",_xlfn.XLOOKUP(A1546,PARAMETROS!A:A,PARAMETROS!B:B))</f>
        <v/>
      </c>
      <c r="C1546" t="str">
        <f>IF(_xlfn.XLOOKUP(A1546,PARAMETROS!A:A,PARAMETROS!C:C)=0,"",_xlfn.XLOOKUP(A1546,PARAMETROS!A:A,PARAMETROS!C:C))</f>
        <v/>
      </c>
      <c r="D1546" t="str">
        <f>IF(_xlfn.XLOOKUP(A1546,PARAMETROS!A:A,PARAMETROS!D:D)=0,"",_xlfn.XLOOKUP(A1546,PARAMETROS!A:A,PARAMETROS!D:D))</f>
        <v/>
      </c>
      <c r="E1546" t="str">
        <f>IF(_xlfn.XLOOKUP('PREENCHIMENTO|LETIVAS'!A1546,PARAMETROS!A:A,PARAMETROS!I:I)=0,"",_xlfn.XLOOKUP('PREENCHIMENTO|LETIVAS'!A1546,PARAMETROS!A:A,PARAMETROS!I:I))</f>
        <v/>
      </c>
      <c r="F1546" s="3"/>
      <c r="G1546" s="3"/>
      <c r="H1546" s="3"/>
      <c r="I1546" s="3"/>
      <c r="J1546" s="3"/>
      <c r="K1546" s="3"/>
      <c r="L1546" s="19"/>
    </row>
    <row r="1547" spans="1:12">
      <c r="A1547" s="3"/>
      <c r="B1547" t="str">
        <f>IF(_xlfn.XLOOKUP(A1547,PARAMETROS!A:A,PARAMETROS!B:B)=0,"",_xlfn.XLOOKUP(A1547,PARAMETROS!A:A,PARAMETROS!B:B))</f>
        <v/>
      </c>
      <c r="C1547" t="str">
        <f>IF(_xlfn.XLOOKUP(A1547,PARAMETROS!A:A,PARAMETROS!C:C)=0,"",_xlfn.XLOOKUP(A1547,PARAMETROS!A:A,PARAMETROS!C:C))</f>
        <v/>
      </c>
      <c r="D1547" t="str">
        <f>IF(_xlfn.XLOOKUP(A1547,PARAMETROS!A:A,PARAMETROS!D:D)=0,"",_xlfn.XLOOKUP(A1547,PARAMETROS!A:A,PARAMETROS!D:D))</f>
        <v/>
      </c>
      <c r="E1547" t="str">
        <f>IF(_xlfn.XLOOKUP('PREENCHIMENTO|LETIVAS'!A1547,PARAMETROS!A:A,PARAMETROS!I:I)=0,"",_xlfn.XLOOKUP('PREENCHIMENTO|LETIVAS'!A1547,PARAMETROS!A:A,PARAMETROS!I:I))</f>
        <v/>
      </c>
      <c r="F1547" s="3"/>
      <c r="G1547" s="3"/>
      <c r="H1547" s="3"/>
      <c r="I1547" s="3"/>
      <c r="J1547" s="3"/>
      <c r="K1547" s="3"/>
      <c r="L1547" s="19"/>
    </row>
    <row r="1548" spans="1:12">
      <c r="A1548" s="3"/>
      <c r="B1548" t="str">
        <f>IF(_xlfn.XLOOKUP(A1548,PARAMETROS!A:A,PARAMETROS!B:B)=0,"",_xlfn.XLOOKUP(A1548,PARAMETROS!A:A,PARAMETROS!B:B))</f>
        <v/>
      </c>
      <c r="C1548" t="str">
        <f>IF(_xlfn.XLOOKUP(A1548,PARAMETROS!A:A,PARAMETROS!C:C)=0,"",_xlfn.XLOOKUP(A1548,PARAMETROS!A:A,PARAMETROS!C:C))</f>
        <v/>
      </c>
      <c r="D1548" t="str">
        <f>IF(_xlfn.XLOOKUP(A1548,PARAMETROS!A:A,PARAMETROS!D:D)=0,"",_xlfn.XLOOKUP(A1548,PARAMETROS!A:A,PARAMETROS!D:D))</f>
        <v/>
      </c>
      <c r="E1548" t="str">
        <f>IF(_xlfn.XLOOKUP('PREENCHIMENTO|LETIVAS'!A1548,PARAMETROS!A:A,PARAMETROS!I:I)=0,"",_xlfn.XLOOKUP('PREENCHIMENTO|LETIVAS'!A1548,PARAMETROS!A:A,PARAMETROS!I:I))</f>
        <v/>
      </c>
      <c r="F1548" s="3"/>
      <c r="G1548" s="3"/>
      <c r="H1548" s="3"/>
      <c r="I1548" s="3"/>
      <c r="J1548" s="3"/>
      <c r="K1548" s="3"/>
      <c r="L1548" s="19"/>
    </row>
    <row r="1549" spans="1:12">
      <c r="A1549" s="3"/>
      <c r="B1549" t="str">
        <f>IF(_xlfn.XLOOKUP(A1549,PARAMETROS!A:A,PARAMETROS!B:B)=0,"",_xlfn.XLOOKUP(A1549,PARAMETROS!A:A,PARAMETROS!B:B))</f>
        <v/>
      </c>
      <c r="C1549" t="str">
        <f>IF(_xlfn.XLOOKUP(A1549,PARAMETROS!A:A,PARAMETROS!C:C)=0,"",_xlfn.XLOOKUP(A1549,PARAMETROS!A:A,PARAMETROS!C:C))</f>
        <v/>
      </c>
      <c r="D1549" t="str">
        <f>IF(_xlfn.XLOOKUP(A1549,PARAMETROS!A:A,PARAMETROS!D:D)=0,"",_xlfn.XLOOKUP(A1549,PARAMETROS!A:A,PARAMETROS!D:D))</f>
        <v/>
      </c>
      <c r="E1549" t="str">
        <f>IF(_xlfn.XLOOKUP('PREENCHIMENTO|LETIVAS'!A1549,PARAMETROS!A:A,PARAMETROS!I:I)=0,"",_xlfn.XLOOKUP('PREENCHIMENTO|LETIVAS'!A1549,PARAMETROS!A:A,PARAMETROS!I:I))</f>
        <v/>
      </c>
      <c r="F1549" s="3"/>
      <c r="G1549" s="3"/>
      <c r="H1549" s="3"/>
      <c r="I1549" s="3"/>
      <c r="J1549" s="3"/>
      <c r="K1549" s="3"/>
      <c r="L1549" s="19"/>
    </row>
    <row r="1550" spans="1:12">
      <c r="A1550" s="3"/>
      <c r="B1550" t="str">
        <f>IF(_xlfn.XLOOKUP(A1550,PARAMETROS!A:A,PARAMETROS!B:B)=0,"",_xlfn.XLOOKUP(A1550,PARAMETROS!A:A,PARAMETROS!B:B))</f>
        <v/>
      </c>
      <c r="C1550" t="str">
        <f>IF(_xlfn.XLOOKUP(A1550,PARAMETROS!A:A,PARAMETROS!C:C)=0,"",_xlfn.XLOOKUP(A1550,PARAMETROS!A:A,PARAMETROS!C:C))</f>
        <v/>
      </c>
      <c r="D1550" t="str">
        <f>IF(_xlfn.XLOOKUP(A1550,PARAMETROS!A:A,PARAMETROS!D:D)=0,"",_xlfn.XLOOKUP(A1550,PARAMETROS!A:A,PARAMETROS!D:D))</f>
        <v/>
      </c>
      <c r="E1550" t="str">
        <f>IF(_xlfn.XLOOKUP('PREENCHIMENTO|LETIVAS'!A1550,PARAMETROS!A:A,PARAMETROS!I:I)=0,"",_xlfn.XLOOKUP('PREENCHIMENTO|LETIVAS'!A1550,PARAMETROS!A:A,PARAMETROS!I:I))</f>
        <v/>
      </c>
      <c r="F1550" s="3"/>
      <c r="G1550" s="3"/>
      <c r="H1550" s="3"/>
      <c r="I1550" s="3"/>
      <c r="J1550" s="3"/>
      <c r="K1550" s="3"/>
      <c r="L1550" s="19"/>
    </row>
    <row r="1551" spans="1:12">
      <c r="A1551" s="3"/>
      <c r="B1551" t="str">
        <f>IF(_xlfn.XLOOKUP(A1551,PARAMETROS!A:A,PARAMETROS!B:B)=0,"",_xlfn.XLOOKUP(A1551,PARAMETROS!A:A,PARAMETROS!B:B))</f>
        <v/>
      </c>
      <c r="C1551" t="str">
        <f>IF(_xlfn.XLOOKUP(A1551,PARAMETROS!A:A,PARAMETROS!C:C)=0,"",_xlfn.XLOOKUP(A1551,PARAMETROS!A:A,PARAMETROS!C:C))</f>
        <v/>
      </c>
      <c r="D1551" t="str">
        <f>IF(_xlfn.XLOOKUP(A1551,PARAMETROS!A:A,PARAMETROS!D:D)=0,"",_xlfn.XLOOKUP(A1551,PARAMETROS!A:A,PARAMETROS!D:D))</f>
        <v/>
      </c>
      <c r="E1551" t="str">
        <f>IF(_xlfn.XLOOKUP('PREENCHIMENTO|LETIVAS'!A1551,PARAMETROS!A:A,PARAMETROS!I:I)=0,"",_xlfn.XLOOKUP('PREENCHIMENTO|LETIVAS'!A1551,PARAMETROS!A:A,PARAMETROS!I:I))</f>
        <v/>
      </c>
      <c r="F1551" s="3"/>
      <c r="G1551" s="3"/>
      <c r="H1551" s="3"/>
      <c r="I1551" s="3"/>
      <c r="J1551" s="3"/>
      <c r="K1551" s="3"/>
      <c r="L1551" s="19"/>
    </row>
    <row r="1552" spans="1:12">
      <c r="A1552" s="3"/>
      <c r="B1552" t="str">
        <f>IF(_xlfn.XLOOKUP(A1552,PARAMETROS!A:A,PARAMETROS!B:B)=0,"",_xlfn.XLOOKUP(A1552,PARAMETROS!A:A,PARAMETROS!B:B))</f>
        <v/>
      </c>
      <c r="C1552" t="str">
        <f>IF(_xlfn.XLOOKUP(A1552,PARAMETROS!A:A,PARAMETROS!C:C)=0,"",_xlfn.XLOOKUP(A1552,PARAMETROS!A:A,PARAMETROS!C:C))</f>
        <v/>
      </c>
      <c r="D1552" t="str">
        <f>IF(_xlfn.XLOOKUP(A1552,PARAMETROS!A:A,PARAMETROS!D:D)=0,"",_xlfn.XLOOKUP(A1552,PARAMETROS!A:A,PARAMETROS!D:D))</f>
        <v/>
      </c>
      <c r="E1552" t="str">
        <f>IF(_xlfn.XLOOKUP('PREENCHIMENTO|LETIVAS'!A1552,PARAMETROS!A:A,PARAMETROS!I:I)=0,"",_xlfn.XLOOKUP('PREENCHIMENTO|LETIVAS'!A1552,PARAMETROS!A:A,PARAMETROS!I:I))</f>
        <v/>
      </c>
      <c r="F1552" s="3"/>
      <c r="G1552" s="3"/>
      <c r="H1552" s="3"/>
      <c r="I1552" s="3"/>
      <c r="J1552" s="3"/>
      <c r="K1552" s="3"/>
      <c r="L1552" s="19"/>
    </row>
    <row r="1553" spans="1:12">
      <c r="A1553" s="3"/>
      <c r="B1553" t="str">
        <f>IF(_xlfn.XLOOKUP(A1553,PARAMETROS!A:A,PARAMETROS!B:B)=0,"",_xlfn.XLOOKUP(A1553,PARAMETROS!A:A,PARAMETROS!B:B))</f>
        <v/>
      </c>
      <c r="C1553" t="str">
        <f>IF(_xlfn.XLOOKUP(A1553,PARAMETROS!A:A,PARAMETROS!C:C)=0,"",_xlfn.XLOOKUP(A1553,PARAMETROS!A:A,PARAMETROS!C:C))</f>
        <v/>
      </c>
      <c r="D1553" t="str">
        <f>IF(_xlfn.XLOOKUP(A1553,PARAMETROS!A:A,PARAMETROS!D:D)=0,"",_xlfn.XLOOKUP(A1553,PARAMETROS!A:A,PARAMETROS!D:D))</f>
        <v/>
      </c>
      <c r="E1553" t="str">
        <f>IF(_xlfn.XLOOKUP('PREENCHIMENTO|LETIVAS'!A1553,PARAMETROS!A:A,PARAMETROS!I:I)=0,"",_xlfn.XLOOKUP('PREENCHIMENTO|LETIVAS'!A1553,PARAMETROS!A:A,PARAMETROS!I:I))</f>
        <v/>
      </c>
      <c r="F1553" s="3"/>
      <c r="G1553" s="3"/>
      <c r="H1553" s="3"/>
      <c r="I1553" s="3"/>
      <c r="J1553" s="3"/>
      <c r="K1553" s="3"/>
      <c r="L1553" s="19"/>
    </row>
    <row r="1554" spans="1:12">
      <c r="A1554" s="3"/>
      <c r="B1554" t="str">
        <f>IF(_xlfn.XLOOKUP(A1554,PARAMETROS!A:A,PARAMETROS!B:B)=0,"",_xlfn.XLOOKUP(A1554,PARAMETROS!A:A,PARAMETROS!B:B))</f>
        <v/>
      </c>
      <c r="C1554" t="str">
        <f>IF(_xlfn.XLOOKUP(A1554,PARAMETROS!A:A,PARAMETROS!C:C)=0,"",_xlfn.XLOOKUP(A1554,PARAMETROS!A:A,PARAMETROS!C:C))</f>
        <v/>
      </c>
      <c r="D1554" t="str">
        <f>IF(_xlfn.XLOOKUP(A1554,PARAMETROS!A:A,PARAMETROS!D:D)=0,"",_xlfn.XLOOKUP(A1554,PARAMETROS!A:A,PARAMETROS!D:D))</f>
        <v/>
      </c>
      <c r="E1554" t="str">
        <f>IF(_xlfn.XLOOKUP('PREENCHIMENTO|LETIVAS'!A1554,PARAMETROS!A:A,PARAMETROS!I:I)=0,"",_xlfn.XLOOKUP('PREENCHIMENTO|LETIVAS'!A1554,PARAMETROS!A:A,PARAMETROS!I:I))</f>
        <v/>
      </c>
      <c r="F1554" s="3"/>
      <c r="G1554" s="3"/>
      <c r="H1554" s="3"/>
      <c r="I1554" s="3"/>
      <c r="J1554" s="3"/>
      <c r="K1554" s="3"/>
      <c r="L1554" s="19"/>
    </row>
    <row r="1555" spans="1:12">
      <c r="A1555" s="3"/>
      <c r="B1555" t="str">
        <f>IF(_xlfn.XLOOKUP(A1555,PARAMETROS!A:A,PARAMETROS!B:B)=0,"",_xlfn.XLOOKUP(A1555,PARAMETROS!A:A,PARAMETROS!B:B))</f>
        <v/>
      </c>
      <c r="C1555" t="str">
        <f>IF(_xlfn.XLOOKUP(A1555,PARAMETROS!A:A,PARAMETROS!C:C)=0,"",_xlfn.XLOOKUP(A1555,PARAMETROS!A:A,PARAMETROS!C:C))</f>
        <v/>
      </c>
      <c r="D1555" t="str">
        <f>IF(_xlfn.XLOOKUP(A1555,PARAMETROS!A:A,PARAMETROS!D:D)=0,"",_xlfn.XLOOKUP(A1555,PARAMETROS!A:A,PARAMETROS!D:D))</f>
        <v/>
      </c>
      <c r="E1555" t="str">
        <f>IF(_xlfn.XLOOKUP('PREENCHIMENTO|LETIVAS'!A1555,PARAMETROS!A:A,PARAMETROS!I:I)=0,"",_xlfn.XLOOKUP('PREENCHIMENTO|LETIVAS'!A1555,PARAMETROS!A:A,PARAMETROS!I:I))</f>
        <v/>
      </c>
      <c r="F1555" s="3"/>
      <c r="G1555" s="3"/>
      <c r="H1555" s="3"/>
      <c r="I1555" s="3"/>
      <c r="J1555" s="3"/>
      <c r="K1555" s="3"/>
      <c r="L1555" s="19"/>
    </row>
    <row r="1556" spans="1:12">
      <c r="A1556" s="3"/>
      <c r="B1556" t="str">
        <f>IF(_xlfn.XLOOKUP(A1556,PARAMETROS!A:A,PARAMETROS!B:B)=0,"",_xlfn.XLOOKUP(A1556,PARAMETROS!A:A,PARAMETROS!B:B))</f>
        <v/>
      </c>
      <c r="C1556" t="str">
        <f>IF(_xlfn.XLOOKUP(A1556,PARAMETROS!A:A,PARAMETROS!C:C)=0,"",_xlfn.XLOOKUP(A1556,PARAMETROS!A:A,PARAMETROS!C:C))</f>
        <v/>
      </c>
      <c r="D1556" t="str">
        <f>IF(_xlfn.XLOOKUP(A1556,PARAMETROS!A:A,PARAMETROS!D:D)=0,"",_xlfn.XLOOKUP(A1556,PARAMETROS!A:A,PARAMETROS!D:D))</f>
        <v/>
      </c>
      <c r="E1556" t="str">
        <f>IF(_xlfn.XLOOKUP('PREENCHIMENTO|LETIVAS'!A1556,PARAMETROS!A:A,PARAMETROS!I:I)=0,"",_xlfn.XLOOKUP('PREENCHIMENTO|LETIVAS'!A1556,PARAMETROS!A:A,PARAMETROS!I:I))</f>
        <v/>
      </c>
      <c r="F1556" s="3"/>
      <c r="G1556" s="3"/>
      <c r="H1556" s="3"/>
      <c r="I1556" s="3"/>
      <c r="J1556" s="3"/>
      <c r="K1556" s="3"/>
      <c r="L1556" s="19"/>
    </row>
    <row r="1557" spans="1:12">
      <c r="A1557" s="3"/>
      <c r="B1557" t="str">
        <f>IF(_xlfn.XLOOKUP(A1557,PARAMETROS!A:A,PARAMETROS!B:B)=0,"",_xlfn.XLOOKUP(A1557,PARAMETROS!A:A,PARAMETROS!B:B))</f>
        <v/>
      </c>
      <c r="C1557" t="str">
        <f>IF(_xlfn.XLOOKUP(A1557,PARAMETROS!A:A,PARAMETROS!C:C)=0,"",_xlfn.XLOOKUP(A1557,PARAMETROS!A:A,PARAMETROS!C:C))</f>
        <v/>
      </c>
      <c r="D1557" t="str">
        <f>IF(_xlfn.XLOOKUP(A1557,PARAMETROS!A:A,PARAMETROS!D:D)=0,"",_xlfn.XLOOKUP(A1557,PARAMETROS!A:A,PARAMETROS!D:D))</f>
        <v/>
      </c>
      <c r="E1557" t="str">
        <f>IF(_xlfn.XLOOKUP('PREENCHIMENTO|LETIVAS'!A1557,PARAMETROS!A:A,PARAMETROS!I:I)=0,"",_xlfn.XLOOKUP('PREENCHIMENTO|LETIVAS'!A1557,PARAMETROS!A:A,PARAMETROS!I:I))</f>
        <v/>
      </c>
      <c r="F1557" s="3"/>
      <c r="G1557" s="3"/>
      <c r="H1557" s="3"/>
      <c r="I1557" s="3"/>
      <c r="J1557" s="3"/>
      <c r="K1557" s="3"/>
      <c r="L1557" s="19"/>
    </row>
    <row r="1558" spans="1:12">
      <c r="A1558" s="3"/>
      <c r="B1558" t="str">
        <f>IF(_xlfn.XLOOKUP(A1558,PARAMETROS!A:A,PARAMETROS!B:B)=0,"",_xlfn.XLOOKUP(A1558,PARAMETROS!A:A,PARAMETROS!B:B))</f>
        <v/>
      </c>
      <c r="C1558" t="str">
        <f>IF(_xlfn.XLOOKUP(A1558,PARAMETROS!A:A,PARAMETROS!C:C)=0,"",_xlfn.XLOOKUP(A1558,PARAMETROS!A:A,PARAMETROS!C:C))</f>
        <v/>
      </c>
      <c r="D1558" t="str">
        <f>IF(_xlfn.XLOOKUP(A1558,PARAMETROS!A:A,PARAMETROS!D:D)=0,"",_xlfn.XLOOKUP(A1558,PARAMETROS!A:A,PARAMETROS!D:D))</f>
        <v/>
      </c>
      <c r="E1558" t="str">
        <f>IF(_xlfn.XLOOKUP('PREENCHIMENTO|LETIVAS'!A1558,PARAMETROS!A:A,PARAMETROS!I:I)=0,"",_xlfn.XLOOKUP('PREENCHIMENTO|LETIVAS'!A1558,PARAMETROS!A:A,PARAMETROS!I:I))</f>
        <v/>
      </c>
      <c r="F1558" s="3"/>
      <c r="G1558" s="3"/>
      <c r="H1558" s="3"/>
      <c r="I1558" s="3"/>
      <c r="J1558" s="3"/>
      <c r="K1558" s="3"/>
      <c r="L1558" s="19"/>
    </row>
    <row r="1559" spans="1:12">
      <c r="A1559" s="3"/>
      <c r="B1559" t="str">
        <f>IF(_xlfn.XLOOKUP(A1559,PARAMETROS!A:A,PARAMETROS!B:B)=0,"",_xlfn.XLOOKUP(A1559,PARAMETROS!A:A,PARAMETROS!B:B))</f>
        <v/>
      </c>
      <c r="C1559" t="str">
        <f>IF(_xlfn.XLOOKUP(A1559,PARAMETROS!A:A,PARAMETROS!C:C)=0,"",_xlfn.XLOOKUP(A1559,PARAMETROS!A:A,PARAMETROS!C:C))</f>
        <v/>
      </c>
      <c r="D1559" t="str">
        <f>IF(_xlfn.XLOOKUP(A1559,PARAMETROS!A:A,PARAMETROS!D:D)=0,"",_xlfn.XLOOKUP(A1559,PARAMETROS!A:A,PARAMETROS!D:D))</f>
        <v/>
      </c>
      <c r="E1559" t="str">
        <f>IF(_xlfn.XLOOKUP('PREENCHIMENTO|LETIVAS'!A1559,PARAMETROS!A:A,PARAMETROS!I:I)=0,"",_xlfn.XLOOKUP('PREENCHIMENTO|LETIVAS'!A1559,PARAMETROS!A:A,PARAMETROS!I:I))</f>
        <v/>
      </c>
      <c r="F1559" s="3"/>
      <c r="G1559" s="3"/>
      <c r="H1559" s="3"/>
      <c r="I1559" s="3"/>
      <c r="J1559" s="3"/>
      <c r="K1559" s="3"/>
      <c r="L1559" s="19"/>
    </row>
    <row r="1560" spans="1:12">
      <c r="A1560" s="3"/>
      <c r="B1560" t="str">
        <f>IF(_xlfn.XLOOKUP(A1560,PARAMETROS!A:A,PARAMETROS!B:B)=0,"",_xlfn.XLOOKUP(A1560,PARAMETROS!A:A,PARAMETROS!B:B))</f>
        <v/>
      </c>
      <c r="C1560" t="str">
        <f>IF(_xlfn.XLOOKUP(A1560,PARAMETROS!A:A,PARAMETROS!C:C)=0,"",_xlfn.XLOOKUP(A1560,PARAMETROS!A:A,PARAMETROS!C:C))</f>
        <v/>
      </c>
      <c r="D1560" t="str">
        <f>IF(_xlfn.XLOOKUP(A1560,PARAMETROS!A:A,PARAMETROS!D:D)=0,"",_xlfn.XLOOKUP(A1560,PARAMETROS!A:A,PARAMETROS!D:D))</f>
        <v/>
      </c>
      <c r="E1560" t="str">
        <f>IF(_xlfn.XLOOKUP('PREENCHIMENTO|LETIVAS'!A1560,PARAMETROS!A:A,PARAMETROS!I:I)=0,"",_xlfn.XLOOKUP('PREENCHIMENTO|LETIVAS'!A1560,PARAMETROS!A:A,PARAMETROS!I:I))</f>
        <v/>
      </c>
      <c r="F1560" s="3"/>
      <c r="G1560" s="3"/>
      <c r="H1560" s="3"/>
      <c r="I1560" s="3"/>
      <c r="J1560" s="3"/>
      <c r="K1560" s="3"/>
      <c r="L1560" s="19"/>
    </row>
    <row r="1561" spans="1:12">
      <c r="A1561" s="3"/>
      <c r="B1561" t="str">
        <f>IF(_xlfn.XLOOKUP(A1561,PARAMETROS!A:A,PARAMETROS!B:B)=0,"",_xlfn.XLOOKUP(A1561,PARAMETROS!A:A,PARAMETROS!B:B))</f>
        <v/>
      </c>
      <c r="C1561" t="str">
        <f>IF(_xlfn.XLOOKUP(A1561,PARAMETROS!A:A,PARAMETROS!C:C)=0,"",_xlfn.XLOOKUP(A1561,PARAMETROS!A:A,PARAMETROS!C:C))</f>
        <v/>
      </c>
      <c r="D1561" t="str">
        <f>IF(_xlfn.XLOOKUP(A1561,PARAMETROS!A:A,PARAMETROS!D:D)=0,"",_xlfn.XLOOKUP(A1561,PARAMETROS!A:A,PARAMETROS!D:D))</f>
        <v/>
      </c>
      <c r="E1561" t="str">
        <f>IF(_xlfn.XLOOKUP('PREENCHIMENTO|LETIVAS'!A1561,PARAMETROS!A:A,PARAMETROS!I:I)=0,"",_xlfn.XLOOKUP('PREENCHIMENTO|LETIVAS'!A1561,PARAMETROS!A:A,PARAMETROS!I:I))</f>
        <v/>
      </c>
      <c r="F1561" s="3"/>
      <c r="G1561" s="3"/>
      <c r="H1561" s="3"/>
      <c r="I1561" s="3"/>
      <c r="J1561" s="3"/>
      <c r="K1561" s="3"/>
      <c r="L1561" s="19"/>
    </row>
    <row r="1562" spans="1:12">
      <c r="A1562" s="3"/>
      <c r="B1562" t="str">
        <f>IF(_xlfn.XLOOKUP(A1562,PARAMETROS!A:A,PARAMETROS!B:B)=0,"",_xlfn.XLOOKUP(A1562,PARAMETROS!A:A,PARAMETROS!B:B))</f>
        <v/>
      </c>
      <c r="C1562" t="str">
        <f>IF(_xlfn.XLOOKUP(A1562,PARAMETROS!A:A,PARAMETROS!C:C)=0,"",_xlfn.XLOOKUP(A1562,PARAMETROS!A:A,PARAMETROS!C:C))</f>
        <v/>
      </c>
      <c r="D1562" t="str">
        <f>IF(_xlfn.XLOOKUP(A1562,PARAMETROS!A:A,PARAMETROS!D:D)=0,"",_xlfn.XLOOKUP(A1562,PARAMETROS!A:A,PARAMETROS!D:D))</f>
        <v/>
      </c>
      <c r="E1562" t="str">
        <f>IF(_xlfn.XLOOKUP('PREENCHIMENTO|LETIVAS'!A1562,PARAMETROS!A:A,PARAMETROS!I:I)=0,"",_xlfn.XLOOKUP('PREENCHIMENTO|LETIVAS'!A1562,PARAMETROS!A:A,PARAMETROS!I:I))</f>
        <v/>
      </c>
      <c r="F1562" s="3"/>
      <c r="G1562" s="3"/>
      <c r="H1562" s="3"/>
      <c r="I1562" s="3"/>
      <c r="J1562" s="3"/>
      <c r="K1562" s="3"/>
      <c r="L1562" s="19"/>
    </row>
    <row r="1563" spans="1:12">
      <c r="A1563" s="3"/>
      <c r="B1563" t="str">
        <f>IF(_xlfn.XLOOKUP(A1563,PARAMETROS!A:A,PARAMETROS!B:B)=0,"",_xlfn.XLOOKUP(A1563,PARAMETROS!A:A,PARAMETROS!B:B))</f>
        <v/>
      </c>
      <c r="C1563" t="str">
        <f>IF(_xlfn.XLOOKUP(A1563,PARAMETROS!A:A,PARAMETROS!C:C)=0,"",_xlfn.XLOOKUP(A1563,PARAMETROS!A:A,PARAMETROS!C:C))</f>
        <v/>
      </c>
      <c r="D1563" t="str">
        <f>IF(_xlfn.XLOOKUP(A1563,PARAMETROS!A:A,PARAMETROS!D:D)=0,"",_xlfn.XLOOKUP(A1563,PARAMETROS!A:A,PARAMETROS!D:D))</f>
        <v/>
      </c>
      <c r="E1563" t="str">
        <f>IF(_xlfn.XLOOKUP('PREENCHIMENTO|LETIVAS'!A1563,PARAMETROS!A:A,PARAMETROS!I:I)=0,"",_xlfn.XLOOKUP('PREENCHIMENTO|LETIVAS'!A1563,PARAMETROS!A:A,PARAMETROS!I:I))</f>
        <v/>
      </c>
      <c r="F1563" s="3"/>
      <c r="G1563" s="3"/>
      <c r="H1563" s="3"/>
      <c r="I1563" s="3"/>
      <c r="J1563" s="3"/>
      <c r="K1563" s="3"/>
      <c r="L1563" s="19"/>
    </row>
    <row r="1564" spans="1:12">
      <c r="A1564" s="3"/>
      <c r="B1564" t="str">
        <f>IF(_xlfn.XLOOKUP(A1564,PARAMETROS!A:A,PARAMETROS!B:B)=0,"",_xlfn.XLOOKUP(A1564,PARAMETROS!A:A,PARAMETROS!B:B))</f>
        <v/>
      </c>
      <c r="C1564" t="str">
        <f>IF(_xlfn.XLOOKUP(A1564,PARAMETROS!A:A,PARAMETROS!C:C)=0,"",_xlfn.XLOOKUP(A1564,PARAMETROS!A:A,PARAMETROS!C:C))</f>
        <v/>
      </c>
      <c r="D1564" t="str">
        <f>IF(_xlfn.XLOOKUP(A1564,PARAMETROS!A:A,PARAMETROS!D:D)=0,"",_xlfn.XLOOKUP(A1564,PARAMETROS!A:A,PARAMETROS!D:D))</f>
        <v/>
      </c>
      <c r="E1564" t="str">
        <f>IF(_xlfn.XLOOKUP('PREENCHIMENTO|LETIVAS'!A1564,PARAMETROS!A:A,PARAMETROS!I:I)=0,"",_xlfn.XLOOKUP('PREENCHIMENTO|LETIVAS'!A1564,PARAMETROS!A:A,PARAMETROS!I:I))</f>
        <v/>
      </c>
      <c r="F1564" s="3"/>
      <c r="G1564" s="3"/>
      <c r="H1564" s="3"/>
      <c r="I1564" s="3"/>
      <c r="J1564" s="3"/>
      <c r="K1564" s="3"/>
      <c r="L1564" s="19"/>
    </row>
    <row r="1565" spans="1:12">
      <c r="A1565" s="3"/>
      <c r="B1565" t="str">
        <f>IF(_xlfn.XLOOKUP(A1565,PARAMETROS!A:A,PARAMETROS!B:B)=0,"",_xlfn.XLOOKUP(A1565,PARAMETROS!A:A,PARAMETROS!B:B))</f>
        <v/>
      </c>
      <c r="C1565" t="str">
        <f>IF(_xlfn.XLOOKUP(A1565,PARAMETROS!A:A,PARAMETROS!C:C)=0,"",_xlfn.XLOOKUP(A1565,PARAMETROS!A:A,PARAMETROS!C:C))</f>
        <v/>
      </c>
      <c r="D1565" t="str">
        <f>IF(_xlfn.XLOOKUP(A1565,PARAMETROS!A:A,PARAMETROS!D:D)=0,"",_xlfn.XLOOKUP(A1565,PARAMETROS!A:A,PARAMETROS!D:D))</f>
        <v/>
      </c>
      <c r="E1565" t="str">
        <f>IF(_xlfn.XLOOKUP('PREENCHIMENTO|LETIVAS'!A1565,PARAMETROS!A:A,PARAMETROS!I:I)=0,"",_xlfn.XLOOKUP('PREENCHIMENTO|LETIVAS'!A1565,PARAMETROS!A:A,PARAMETROS!I:I))</f>
        <v/>
      </c>
      <c r="F1565" s="3"/>
      <c r="G1565" s="3"/>
      <c r="H1565" s="3"/>
      <c r="I1565" s="3"/>
      <c r="J1565" s="3"/>
      <c r="K1565" s="3"/>
      <c r="L1565" s="19"/>
    </row>
    <row r="1566" spans="1:12">
      <c r="A1566" s="3"/>
      <c r="B1566" t="str">
        <f>IF(_xlfn.XLOOKUP(A1566,PARAMETROS!A:A,PARAMETROS!B:B)=0,"",_xlfn.XLOOKUP(A1566,PARAMETROS!A:A,PARAMETROS!B:B))</f>
        <v/>
      </c>
      <c r="C1566" t="str">
        <f>IF(_xlfn.XLOOKUP(A1566,PARAMETROS!A:A,PARAMETROS!C:C)=0,"",_xlfn.XLOOKUP(A1566,PARAMETROS!A:A,PARAMETROS!C:C))</f>
        <v/>
      </c>
      <c r="D1566" t="str">
        <f>IF(_xlfn.XLOOKUP(A1566,PARAMETROS!A:A,PARAMETROS!D:D)=0,"",_xlfn.XLOOKUP(A1566,PARAMETROS!A:A,PARAMETROS!D:D))</f>
        <v/>
      </c>
      <c r="E1566" t="str">
        <f>IF(_xlfn.XLOOKUP('PREENCHIMENTO|LETIVAS'!A1566,PARAMETROS!A:A,PARAMETROS!I:I)=0,"",_xlfn.XLOOKUP('PREENCHIMENTO|LETIVAS'!A1566,PARAMETROS!A:A,PARAMETROS!I:I))</f>
        <v/>
      </c>
      <c r="F1566" s="3"/>
      <c r="G1566" s="3"/>
      <c r="H1566" s="3"/>
      <c r="I1566" s="3"/>
      <c r="J1566" s="3"/>
      <c r="K1566" s="3"/>
      <c r="L1566" s="19"/>
    </row>
    <row r="1567" spans="1:12">
      <c r="A1567" s="3"/>
      <c r="B1567" t="str">
        <f>IF(_xlfn.XLOOKUP(A1567,PARAMETROS!A:A,PARAMETROS!B:B)=0,"",_xlfn.XLOOKUP(A1567,PARAMETROS!A:A,PARAMETROS!B:B))</f>
        <v/>
      </c>
      <c r="C1567" t="str">
        <f>IF(_xlfn.XLOOKUP(A1567,PARAMETROS!A:A,PARAMETROS!C:C)=0,"",_xlfn.XLOOKUP(A1567,PARAMETROS!A:A,PARAMETROS!C:C))</f>
        <v/>
      </c>
      <c r="D1567" t="str">
        <f>IF(_xlfn.XLOOKUP(A1567,PARAMETROS!A:A,PARAMETROS!D:D)=0,"",_xlfn.XLOOKUP(A1567,PARAMETROS!A:A,PARAMETROS!D:D))</f>
        <v/>
      </c>
      <c r="E1567" t="str">
        <f>IF(_xlfn.XLOOKUP('PREENCHIMENTO|LETIVAS'!A1567,PARAMETROS!A:A,PARAMETROS!I:I)=0,"",_xlfn.XLOOKUP('PREENCHIMENTO|LETIVAS'!A1567,PARAMETROS!A:A,PARAMETROS!I:I))</f>
        <v/>
      </c>
      <c r="F1567" s="3"/>
      <c r="G1567" s="3"/>
      <c r="H1567" s="3"/>
      <c r="I1567" s="3"/>
      <c r="J1567" s="3"/>
      <c r="K1567" s="3"/>
      <c r="L1567" s="19"/>
    </row>
    <row r="1568" spans="1:12">
      <c r="A1568" s="3"/>
      <c r="B1568" t="str">
        <f>IF(_xlfn.XLOOKUP(A1568,PARAMETROS!A:A,PARAMETROS!B:B)=0,"",_xlfn.XLOOKUP(A1568,PARAMETROS!A:A,PARAMETROS!B:B))</f>
        <v/>
      </c>
      <c r="C1568" t="str">
        <f>IF(_xlfn.XLOOKUP(A1568,PARAMETROS!A:A,PARAMETROS!C:C)=0,"",_xlfn.XLOOKUP(A1568,PARAMETROS!A:A,PARAMETROS!C:C))</f>
        <v/>
      </c>
      <c r="D1568" t="str">
        <f>IF(_xlfn.XLOOKUP(A1568,PARAMETROS!A:A,PARAMETROS!D:D)=0,"",_xlfn.XLOOKUP(A1568,PARAMETROS!A:A,PARAMETROS!D:D))</f>
        <v/>
      </c>
      <c r="E1568" t="str">
        <f>IF(_xlfn.XLOOKUP('PREENCHIMENTO|LETIVAS'!A1568,PARAMETROS!A:A,PARAMETROS!I:I)=0,"",_xlfn.XLOOKUP('PREENCHIMENTO|LETIVAS'!A1568,PARAMETROS!A:A,PARAMETROS!I:I))</f>
        <v/>
      </c>
      <c r="F1568" s="3"/>
      <c r="G1568" s="3"/>
      <c r="H1568" s="3"/>
      <c r="I1568" s="3"/>
      <c r="J1568" s="3"/>
      <c r="K1568" s="3"/>
      <c r="L1568" s="19"/>
    </row>
    <row r="1569" spans="1:12">
      <c r="A1569" s="3"/>
      <c r="B1569" t="str">
        <f>IF(_xlfn.XLOOKUP(A1569,PARAMETROS!A:A,PARAMETROS!B:B)=0,"",_xlfn.XLOOKUP(A1569,PARAMETROS!A:A,PARAMETROS!B:B))</f>
        <v/>
      </c>
      <c r="C1569" t="str">
        <f>IF(_xlfn.XLOOKUP(A1569,PARAMETROS!A:A,PARAMETROS!C:C)=0,"",_xlfn.XLOOKUP(A1569,PARAMETROS!A:A,PARAMETROS!C:C))</f>
        <v/>
      </c>
      <c r="D1569" t="str">
        <f>IF(_xlfn.XLOOKUP(A1569,PARAMETROS!A:A,PARAMETROS!D:D)=0,"",_xlfn.XLOOKUP(A1569,PARAMETROS!A:A,PARAMETROS!D:D))</f>
        <v/>
      </c>
      <c r="E1569" t="str">
        <f>IF(_xlfn.XLOOKUP('PREENCHIMENTO|LETIVAS'!A1569,PARAMETROS!A:A,PARAMETROS!I:I)=0,"",_xlfn.XLOOKUP('PREENCHIMENTO|LETIVAS'!A1569,PARAMETROS!A:A,PARAMETROS!I:I))</f>
        <v/>
      </c>
      <c r="F1569" s="3"/>
      <c r="G1569" s="3"/>
      <c r="H1569" s="3"/>
      <c r="I1569" s="3"/>
      <c r="J1569" s="3"/>
      <c r="K1569" s="3"/>
      <c r="L1569" s="19"/>
    </row>
    <row r="1570" spans="1:12">
      <c r="A1570" s="3"/>
      <c r="B1570" t="str">
        <f>IF(_xlfn.XLOOKUP(A1570,PARAMETROS!A:A,PARAMETROS!B:B)=0,"",_xlfn.XLOOKUP(A1570,PARAMETROS!A:A,PARAMETROS!B:B))</f>
        <v/>
      </c>
      <c r="C1570" t="str">
        <f>IF(_xlfn.XLOOKUP(A1570,PARAMETROS!A:A,PARAMETROS!C:C)=0,"",_xlfn.XLOOKUP(A1570,PARAMETROS!A:A,PARAMETROS!C:C))</f>
        <v/>
      </c>
      <c r="D1570" t="str">
        <f>IF(_xlfn.XLOOKUP(A1570,PARAMETROS!A:A,PARAMETROS!D:D)=0,"",_xlfn.XLOOKUP(A1570,PARAMETROS!A:A,PARAMETROS!D:D))</f>
        <v/>
      </c>
      <c r="E1570" t="str">
        <f>IF(_xlfn.XLOOKUP('PREENCHIMENTO|LETIVAS'!A1570,PARAMETROS!A:A,PARAMETROS!I:I)=0,"",_xlfn.XLOOKUP('PREENCHIMENTO|LETIVAS'!A1570,PARAMETROS!A:A,PARAMETROS!I:I))</f>
        <v/>
      </c>
      <c r="F1570" s="3"/>
      <c r="G1570" s="3"/>
      <c r="H1570" s="3"/>
      <c r="I1570" s="3"/>
      <c r="J1570" s="3"/>
      <c r="K1570" s="3"/>
      <c r="L1570" s="19"/>
    </row>
    <row r="1571" spans="1:12">
      <c r="A1571" s="3"/>
      <c r="B1571" t="str">
        <f>IF(_xlfn.XLOOKUP(A1571,PARAMETROS!A:A,PARAMETROS!B:B)=0,"",_xlfn.XLOOKUP(A1571,PARAMETROS!A:A,PARAMETROS!B:B))</f>
        <v/>
      </c>
      <c r="C1571" t="str">
        <f>IF(_xlfn.XLOOKUP(A1571,PARAMETROS!A:A,PARAMETROS!C:C)=0,"",_xlfn.XLOOKUP(A1571,PARAMETROS!A:A,PARAMETROS!C:C))</f>
        <v/>
      </c>
      <c r="D1571" t="str">
        <f>IF(_xlfn.XLOOKUP(A1571,PARAMETROS!A:A,PARAMETROS!D:D)=0,"",_xlfn.XLOOKUP(A1571,PARAMETROS!A:A,PARAMETROS!D:D))</f>
        <v/>
      </c>
      <c r="E1571" t="str">
        <f>IF(_xlfn.XLOOKUP('PREENCHIMENTO|LETIVAS'!A1571,PARAMETROS!A:A,PARAMETROS!I:I)=0,"",_xlfn.XLOOKUP('PREENCHIMENTO|LETIVAS'!A1571,PARAMETROS!A:A,PARAMETROS!I:I))</f>
        <v/>
      </c>
      <c r="F1571" s="3"/>
      <c r="G1571" s="3"/>
      <c r="H1571" s="3"/>
      <c r="I1571" s="3"/>
      <c r="J1571" s="3"/>
      <c r="K1571" s="3"/>
      <c r="L1571" s="19"/>
    </row>
    <row r="1572" spans="1:12">
      <c r="A1572" s="3"/>
      <c r="B1572" t="str">
        <f>IF(_xlfn.XLOOKUP(A1572,PARAMETROS!A:A,PARAMETROS!B:B)=0,"",_xlfn.XLOOKUP(A1572,PARAMETROS!A:A,PARAMETROS!B:B))</f>
        <v/>
      </c>
      <c r="C1572" t="str">
        <f>IF(_xlfn.XLOOKUP(A1572,PARAMETROS!A:A,PARAMETROS!C:C)=0,"",_xlfn.XLOOKUP(A1572,PARAMETROS!A:A,PARAMETROS!C:C))</f>
        <v/>
      </c>
      <c r="D1572" t="str">
        <f>IF(_xlfn.XLOOKUP(A1572,PARAMETROS!A:A,PARAMETROS!D:D)=0,"",_xlfn.XLOOKUP(A1572,PARAMETROS!A:A,PARAMETROS!D:D))</f>
        <v/>
      </c>
      <c r="E1572" t="str">
        <f>IF(_xlfn.XLOOKUP('PREENCHIMENTO|LETIVAS'!A1572,PARAMETROS!A:A,PARAMETROS!I:I)=0,"",_xlfn.XLOOKUP('PREENCHIMENTO|LETIVAS'!A1572,PARAMETROS!A:A,PARAMETROS!I:I))</f>
        <v/>
      </c>
      <c r="F1572" s="3"/>
      <c r="G1572" s="3"/>
      <c r="H1572" s="3"/>
      <c r="I1572" s="3"/>
      <c r="J1572" s="3"/>
      <c r="K1572" s="3"/>
      <c r="L1572" s="19"/>
    </row>
    <row r="1573" spans="1:12">
      <c r="A1573" s="3"/>
      <c r="B1573" t="str">
        <f>IF(_xlfn.XLOOKUP(A1573,PARAMETROS!A:A,PARAMETROS!B:B)=0,"",_xlfn.XLOOKUP(A1573,PARAMETROS!A:A,PARAMETROS!B:B))</f>
        <v/>
      </c>
      <c r="C1573" t="str">
        <f>IF(_xlfn.XLOOKUP(A1573,PARAMETROS!A:A,PARAMETROS!C:C)=0,"",_xlfn.XLOOKUP(A1573,PARAMETROS!A:A,PARAMETROS!C:C))</f>
        <v/>
      </c>
      <c r="D1573" t="str">
        <f>IF(_xlfn.XLOOKUP(A1573,PARAMETROS!A:A,PARAMETROS!D:D)=0,"",_xlfn.XLOOKUP(A1573,PARAMETROS!A:A,PARAMETROS!D:D))</f>
        <v/>
      </c>
      <c r="E1573" t="str">
        <f>IF(_xlfn.XLOOKUP('PREENCHIMENTO|LETIVAS'!A1573,PARAMETROS!A:A,PARAMETROS!I:I)=0,"",_xlfn.XLOOKUP('PREENCHIMENTO|LETIVAS'!A1573,PARAMETROS!A:A,PARAMETROS!I:I))</f>
        <v/>
      </c>
      <c r="F1573" s="3"/>
      <c r="G1573" s="3"/>
      <c r="H1573" s="3"/>
      <c r="I1573" s="3"/>
      <c r="J1573" s="3"/>
      <c r="K1573" s="3"/>
      <c r="L1573" s="19"/>
    </row>
    <row r="1574" spans="1:12">
      <c r="A1574" s="3"/>
      <c r="B1574" t="str">
        <f>IF(_xlfn.XLOOKUP(A1574,PARAMETROS!A:A,PARAMETROS!B:B)=0,"",_xlfn.XLOOKUP(A1574,PARAMETROS!A:A,PARAMETROS!B:B))</f>
        <v/>
      </c>
      <c r="C1574" t="str">
        <f>IF(_xlfn.XLOOKUP(A1574,PARAMETROS!A:A,PARAMETROS!C:C)=0,"",_xlfn.XLOOKUP(A1574,PARAMETROS!A:A,PARAMETROS!C:C))</f>
        <v/>
      </c>
      <c r="D1574" t="str">
        <f>IF(_xlfn.XLOOKUP(A1574,PARAMETROS!A:A,PARAMETROS!D:D)=0,"",_xlfn.XLOOKUP(A1574,PARAMETROS!A:A,PARAMETROS!D:D))</f>
        <v/>
      </c>
      <c r="E1574" t="str">
        <f>IF(_xlfn.XLOOKUP('PREENCHIMENTO|LETIVAS'!A1574,PARAMETROS!A:A,PARAMETROS!I:I)=0,"",_xlfn.XLOOKUP('PREENCHIMENTO|LETIVAS'!A1574,PARAMETROS!A:A,PARAMETROS!I:I))</f>
        <v/>
      </c>
      <c r="F1574" s="3"/>
      <c r="G1574" s="3"/>
      <c r="H1574" s="3"/>
      <c r="I1574" s="3"/>
      <c r="J1574" s="3"/>
      <c r="K1574" s="3"/>
      <c r="L1574" s="19"/>
    </row>
    <row r="1575" spans="1:12">
      <c r="A1575" s="3"/>
      <c r="B1575" t="str">
        <f>IF(_xlfn.XLOOKUP(A1575,PARAMETROS!A:A,PARAMETROS!B:B)=0,"",_xlfn.XLOOKUP(A1575,PARAMETROS!A:A,PARAMETROS!B:B))</f>
        <v/>
      </c>
      <c r="C1575" t="str">
        <f>IF(_xlfn.XLOOKUP(A1575,PARAMETROS!A:A,PARAMETROS!C:C)=0,"",_xlfn.XLOOKUP(A1575,PARAMETROS!A:A,PARAMETROS!C:C))</f>
        <v/>
      </c>
      <c r="D1575" t="str">
        <f>IF(_xlfn.XLOOKUP(A1575,PARAMETROS!A:A,PARAMETROS!D:D)=0,"",_xlfn.XLOOKUP(A1575,PARAMETROS!A:A,PARAMETROS!D:D))</f>
        <v/>
      </c>
      <c r="E1575" t="str">
        <f>IF(_xlfn.XLOOKUP('PREENCHIMENTO|LETIVAS'!A1575,PARAMETROS!A:A,PARAMETROS!I:I)=0,"",_xlfn.XLOOKUP('PREENCHIMENTO|LETIVAS'!A1575,PARAMETROS!A:A,PARAMETROS!I:I))</f>
        <v/>
      </c>
      <c r="F1575" s="3"/>
      <c r="G1575" s="3"/>
      <c r="H1575" s="3"/>
      <c r="I1575" s="3"/>
      <c r="J1575" s="3"/>
      <c r="K1575" s="3"/>
      <c r="L1575" s="19"/>
    </row>
    <row r="1576" spans="1:12">
      <c r="A1576" s="3"/>
      <c r="B1576" t="str">
        <f>IF(_xlfn.XLOOKUP(A1576,PARAMETROS!A:A,PARAMETROS!B:B)=0,"",_xlfn.XLOOKUP(A1576,PARAMETROS!A:A,PARAMETROS!B:B))</f>
        <v/>
      </c>
      <c r="C1576" t="str">
        <f>IF(_xlfn.XLOOKUP(A1576,PARAMETROS!A:A,PARAMETROS!C:C)=0,"",_xlfn.XLOOKUP(A1576,PARAMETROS!A:A,PARAMETROS!C:C))</f>
        <v/>
      </c>
      <c r="D1576" t="str">
        <f>IF(_xlfn.XLOOKUP(A1576,PARAMETROS!A:A,PARAMETROS!D:D)=0,"",_xlfn.XLOOKUP(A1576,PARAMETROS!A:A,PARAMETROS!D:D))</f>
        <v/>
      </c>
      <c r="E1576" t="str">
        <f>IF(_xlfn.XLOOKUP('PREENCHIMENTO|LETIVAS'!A1576,PARAMETROS!A:A,PARAMETROS!I:I)=0,"",_xlfn.XLOOKUP('PREENCHIMENTO|LETIVAS'!A1576,PARAMETROS!A:A,PARAMETROS!I:I))</f>
        <v/>
      </c>
      <c r="F1576" s="3"/>
      <c r="G1576" s="3"/>
      <c r="H1576" s="3"/>
      <c r="I1576" s="3"/>
      <c r="J1576" s="3"/>
      <c r="K1576" s="3"/>
      <c r="L1576" s="19"/>
    </row>
    <row r="1577" spans="1:12">
      <c r="A1577" s="3"/>
      <c r="B1577" t="str">
        <f>IF(_xlfn.XLOOKUP(A1577,PARAMETROS!A:A,PARAMETROS!B:B)=0,"",_xlfn.XLOOKUP(A1577,PARAMETROS!A:A,PARAMETROS!B:B))</f>
        <v/>
      </c>
      <c r="C1577" t="str">
        <f>IF(_xlfn.XLOOKUP(A1577,PARAMETROS!A:A,PARAMETROS!C:C)=0,"",_xlfn.XLOOKUP(A1577,PARAMETROS!A:A,PARAMETROS!C:C))</f>
        <v/>
      </c>
      <c r="D1577" t="str">
        <f>IF(_xlfn.XLOOKUP(A1577,PARAMETROS!A:A,PARAMETROS!D:D)=0,"",_xlfn.XLOOKUP(A1577,PARAMETROS!A:A,PARAMETROS!D:D))</f>
        <v/>
      </c>
      <c r="E1577" t="str">
        <f>IF(_xlfn.XLOOKUP('PREENCHIMENTO|LETIVAS'!A1577,PARAMETROS!A:A,PARAMETROS!I:I)=0,"",_xlfn.XLOOKUP('PREENCHIMENTO|LETIVAS'!A1577,PARAMETROS!A:A,PARAMETROS!I:I))</f>
        <v/>
      </c>
      <c r="F1577" s="3"/>
      <c r="G1577" s="3"/>
      <c r="H1577" s="3"/>
      <c r="I1577" s="3"/>
      <c r="J1577" s="3"/>
      <c r="K1577" s="3"/>
      <c r="L1577" s="19"/>
    </row>
    <row r="1578" spans="1:12">
      <c r="A1578" s="3"/>
      <c r="B1578" t="str">
        <f>IF(_xlfn.XLOOKUP(A1578,PARAMETROS!A:A,PARAMETROS!B:B)=0,"",_xlfn.XLOOKUP(A1578,PARAMETROS!A:A,PARAMETROS!B:B))</f>
        <v/>
      </c>
      <c r="C1578" t="str">
        <f>IF(_xlfn.XLOOKUP(A1578,PARAMETROS!A:A,PARAMETROS!C:C)=0,"",_xlfn.XLOOKUP(A1578,PARAMETROS!A:A,PARAMETROS!C:C))</f>
        <v/>
      </c>
      <c r="D1578" t="str">
        <f>IF(_xlfn.XLOOKUP(A1578,PARAMETROS!A:A,PARAMETROS!D:D)=0,"",_xlfn.XLOOKUP(A1578,PARAMETROS!A:A,PARAMETROS!D:D))</f>
        <v/>
      </c>
      <c r="E1578" t="str">
        <f>IF(_xlfn.XLOOKUP('PREENCHIMENTO|LETIVAS'!A1578,PARAMETROS!A:A,PARAMETROS!I:I)=0,"",_xlfn.XLOOKUP('PREENCHIMENTO|LETIVAS'!A1578,PARAMETROS!A:A,PARAMETROS!I:I))</f>
        <v/>
      </c>
      <c r="F1578" s="3"/>
      <c r="G1578" s="3"/>
      <c r="H1578" s="3"/>
      <c r="I1578" s="3"/>
      <c r="J1578" s="3"/>
      <c r="K1578" s="3"/>
      <c r="L1578" s="19"/>
    </row>
    <row r="1579" spans="1:12">
      <c r="A1579" s="3"/>
      <c r="B1579" t="str">
        <f>IF(_xlfn.XLOOKUP(A1579,PARAMETROS!A:A,PARAMETROS!B:B)=0,"",_xlfn.XLOOKUP(A1579,PARAMETROS!A:A,PARAMETROS!B:B))</f>
        <v/>
      </c>
      <c r="C1579" t="str">
        <f>IF(_xlfn.XLOOKUP(A1579,PARAMETROS!A:A,PARAMETROS!C:C)=0,"",_xlfn.XLOOKUP(A1579,PARAMETROS!A:A,PARAMETROS!C:C))</f>
        <v/>
      </c>
      <c r="D1579" t="str">
        <f>IF(_xlfn.XLOOKUP(A1579,PARAMETROS!A:A,PARAMETROS!D:D)=0,"",_xlfn.XLOOKUP(A1579,PARAMETROS!A:A,PARAMETROS!D:D))</f>
        <v/>
      </c>
      <c r="E1579" t="str">
        <f>IF(_xlfn.XLOOKUP('PREENCHIMENTO|LETIVAS'!A1579,PARAMETROS!A:A,PARAMETROS!I:I)=0,"",_xlfn.XLOOKUP('PREENCHIMENTO|LETIVAS'!A1579,PARAMETROS!A:A,PARAMETROS!I:I))</f>
        <v/>
      </c>
      <c r="F1579" s="3"/>
      <c r="G1579" s="3"/>
      <c r="H1579" s="3"/>
      <c r="I1579" s="3"/>
      <c r="J1579" s="3"/>
      <c r="K1579" s="3"/>
      <c r="L1579" s="19"/>
    </row>
    <row r="1580" spans="1:12">
      <c r="A1580" s="3"/>
      <c r="B1580" t="str">
        <f>IF(_xlfn.XLOOKUP(A1580,PARAMETROS!A:A,PARAMETROS!B:B)=0,"",_xlfn.XLOOKUP(A1580,PARAMETROS!A:A,PARAMETROS!B:B))</f>
        <v/>
      </c>
      <c r="C1580" t="str">
        <f>IF(_xlfn.XLOOKUP(A1580,PARAMETROS!A:A,PARAMETROS!C:C)=0,"",_xlfn.XLOOKUP(A1580,PARAMETROS!A:A,PARAMETROS!C:C))</f>
        <v/>
      </c>
      <c r="D1580" t="str">
        <f>IF(_xlfn.XLOOKUP(A1580,PARAMETROS!A:A,PARAMETROS!D:D)=0,"",_xlfn.XLOOKUP(A1580,PARAMETROS!A:A,PARAMETROS!D:D))</f>
        <v/>
      </c>
      <c r="E1580" t="str">
        <f>IF(_xlfn.XLOOKUP('PREENCHIMENTO|LETIVAS'!A1580,PARAMETROS!A:A,PARAMETROS!I:I)=0,"",_xlfn.XLOOKUP('PREENCHIMENTO|LETIVAS'!A1580,PARAMETROS!A:A,PARAMETROS!I:I))</f>
        <v/>
      </c>
      <c r="F1580" s="3"/>
      <c r="G1580" s="3"/>
      <c r="H1580" s="3"/>
      <c r="I1580" s="3"/>
      <c r="J1580" s="3"/>
      <c r="K1580" s="3"/>
      <c r="L1580" s="19"/>
    </row>
    <row r="1581" spans="1:12">
      <c r="A1581" s="3"/>
      <c r="B1581" t="str">
        <f>IF(_xlfn.XLOOKUP(A1581,PARAMETROS!A:A,PARAMETROS!B:B)=0,"",_xlfn.XLOOKUP(A1581,PARAMETROS!A:A,PARAMETROS!B:B))</f>
        <v/>
      </c>
      <c r="C1581" t="str">
        <f>IF(_xlfn.XLOOKUP(A1581,PARAMETROS!A:A,PARAMETROS!C:C)=0,"",_xlfn.XLOOKUP(A1581,PARAMETROS!A:A,PARAMETROS!C:C))</f>
        <v/>
      </c>
      <c r="D1581" t="str">
        <f>IF(_xlfn.XLOOKUP(A1581,PARAMETROS!A:A,PARAMETROS!D:D)=0,"",_xlfn.XLOOKUP(A1581,PARAMETROS!A:A,PARAMETROS!D:D))</f>
        <v/>
      </c>
      <c r="E1581" t="str">
        <f>IF(_xlfn.XLOOKUP('PREENCHIMENTO|LETIVAS'!A1581,PARAMETROS!A:A,PARAMETROS!I:I)=0,"",_xlfn.XLOOKUP('PREENCHIMENTO|LETIVAS'!A1581,PARAMETROS!A:A,PARAMETROS!I:I))</f>
        <v/>
      </c>
      <c r="F1581" s="3"/>
      <c r="G1581" s="3"/>
      <c r="H1581" s="3"/>
      <c r="I1581" s="3"/>
      <c r="J1581" s="3"/>
      <c r="K1581" s="3"/>
      <c r="L1581" s="19"/>
    </row>
    <row r="1582" spans="1:12">
      <c r="A1582" s="3"/>
      <c r="B1582" t="str">
        <f>IF(_xlfn.XLOOKUP(A1582,PARAMETROS!A:A,PARAMETROS!B:B)=0,"",_xlfn.XLOOKUP(A1582,PARAMETROS!A:A,PARAMETROS!B:B))</f>
        <v/>
      </c>
      <c r="C1582" t="str">
        <f>IF(_xlfn.XLOOKUP(A1582,PARAMETROS!A:A,PARAMETROS!C:C)=0,"",_xlfn.XLOOKUP(A1582,PARAMETROS!A:A,PARAMETROS!C:C))</f>
        <v/>
      </c>
      <c r="D1582" t="str">
        <f>IF(_xlfn.XLOOKUP(A1582,PARAMETROS!A:A,PARAMETROS!D:D)=0,"",_xlfn.XLOOKUP(A1582,PARAMETROS!A:A,PARAMETROS!D:D))</f>
        <v/>
      </c>
      <c r="E1582" t="str">
        <f>IF(_xlfn.XLOOKUP('PREENCHIMENTO|LETIVAS'!A1582,PARAMETROS!A:A,PARAMETROS!I:I)=0,"",_xlfn.XLOOKUP('PREENCHIMENTO|LETIVAS'!A1582,PARAMETROS!A:A,PARAMETROS!I:I))</f>
        <v/>
      </c>
      <c r="F1582" s="3"/>
      <c r="G1582" s="3"/>
      <c r="H1582" s="3"/>
      <c r="I1582" s="3"/>
      <c r="J1582" s="3"/>
      <c r="K1582" s="3"/>
      <c r="L1582" s="19"/>
    </row>
    <row r="1583" spans="1:12">
      <c r="A1583" s="3"/>
      <c r="B1583" t="str">
        <f>IF(_xlfn.XLOOKUP(A1583,PARAMETROS!A:A,PARAMETROS!B:B)=0,"",_xlfn.XLOOKUP(A1583,PARAMETROS!A:A,PARAMETROS!B:B))</f>
        <v/>
      </c>
      <c r="C1583" t="str">
        <f>IF(_xlfn.XLOOKUP(A1583,PARAMETROS!A:A,PARAMETROS!C:C)=0,"",_xlfn.XLOOKUP(A1583,PARAMETROS!A:A,PARAMETROS!C:C))</f>
        <v/>
      </c>
      <c r="D1583" t="str">
        <f>IF(_xlfn.XLOOKUP(A1583,PARAMETROS!A:A,PARAMETROS!D:D)=0,"",_xlfn.XLOOKUP(A1583,PARAMETROS!A:A,PARAMETROS!D:D))</f>
        <v/>
      </c>
      <c r="E1583" t="str">
        <f>IF(_xlfn.XLOOKUP('PREENCHIMENTO|LETIVAS'!A1583,PARAMETROS!A:A,PARAMETROS!I:I)=0,"",_xlfn.XLOOKUP('PREENCHIMENTO|LETIVAS'!A1583,PARAMETROS!A:A,PARAMETROS!I:I))</f>
        <v/>
      </c>
      <c r="F1583" s="3"/>
      <c r="G1583" s="3"/>
      <c r="H1583" s="3"/>
      <c r="I1583" s="3"/>
      <c r="J1583" s="3"/>
      <c r="K1583" s="3"/>
      <c r="L1583" s="19"/>
    </row>
    <row r="1584" spans="1:12">
      <c r="A1584" s="3"/>
      <c r="B1584" t="str">
        <f>IF(_xlfn.XLOOKUP(A1584,PARAMETROS!A:A,PARAMETROS!B:B)=0,"",_xlfn.XLOOKUP(A1584,PARAMETROS!A:A,PARAMETROS!B:B))</f>
        <v/>
      </c>
      <c r="C1584" t="str">
        <f>IF(_xlfn.XLOOKUP(A1584,PARAMETROS!A:A,PARAMETROS!C:C)=0,"",_xlfn.XLOOKUP(A1584,PARAMETROS!A:A,PARAMETROS!C:C))</f>
        <v/>
      </c>
      <c r="D1584" t="str">
        <f>IF(_xlfn.XLOOKUP(A1584,PARAMETROS!A:A,PARAMETROS!D:D)=0,"",_xlfn.XLOOKUP(A1584,PARAMETROS!A:A,PARAMETROS!D:D))</f>
        <v/>
      </c>
      <c r="E1584" t="str">
        <f>IF(_xlfn.XLOOKUP('PREENCHIMENTO|LETIVAS'!A1584,PARAMETROS!A:A,PARAMETROS!I:I)=0,"",_xlfn.XLOOKUP('PREENCHIMENTO|LETIVAS'!A1584,PARAMETROS!A:A,PARAMETROS!I:I))</f>
        <v/>
      </c>
      <c r="F1584" s="3"/>
      <c r="G1584" s="3"/>
      <c r="H1584" s="3"/>
      <c r="I1584" s="3"/>
      <c r="J1584" s="3"/>
      <c r="K1584" s="3"/>
      <c r="L1584" s="19"/>
    </row>
    <row r="1585" spans="1:12">
      <c r="A1585" s="3"/>
      <c r="B1585" t="str">
        <f>IF(_xlfn.XLOOKUP(A1585,PARAMETROS!A:A,PARAMETROS!B:B)=0,"",_xlfn.XLOOKUP(A1585,PARAMETROS!A:A,PARAMETROS!B:B))</f>
        <v/>
      </c>
      <c r="C1585" t="str">
        <f>IF(_xlfn.XLOOKUP(A1585,PARAMETROS!A:A,PARAMETROS!C:C)=0,"",_xlfn.XLOOKUP(A1585,PARAMETROS!A:A,PARAMETROS!C:C))</f>
        <v/>
      </c>
      <c r="D1585" t="str">
        <f>IF(_xlfn.XLOOKUP(A1585,PARAMETROS!A:A,PARAMETROS!D:D)=0,"",_xlfn.XLOOKUP(A1585,PARAMETROS!A:A,PARAMETROS!D:D))</f>
        <v/>
      </c>
      <c r="E1585" t="str">
        <f>IF(_xlfn.XLOOKUP('PREENCHIMENTO|LETIVAS'!A1585,PARAMETROS!A:A,PARAMETROS!I:I)=0,"",_xlfn.XLOOKUP('PREENCHIMENTO|LETIVAS'!A1585,PARAMETROS!A:A,PARAMETROS!I:I))</f>
        <v/>
      </c>
      <c r="F1585" s="3"/>
      <c r="G1585" s="3"/>
      <c r="H1585" s="3"/>
      <c r="I1585" s="3"/>
      <c r="J1585" s="3"/>
      <c r="K1585" s="3"/>
      <c r="L1585" s="19"/>
    </row>
    <row r="1586" spans="1:12">
      <c r="A1586" s="3"/>
      <c r="B1586" t="str">
        <f>IF(_xlfn.XLOOKUP(A1586,PARAMETROS!A:A,PARAMETROS!B:B)=0,"",_xlfn.XLOOKUP(A1586,PARAMETROS!A:A,PARAMETROS!B:B))</f>
        <v/>
      </c>
      <c r="C1586" t="str">
        <f>IF(_xlfn.XLOOKUP(A1586,PARAMETROS!A:A,PARAMETROS!C:C)=0,"",_xlfn.XLOOKUP(A1586,PARAMETROS!A:A,PARAMETROS!C:C))</f>
        <v/>
      </c>
      <c r="D1586" t="str">
        <f>IF(_xlfn.XLOOKUP(A1586,PARAMETROS!A:A,PARAMETROS!D:D)=0,"",_xlfn.XLOOKUP(A1586,PARAMETROS!A:A,PARAMETROS!D:D))</f>
        <v/>
      </c>
      <c r="E1586" t="str">
        <f>IF(_xlfn.XLOOKUP('PREENCHIMENTO|LETIVAS'!A1586,PARAMETROS!A:A,PARAMETROS!I:I)=0,"",_xlfn.XLOOKUP('PREENCHIMENTO|LETIVAS'!A1586,PARAMETROS!A:A,PARAMETROS!I:I))</f>
        <v/>
      </c>
      <c r="F1586" s="3"/>
      <c r="G1586" s="3"/>
      <c r="H1586" s="3"/>
      <c r="I1586" s="3"/>
      <c r="J1586" s="3"/>
      <c r="K1586" s="3"/>
      <c r="L1586" s="19"/>
    </row>
    <row r="1587" spans="1:12">
      <c r="A1587" s="3"/>
      <c r="B1587" t="str">
        <f>IF(_xlfn.XLOOKUP(A1587,PARAMETROS!A:A,PARAMETROS!B:B)=0,"",_xlfn.XLOOKUP(A1587,PARAMETROS!A:A,PARAMETROS!B:B))</f>
        <v/>
      </c>
      <c r="C1587" t="str">
        <f>IF(_xlfn.XLOOKUP(A1587,PARAMETROS!A:A,PARAMETROS!C:C)=0,"",_xlfn.XLOOKUP(A1587,PARAMETROS!A:A,PARAMETROS!C:C))</f>
        <v/>
      </c>
      <c r="D1587" t="str">
        <f>IF(_xlfn.XLOOKUP(A1587,PARAMETROS!A:A,PARAMETROS!D:D)=0,"",_xlfn.XLOOKUP(A1587,PARAMETROS!A:A,PARAMETROS!D:D))</f>
        <v/>
      </c>
      <c r="E1587" t="str">
        <f>IF(_xlfn.XLOOKUP('PREENCHIMENTO|LETIVAS'!A1587,PARAMETROS!A:A,PARAMETROS!I:I)=0,"",_xlfn.XLOOKUP('PREENCHIMENTO|LETIVAS'!A1587,PARAMETROS!A:A,PARAMETROS!I:I))</f>
        <v/>
      </c>
      <c r="F1587" s="3"/>
      <c r="G1587" s="3"/>
      <c r="H1587" s="3"/>
      <c r="I1587" s="3"/>
      <c r="J1587" s="3"/>
      <c r="K1587" s="3"/>
      <c r="L1587" s="19"/>
    </row>
    <row r="1588" spans="1:12">
      <c r="A1588" s="3"/>
      <c r="B1588" t="str">
        <f>IF(_xlfn.XLOOKUP(A1588,PARAMETROS!A:A,PARAMETROS!B:B)=0,"",_xlfn.XLOOKUP(A1588,PARAMETROS!A:A,PARAMETROS!B:B))</f>
        <v/>
      </c>
      <c r="C1588" t="str">
        <f>IF(_xlfn.XLOOKUP(A1588,PARAMETROS!A:A,PARAMETROS!C:C)=0,"",_xlfn.XLOOKUP(A1588,PARAMETROS!A:A,PARAMETROS!C:C))</f>
        <v/>
      </c>
      <c r="D1588" t="str">
        <f>IF(_xlfn.XLOOKUP(A1588,PARAMETROS!A:A,PARAMETROS!D:D)=0,"",_xlfn.XLOOKUP(A1588,PARAMETROS!A:A,PARAMETROS!D:D))</f>
        <v/>
      </c>
      <c r="E1588" t="str">
        <f>IF(_xlfn.XLOOKUP('PREENCHIMENTO|LETIVAS'!A1588,PARAMETROS!A:A,PARAMETROS!I:I)=0,"",_xlfn.XLOOKUP('PREENCHIMENTO|LETIVAS'!A1588,PARAMETROS!A:A,PARAMETROS!I:I))</f>
        <v/>
      </c>
      <c r="F1588" s="3"/>
      <c r="G1588" s="3"/>
      <c r="H1588" s="3"/>
      <c r="I1588" s="3"/>
      <c r="J1588" s="3"/>
      <c r="K1588" s="3"/>
      <c r="L1588" s="19"/>
    </row>
    <row r="1589" spans="1:12">
      <c r="A1589" s="3"/>
      <c r="B1589" t="str">
        <f>IF(_xlfn.XLOOKUP(A1589,PARAMETROS!A:A,PARAMETROS!B:B)=0,"",_xlfn.XLOOKUP(A1589,PARAMETROS!A:A,PARAMETROS!B:B))</f>
        <v/>
      </c>
      <c r="C1589" t="str">
        <f>IF(_xlfn.XLOOKUP(A1589,PARAMETROS!A:A,PARAMETROS!C:C)=0,"",_xlfn.XLOOKUP(A1589,PARAMETROS!A:A,PARAMETROS!C:C))</f>
        <v/>
      </c>
      <c r="D1589" t="str">
        <f>IF(_xlfn.XLOOKUP(A1589,PARAMETROS!A:A,PARAMETROS!D:D)=0,"",_xlfn.XLOOKUP(A1589,PARAMETROS!A:A,PARAMETROS!D:D))</f>
        <v/>
      </c>
      <c r="E1589" t="str">
        <f>IF(_xlfn.XLOOKUP('PREENCHIMENTO|LETIVAS'!A1589,PARAMETROS!A:A,PARAMETROS!I:I)=0,"",_xlfn.XLOOKUP('PREENCHIMENTO|LETIVAS'!A1589,PARAMETROS!A:A,PARAMETROS!I:I))</f>
        <v/>
      </c>
      <c r="F1589" s="3"/>
      <c r="G1589" s="3"/>
      <c r="H1589" s="3"/>
      <c r="I1589" s="3"/>
      <c r="J1589" s="3"/>
      <c r="K1589" s="3"/>
      <c r="L1589" s="19"/>
    </row>
    <row r="1590" spans="1:12">
      <c r="A1590" s="3"/>
      <c r="B1590" t="str">
        <f>IF(_xlfn.XLOOKUP(A1590,PARAMETROS!A:A,PARAMETROS!B:B)=0,"",_xlfn.XLOOKUP(A1590,PARAMETROS!A:A,PARAMETROS!B:B))</f>
        <v/>
      </c>
      <c r="C1590" t="str">
        <f>IF(_xlfn.XLOOKUP(A1590,PARAMETROS!A:A,PARAMETROS!C:C)=0,"",_xlfn.XLOOKUP(A1590,PARAMETROS!A:A,PARAMETROS!C:C))</f>
        <v/>
      </c>
      <c r="D1590" t="str">
        <f>IF(_xlfn.XLOOKUP(A1590,PARAMETROS!A:A,PARAMETROS!D:D)=0,"",_xlfn.XLOOKUP(A1590,PARAMETROS!A:A,PARAMETROS!D:D))</f>
        <v/>
      </c>
      <c r="E1590" t="str">
        <f>IF(_xlfn.XLOOKUP('PREENCHIMENTO|LETIVAS'!A1590,PARAMETROS!A:A,PARAMETROS!I:I)=0,"",_xlfn.XLOOKUP('PREENCHIMENTO|LETIVAS'!A1590,PARAMETROS!A:A,PARAMETROS!I:I))</f>
        <v/>
      </c>
      <c r="F1590" s="3"/>
      <c r="G1590" s="3"/>
      <c r="H1590" s="3"/>
      <c r="I1590" s="3"/>
      <c r="J1590" s="3"/>
      <c r="K1590" s="3"/>
      <c r="L1590" s="19"/>
    </row>
    <row r="1591" spans="1:12">
      <c r="A1591" s="3"/>
      <c r="B1591" t="str">
        <f>IF(_xlfn.XLOOKUP(A1591,PARAMETROS!A:A,PARAMETROS!B:B)=0,"",_xlfn.XLOOKUP(A1591,PARAMETROS!A:A,PARAMETROS!B:B))</f>
        <v/>
      </c>
      <c r="C1591" t="str">
        <f>IF(_xlfn.XLOOKUP(A1591,PARAMETROS!A:A,PARAMETROS!C:C)=0,"",_xlfn.XLOOKUP(A1591,PARAMETROS!A:A,PARAMETROS!C:C))</f>
        <v/>
      </c>
      <c r="D1591" t="str">
        <f>IF(_xlfn.XLOOKUP(A1591,PARAMETROS!A:A,PARAMETROS!D:D)=0,"",_xlfn.XLOOKUP(A1591,PARAMETROS!A:A,PARAMETROS!D:D))</f>
        <v/>
      </c>
      <c r="E1591" t="str">
        <f>IF(_xlfn.XLOOKUP('PREENCHIMENTO|LETIVAS'!A1591,PARAMETROS!A:A,PARAMETROS!I:I)=0,"",_xlfn.XLOOKUP('PREENCHIMENTO|LETIVAS'!A1591,PARAMETROS!A:A,PARAMETROS!I:I))</f>
        <v/>
      </c>
      <c r="F1591" s="3"/>
      <c r="G1591" s="3"/>
      <c r="H1591" s="3"/>
      <c r="I1591" s="3"/>
      <c r="J1591" s="3"/>
      <c r="K1591" s="3"/>
      <c r="L1591" s="19"/>
    </row>
    <row r="1592" spans="1:12">
      <c r="A1592" s="3"/>
      <c r="B1592" t="str">
        <f>IF(_xlfn.XLOOKUP(A1592,PARAMETROS!A:A,PARAMETROS!B:B)=0,"",_xlfn.XLOOKUP(A1592,PARAMETROS!A:A,PARAMETROS!B:B))</f>
        <v/>
      </c>
      <c r="C1592" t="str">
        <f>IF(_xlfn.XLOOKUP(A1592,PARAMETROS!A:A,PARAMETROS!C:C)=0,"",_xlfn.XLOOKUP(A1592,PARAMETROS!A:A,PARAMETROS!C:C))</f>
        <v/>
      </c>
      <c r="D1592" t="str">
        <f>IF(_xlfn.XLOOKUP(A1592,PARAMETROS!A:A,PARAMETROS!D:D)=0,"",_xlfn.XLOOKUP(A1592,PARAMETROS!A:A,PARAMETROS!D:D))</f>
        <v/>
      </c>
      <c r="E1592" t="str">
        <f>IF(_xlfn.XLOOKUP('PREENCHIMENTO|LETIVAS'!A1592,PARAMETROS!A:A,PARAMETROS!I:I)=0,"",_xlfn.XLOOKUP('PREENCHIMENTO|LETIVAS'!A1592,PARAMETROS!A:A,PARAMETROS!I:I))</f>
        <v/>
      </c>
      <c r="F1592" s="3"/>
      <c r="G1592" s="3"/>
      <c r="H1592" s="3"/>
      <c r="I1592" s="3"/>
      <c r="J1592" s="3"/>
      <c r="K1592" s="3"/>
      <c r="L1592" s="19"/>
    </row>
    <row r="1593" spans="1:12">
      <c r="A1593" s="3"/>
      <c r="B1593" t="str">
        <f>IF(_xlfn.XLOOKUP(A1593,PARAMETROS!A:A,PARAMETROS!B:B)=0,"",_xlfn.XLOOKUP(A1593,PARAMETROS!A:A,PARAMETROS!B:B))</f>
        <v/>
      </c>
      <c r="C1593" t="str">
        <f>IF(_xlfn.XLOOKUP(A1593,PARAMETROS!A:A,PARAMETROS!C:C)=0,"",_xlfn.XLOOKUP(A1593,PARAMETROS!A:A,PARAMETROS!C:C))</f>
        <v/>
      </c>
      <c r="D1593" t="str">
        <f>IF(_xlfn.XLOOKUP(A1593,PARAMETROS!A:A,PARAMETROS!D:D)=0,"",_xlfn.XLOOKUP(A1593,PARAMETROS!A:A,PARAMETROS!D:D))</f>
        <v/>
      </c>
      <c r="E1593" t="str">
        <f>IF(_xlfn.XLOOKUP('PREENCHIMENTO|LETIVAS'!A1593,PARAMETROS!A:A,PARAMETROS!I:I)=0,"",_xlfn.XLOOKUP('PREENCHIMENTO|LETIVAS'!A1593,PARAMETROS!A:A,PARAMETROS!I:I))</f>
        <v/>
      </c>
      <c r="F1593" s="3"/>
      <c r="G1593" s="3"/>
      <c r="H1593" s="3"/>
      <c r="I1593" s="3"/>
      <c r="J1593" s="3"/>
      <c r="K1593" s="3"/>
      <c r="L1593" s="19"/>
    </row>
    <row r="1594" spans="1:12">
      <c r="A1594" s="3"/>
      <c r="B1594" t="str">
        <f>IF(_xlfn.XLOOKUP(A1594,PARAMETROS!A:A,PARAMETROS!B:B)=0,"",_xlfn.XLOOKUP(A1594,PARAMETROS!A:A,PARAMETROS!B:B))</f>
        <v/>
      </c>
      <c r="C1594" t="str">
        <f>IF(_xlfn.XLOOKUP(A1594,PARAMETROS!A:A,PARAMETROS!C:C)=0,"",_xlfn.XLOOKUP(A1594,PARAMETROS!A:A,PARAMETROS!C:C))</f>
        <v/>
      </c>
      <c r="D1594" t="str">
        <f>IF(_xlfn.XLOOKUP(A1594,PARAMETROS!A:A,PARAMETROS!D:D)=0,"",_xlfn.XLOOKUP(A1594,PARAMETROS!A:A,PARAMETROS!D:D))</f>
        <v/>
      </c>
      <c r="E1594" t="str">
        <f>IF(_xlfn.XLOOKUP('PREENCHIMENTO|LETIVAS'!A1594,PARAMETROS!A:A,PARAMETROS!I:I)=0,"",_xlfn.XLOOKUP('PREENCHIMENTO|LETIVAS'!A1594,PARAMETROS!A:A,PARAMETROS!I:I))</f>
        <v/>
      </c>
      <c r="F1594" s="3"/>
      <c r="G1594" s="3"/>
      <c r="H1594" s="3"/>
      <c r="I1594" s="3"/>
      <c r="J1594" s="3"/>
      <c r="K1594" s="3"/>
      <c r="L1594" s="19"/>
    </row>
    <row r="1595" spans="1:12">
      <c r="A1595" s="3"/>
      <c r="B1595" t="str">
        <f>IF(_xlfn.XLOOKUP(A1595,PARAMETROS!A:A,PARAMETROS!B:B)=0,"",_xlfn.XLOOKUP(A1595,PARAMETROS!A:A,PARAMETROS!B:B))</f>
        <v/>
      </c>
      <c r="C1595" t="str">
        <f>IF(_xlfn.XLOOKUP(A1595,PARAMETROS!A:A,PARAMETROS!C:C)=0,"",_xlfn.XLOOKUP(A1595,PARAMETROS!A:A,PARAMETROS!C:C))</f>
        <v/>
      </c>
      <c r="D1595" t="str">
        <f>IF(_xlfn.XLOOKUP(A1595,PARAMETROS!A:A,PARAMETROS!D:D)=0,"",_xlfn.XLOOKUP(A1595,PARAMETROS!A:A,PARAMETROS!D:D))</f>
        <v/>
      </c>
      <c r="E1595" t="str">
        <f>IF(_xlfn.XLOOKUP('PREENCHIMENTO|LETIVAS'!A1595,PARAMETROS!A:A,PARAMETROS!I:I)=0,"",_xlfn.XLOOKUP('PREENCHIMENTO|LETIVAS'!A1595,PARAMETROS!A:A,PARAMETROS!I:I))</f>
        <v/>
      </c>
      <c r="F1595" s="3"/>
      <c r="G1595" s="3"/>
      <c r="H1595" s="3"/>
      <c r="I1595" s="3"/>
      <c r="J1595" s="3"/>
      <c r="K1595" s="3"/>
      <c r="L1595" s="19"/>
    </row>
    <row r="1596" spans="1:12">
      <c r="A1596" s="3"/>
      <c r="B1596" t="str">
        <f>IF(_xlfn.XLOOKUP(A1596,PARAMETROS!A:A,PARAMETROS!B:B)=0,"",_xlfn.XLOOKUP(A1596,PARAMETROS!A:A,PARAMETROS!B:B))</f>
        <v/>
      </c>
      <c r="C1596" t="str">
        <f>IF(_xlfn.XLOOKUP(A1596,PARAMETROS!A:A,PARAMETROS!C:C)=0,"",_xlfn.XLOOKUP(A1596,PARAMETROS!A:A,PARAMETROS!C:C))</f>
        <v/>
      </c>
      <c r="D1596" t="str">
        <f>IF(_xlfn.XLOOKUP(A1596,PARAMETROS!A:A,PARAMETROS!D:D)=0,"",_xlfn.XLOOKUP(A1596,PARAMETROS!A:A,PARAMETROS!D:D))</f>
        <v/>
      </c>
      <c r="E1596" t="str">
        <f>IF(_xlfn.XLOOKUP('PREENCHIMENTO|LETIVAS'!A1596,PARAMETROS!A:A,PARAMETROS!I:I)=0,"",_xlfn.XLOOKUP('PREENCHIMENTO|LETIVAS'!A1596,PARAMETROS!A:A,PARAMETROS!I:I))</f>
        <v/>
      </c>
      <c r="F1596" s="3"/>
      <c r="G1596" s="3"/>
      <c r="H1596" s="3"/>
      <c r="I1596" s="3"/>
      <c r="J1596" s="3"/>
      <c r="K1596" s="3"/>
      <c r="L1596" s="19"/>
    </row>
    <row r="1597" spans="1:12">
      <c r="A1597" s="3"/>
      <c r="B1597" t="str">
        <f>IF(_xlfn.XLOOKUP(A1597,PARAMETROS!A:A,PARAMETROS!B:B)=0,"",_xlfn.XLOOKUP(A1597,PARAMETROS!A:A,PARAMETROS!B:B))</f>
        <v/>
      </c>
      <c r="C1597" t="str">
        <f>IF(_xlfn.XLOOKUP(A1597,PARAMETROS!A:A,PARAMETROS!C:C)=0,"",_xlfn.XLOOKUP(A1597,PARAMETROS!A:A,PARAMETROS!C:C))</f>
        <v/>
      </c>
      <c r="D1597" t="str">
        <f>IF(_xlfn.XLOOKUP(A1597,PARAMETROS!A:A,PARAMETROS!D:D)=0,"",_xlfn.XLOOKUP(A1597,PARAMETROS!A:A,PARAMETROS!D:D))</f>
        <v/>
      </c>
      <c r="E1597" t="str">
        <f>IF(_xlfn.XLOOKUP('PREENCHIMENTO|LETIVAS'!A1597,PARAMETROS!A:A,PARAMETROS!I:I)=0,"",_xlfn.XLOOKUP('PREENCHIMENTO|LETIVAS'!A1597,PARAMETROS!A:A,PARAMETROS!I:I))</f>
        <v/>
      </c>
      <c r="F1597" s="3"/>
      <c r="G1597" s="3"/>
      <c r="H1597" s="3"/>
      <c r="I1597" s="3"/>
      <c r="J1597" s="3"/>
      <c r="K1597" s="3"/>
      <c r="L1597" s="19"/>
    </row>
    <row r="1598" spans="1:12">
      <c r="A1598" s="3"/>
      <c r="B1598" t="str">
        <f>IF(_xlfn.XLOOKUP(A1598,PARAMETROS!A:A,PARAMETROS!B:B)=0,"",_xlfn.XLOOKUP(A1598,PARAMETROS!A:A,PARAMETROS!B:B))</f>
        <v/>
      </c>
      <c r="C1598" t="str">
        <f>IF(_xlfn.XLOOKUP(A1598,PARAMETROS!A:A,PARAMETROS!C:C)=0,"",_xlfn.XLOOKUP(A1598,PARAMETROS!A:A,PARAMETROS!C:C))</f>
        <v/>
      </c>
      <c r="D1598" t="str">
        <f>IF(_xlfn.XLOOKUP(A1598,PARAMETROS!A:A,PARAMETROS!D:D)=0,"",_xlfn.XLOOKUP(A1598,PARAMETROS!A:A,PARAMETROS!D:D))</f>
        <v/>
      </c>
      <c r="E1598" t="str">
        <f>IF(_xlfn.XLOOKUP('PREENCHIMENTO|LETIVAS'!A1598,PARAMETROS!A:A,PARAMETROS!I:I)=0,"",_xlfn.XLOOKUP('PREENCHIMENTO|LETIVAS'!A1598,PARAMETROS!A:A,PARAMETROS!I:I))</f>
        <v/>
      </c>
      <c r="F1598" s="3"/>
      <c r="G1598" s="3"/>
      <c r="H1598" s="3"/>
      <c r="I1598" s="3"/>
      <c r="J1598" s="3"/>
      <c r="K1598" s="3"/>
      <c r="L1598" s="19"/>
    </row>
    <row r="1599" spans="1:12">
      <c r="A1599" s="3"/>
      <c r="B1599" t="str">
        <f>IF(_xlfn.XLOOKUP(A1599,PARAMETROS!A:A,PARAMETROS!B:B)=0,"",_xlfn.XLOOKUP(A1599,PARAMETROS!A:A,PARAMETROS!B:B))</f>
        <v/>
      </c>
      <c r="C1599" t="str">
        <f>IF(_xlfn.XLOOKUP(A1599,PARAMETROS!A:A,PARAMETROS!C:C)=0,"",_xlfn.XLOOKUP(A1599,PARAMETROS!A:A,PARAMETROS!C:C))</f>
        <v/>
      </c>
      <c r="D1599" t="str">
        <f>IF(_xlfn.XLOOKUP(A1599,PARAMETROS!A:A,PARAMETROS!D:D)=0,"",_xlfn.XLOOKUP(A1599,PARAMETROS!A:A,PARAMETROS!D:D))</f>
        <v/>
      </c>
      <c r="E1599" t="str">
        <f>IF(_xlfn.XLOOKUP('PREENCHIMENTO|LETIVAS'!A1599,PARAMETROS!A:A,PARAMETROS!I:I)=0,"",_xlfn.XLOOKUP('PREENCHIMENTO|LETIVAS'!A1599,PARAMETROS!A:A,PARAMETROS!I:I))</f>
        <v/>
      </c>
      <c r="F1599" s="3"/>
      <c r="G1599" s="3"/>
      <c r="H1599" s="3"/>
      <c r="I1599" s="3"/>
      <c r="J1599" s="3"/>
      <c r="K1599" s="3"/>
      <c r="L1599" s="19"/>
    </row>
    <row r="1600" spans="1:12">
      <c r="A1600" s="3"/>
      <c r="B1600" t="str">
        <f>IF(_xlfn.XLOOKUP(A1600,PARAMETROS!A:A,PARAMETROS!B:B)=0,"",_xlfn.XLOOKUP(A1600,PARAMETROS!A:A,PARAMETROS!B:B))</f>
        <v/>
      </c>
      <c r="C1600" t="str">
        <f>IF(_xlfn.XLOOKUP(A1600,PARAMETROS!A:A,PARAMETROS!C:C)=0,"",_xlfn.XLOOKUP(A1600,PARAMETROS!A:A,PARAMETROS!C:C))</f>
        <v/>
      </c>
      <c r="D1600" t="str">
        <f>IF(_xlfn.XLOOKUP(A1600,PARAMETROS!A:A,PARAMETROS!D:D)=0,"",_xlfn.XLOOKUP(A1600,PARAMETROS!A:A,PARAMETROS!D:D))</f>
        <v/>
      </c>
      <c r="E1600" t="str">
        <f>IF(_xlfn.XLOOKUP('PREENCHIMENTO|LETIVAS'!A1600,PARAMETROS!A:A,PARAMETROS!I:I)=0,"",_xlfn.XLOOKUP('PREENCHIMENTO|LETIVAS'!A1600,PARAMETROS!A:A,PARAMETROS!I:I))</f>
        <v/>
      </c>
      <c r="F1600" s="3"/>
      <c r="G1600" s="3"/>
      <c r="H1600" s="3"/>
      <c r="I1600" s="3"/>
      <c r="J1600" s="3"/>
      <c r="K1600" s="3"/>
      <c r="L1600" s="19"/>
    </row>
    <row r="1601" spans="1:12">
      <c r="A1601" s="3"/>
      <c r="B1601" t="str">
        <f>IF(_xlfn.XLOOKUP(A1601,PARAMETROS!A:A,PARAMETROS!B:B)=0,"",_xlfn.XLOOKUP(A1601,PARAMETROS!A:A,PARAMETROS!B:B))</f>
        <v/>
      </c>
      <c r="C1601" t="str">
        <f>IF(_xlfn.XLOOKUP(A1601,PARAMETROS!A:A,PARAMETROS!C:C)=0,"",_xlfn.XLOOKUP(A1601,PARAMETROS!A:A,PARAMETROS!C:C))</f>
        <v/>
      </c>
      <c r="D1601" t="str">
        <f>IF(_xlfn.XLOOKUP(A1601,PARAMETROS!A:A,PARAMETROS!D:D)=0,"",_xlfn.XLOOKUP(A1601,PARAMETROS!A:A,PARAMETROS!D:D))</f>
        <v/>
      </c>
      <c r="E1601" t="str">
        <f>IF(_xlfn.XLOOKUP('PREENCHIMENTO|LETIVAS'!A1601,PARAMETROS!A:A,PARAMETROS!I:I)=0,"",_xlfn.XLOOKUP('PREENCHIMENTO|LETIVAS'!A1601,PARAMETROS!A:A,PARAMETROS!I:I))</f>
        <v/>
      </c>
      <c r="F1601" s="3"/>
      <c r="G1601" s="3"/>
      <c r="H1601" s="3"/>
      <c r="I1601" s="3"/>
      <c r="J1601" s="3"/>
      <c r="K1601" s="3"/>
      <c r="L1601" s="19"/>
    </row>
    <row r="1602" spans="1:12">
      <c r="A1602" s="3"/>
      <c r="B1602" t="str">
        <f>IF(_xlfn.XLOOKUP(A1602,PARAMETROS!A:A,PARAMETROS!B:B)=0,"",_xlfn.XLOOKUP(A1602,PARAMETROS!A:A,PARAMETROS!B:B))</f>
        <v/>
      </c>
      <c r="C1602" t="str">
        <f>IF(_xlfn.XLOOKUP(A1602,PARAMETROS!A:A,PARAMETROS!C:C)=0,"",_xlfn.XLOOKUP(A1602,PARAMETROS!A:A,PARAMETROS!C:C))</f>
        <v/>
      </c>
      <c r="D1602" t="str">
        <f>IF(_xlfn.XLOOKUP(A1602,PARAMETROS!A:A,PARAMETROS!D:D)=0,"",_xlfn.XLOOKUP(A1602,PARAMETROS!A:A,PARAMETROS!D:D))</f>
        <v/>
      </c>
      <c r="E1602" t="str">
        <f>IF(_xlfn.XLOOKUP('PREENCHIMENTO|LETIVAS'!A1602,PARAMETROS!A:A,PARAMETROS!I:I)=0,"",_xlfn.XLOOKUP('PREENCHIMENTO|LETIVAS'!A1602,PARAMETROS!A:A,PARAMETROS!I:I))</f>
        <v/>
      </c>
      <c r="F1602" s="3"/>
      <c r="G1602" s="3"/>
      <c r="H1602" s="3"/>
      <c r="I1602" s="3"/>
      <c r="J1602" s="3"/>
      <c r="K1602" s="3"/>
      <c r="L1602" s="19"/>
    </row>
    <row r="1603" spans="1:12">
      <c r="A1603" s="3"/>
      <c r="B1603" t="str">
        <f>IF(_xlfn.XLOOKUP(A1603,PARAMETROS!A:A,PARAMETROS!B:B)=0,"",_xlfn.XLOOKUP(A1603,PARAMETROS!A:A,PARAMETROS!B:B))</f>
        <v/>
      </c>
      <c r="C1603" t="str">
        <f>IF(_xlfn.XLOOKUP(A1603,PARAMETROS!A:A,PARAMETROS!C:C)=0,"",_xlfn.XLOOKUP(A1603,PARAMETROS!A:A,PARAMETROS!C:C))</f>
        <v/>
      </c>
      <c r="D1603" t="str">
        <f>IF(_xlfn.XLOOKUP(A1603,PARAMETROS!A:A,PARAMETROS!D:D)=0,"",_xlfn.XLOOKUP(A1603,PARAMETROS!A:A,PARAMETROS!D:D))</f>
        <v/>
      </c>
      <c r="E1603" t="str">
        <f>IF(_xlfn.XLOOKUP('PREENCHIMENTO|LETIVAS'!A1603,PARAMETROS!A:A,PARAMETROS!I:I)=0,"",_xlfn.XLOOKUP('PREENCHIMENTO|LETIVAS'!A1603,PARAMETROS!A:A,PARAMETROS!I:I))</f>
        <v/>
      </c>
      <c r="F1603" s="3"/>
      <c r="G1603" s="3"/>
      <c r="H1603" s="3"/>
      <c r="I1603" s="3"/>
      <c r="J1603" s="3"/>
      <c r="K1603" s="3"/>
      <c r="L1603" s="19"/>
    </row>
    <row r="1604" spans="1:12">
      <c r="A1604" s="3"/>
      <c r="B1604" t="str">
        <f>IF(_xlfn.XLOOKUP(A1604,PARAMETROS!A:A,PARAMETROS!B:B)=0,"",_xlfn.XLOOKUP(A1604,PARAMETROS!A:A,PARAMETROS!B:B))</f>
        <v/>
      </c>
      <c r="C1604" t="str">
        <f>IF(_xlfn.XLOOKUP(A1604,PARAMETROS!A:A,PARAMETROS!C:C)=0,"",_xlfn.XLOOKUP(A1604,PARAMETROS!A:A,PARAMETROS!C:C))</f>
        <v/>
      </c>
      <c r="D1604" t="str">
        <f>IF(_xlfn.XLOOKUP(A1604,PARAMETROS!A:A,PARAMETROS!D:D)=0,"",_xlfn.XLOOKUP(A1604,PARAMETROS!A:A,PARAMETROS!D:D))</f>
        <v/>
      </c>
      <c r="E1604" t="str">
        <f>IF(_xlfn.XLOOKUP('PREENCHIMENTO|LETIVAS'!A1604,PARAMETROS!A:A,PARAMETROS!I:I)=0,"",_xlfn.XLOOKUP('PREENCHIMENTO|LETIVAS'!A1604,PARAMETROS!A:A,PARAMETROS!I:I))</f>
        <v/>
      </c>
      <c r="F1604" s="3"/>
      <c r="G1604" s="3"/>
      <c r="H1604" s="3"/>
      <c r="I1604" s="3"/>
      <c r="J1604" s="3"/>
      <c r="K1604" s="3"/>
      <c r="L1604" s="19"/>
    </row>
    <row r="1605" spans="1:12">
      <c r="A1605" s="3"/>
      <c r="B1605" t="str">
        <f>IF(_xlfn.XLOOKUP(A1605,PARAMETROS!A:A,PARAMETROS!B:B)=0,"",_xlfn.XLOOKUP(A1605,PARAMETROS!A:A,PARAMETROS!B:B))</f>
        <v/>
      </c>
      <c r="C1605" t="str">
        <f>IF(_xlfn.XLOOKUP(A1605,PARAMETROS!A:A,PARAMETROS!C:C)=0,"",_xlfn.XLOOKUP(A1605,PARAMETROS!A:A,PARAMETROS!C:C))</f>
        <v/>
      </c>
      <c r="D1605" t="str">
        <f>IF(_xlfn.XLOOKUP(A1605,PARAMETROS!A:A,PARAMETROS!D:D)=0,"",_xlfn.XLOOKUP(A1605,PARAMETROS!A:A,PARAMETROS!D:D))</f>
        <v/>
      </c>
      <c r="E1605" t="str">
        <f>IF(_xlfn.XLOOKUP('PREENCHIMENTO|LETIVAS'!A1605,PARAMETROS!A:A,PARAMETROS!I:I)=0,"",_xlfn.XLOOKUP('PREENCHIMENTO|LETIVAS'!A1605,PARAMETROS!A:A,PARAMETROS!I:I))</f>
        <v/>
      </c>
      <c r="F1605" s="3"/>
      <c r="G1605" s="3"/>
      <c r="H1605" s="3"/>
      <c r="I1605" s="3"/>
      <c r="J1605" s="3"/>
      <c r="K1605" s="3"/>
      <c r="L1605" s="19"/>
    </row>
    <row r="1606" spans="1:12">
      <c r="A1606" s="3"/>
      <c r="B1606" t="str">
        <f>IF(_xlfn.XLOOKUP(A1606,PARAMETROS!A:A,PARAMETROS!B:B)=0,"",_xlfn.XLOOKUP(A1606,PARAMETROS!A:A,PARAMETROS!B:B))</f>
        <v/>
      </c>
      <c r="C1606" t="str">
        <f>IF(_xlfn.XLOOKUP(A1606,PARAMETROS!A:A,PARAMETROS!C:C)=0,"",_xlfn.XLOOKUP(A1606,PARAMETROS!A:A,PARAMETROS!C:C))</f>
        <v/>
      </c>
      <c r="D1606" t="str">
        <f>IF(_xlfn.XLOOKUP(A1606,PARAMETROS!A:A,PARAMETROS!D:D)=0,"",_xlfn.XLOOKUP(A1606,PARAMETROS!A:A,PARAMETROS!D:D))</f>
        <v/>
      </c>
      <c r="E1606" t="str">
        <f>IF(_xlfn.XLOOKUP('PREENCHIMENTO|LETIVAS'!A1606,PARAMETROS!A:A,PARAMETROS!I:I)=0,"",_xlfn.XLOOKUP('PREENCHIMENTO|LETIVAS'!A1606,PARAMETROS!A:A,PARAMETROS!I:I))</f>
        <v/>
      </c>
      <c r="F1606" s="3"/>
      <c r="G1606" s="3"/>
      <c r="H1606" s="3"/>
      <c r="I1606" s="3"/>
      <c r="J1606" s="3"/>
      <c r="K1606" s="3"/>
      <c r="L1606" s="19"/>
    </row>
    <row r="1607" spans="1:12">
      <c r="A1607" s="3"/>
      <c r="B1607" t="str">
        <f>IF(_xlfn.XLOOKUP(A1607,PARAMETROS!A:A,PARAMETROS!B:B)=0,"",_xlfn.XLOOKUP(A1607,PARAMETROS!A:A,PARAMETROS!B:B))</f>
        <v/>
      </c>
      <c r="C1607" t="str">
        <f>IF(_xlfn.XLOOKUP(A1607,PARAMETROS!A:A,PARAMETROS!C:C)=0,"",_xlfn.XLOOKUP(A1607,PARAMETROS!A:A,PARAMETROS!C:C))</f>
        <v/>
      </c>
      <c r="D1607" t="str">
        <f>IF(_xlfn.XLOOKUP(A1607,PARAMETROS!A:A,PARAMETROS!D:D)=0,"",_xlfn.XLOOKUP(A1607,PARAMETROS!A:A,PARAMETROS!D:D))</f>
        <v/>
      </c>
      <c r="E1607" t="str">
        <f>IF(_xlfn.XLOOKUP('PREENCHIMENTO|LETIVAS'!A1607,PARAMETROS!A:A,PARAMETROS!I:I)=0,"",_xlfn.XLOOKUP('PREENCHIMENTO|LETIVAS'!A1607,PARAMETROS!A:A,PARAMETROS!I:I))</f>
        <v/>
      </c>
      <c r="F1607" s="3"/>
      <c r="G1607" s="3"/>
      <c r="H1607" s="3"/>
      <c r="I1607" s="3"/>
      <c r="J1607" s="3"/>
      <c r="K1607" s="3"/>
      <c r="L1607" s="19"/>
    </row>
    <row r="1608" spans="1:12">
      <c r="A1608" s="3"/>
      <c r="B1608" t="str">
        <f>IF(_xlfn.XLOOKUP(A1608,PARAMETROS!A:A,PARAMETROS!B:B)=0,"",_xlfn.XLOOKUP(A1608,PARAMETROS!A:A,PARAMETROS!B:B))</f>
        <v/>
      </c>
      <c r="C1608" t="str">
        <f>IF(_xlfn.XLOOKUP(A1608,PARAMETROS!A:A,PARAMETROS!C:C)=0,"",_xlfn.XLOOKUP(A1608,PARAMETROS!A:A,PARAMETROS!C:C))</f>
        <v/>
      </c>
      <c r="D1608" t="str">
        <f>IF(_xlfn.XLOOKUP(A1608,PARAMETROS!A:A,PARAMETROS!D:D)=0,"",_xlfn.XLOOKUP(A1608,PARAMETROS!A:A,PARAMETROS!D:D))</f>
        <v/>
      </c>
      <c r="E1608" t="str">
        <f>IF(_xlfn.XLOOKUP('PREENCHIMENTO|LETIVAS'!A1608,PARAMETROS!A:A,PARAMETROS!I:I)=0,"",_xlfn.XLOOKUP('PREENCHIMENTO|LETIVAS'!A1608,PARAMETROS!A:A,PARAMETROS!I:I))</f>
        <v/>
      </c>
      <c r="F1608" s="3"/>
      <c r="G1608" s="3"/>
      <c r="H1608" s="3"/>
      <c r="I1608" s="3"/>
      <c r="J1608" s="3"/>
      <c r="K1608" s="3"/>
      <c r="L1608" s="19"/>
    </row>
    <row r="1609" spans="1:12">
      <c r="A1609" s="3"/>
      <c r="B1609" t="str">
        <f>IF(_xlfn.XLOOKUP(A1609,PARAMETROS!A:A,PARAMETROS!B:B)=0,"",_xlfn.XLOOKUP(A1609,PARAMETROS!A:A,PARAMETROS!B:B))</f>
        <v/>
      </c>
      <c r="C1609" t="str">
        <f>IF(_xlfn.XLOOKUP(A1609,PARAMETROS!A:A,PARAMETROS!C:C)=0,"",_xlfn.XLOOKUP(A1609,PARAMETROS!A:A,PARAMETROS!C:C))</f>
        <v/>
      </c>
      <c r="D1609" t="str">
        <f>IF(_xlfn.XLOOKUP(A1609,PARAMETROS!A:A,PARAMETROS!D:D)=0,"",_xlfn.XLOOKUP(A1609,PARAMETROS!A:A,PARAMETROS!D:D))</f>
        <v/>
      </c>
      <c r="E1609" t="str">
        <f>IF(_xlfn.XLOOKUP('PREENCHIMENTO|LETIVAS'!A1609,PARAMETROS!A:A,PARAMETROS!I:I)=0,"",_xlfn.XLOOKUP('PREENCHIMENTO|LETIVAS'!A1609,PARAMETROS!A:A,PARAMETROS!I:I))</f>
        <v/>
      </c>
      <c r="F1609" s="3"/>
      <c r="G1609" s="3"/>
      <c r="H1609" s="3"/>
      <c r="I1609" s="3"/>
      <c r="J1609" s="3"/>
      <c r="K1609" s="3"/>
      <c r="L1609" s="19"/>
    </row>
    <row r="1610" spans="1:12">
      <c r="A1610" s="3"/>
      <c r="B1610" t="str">
        <f>IF(_xlfn.XLOOKUP(A1610,PARAMETROS!A:A,PARAMETROS!B:B)=0,"",_xlfn.XLOOKUP(A1610,PARAMETROS!A:A,PARAMETROS!B:B))</f>
        <v/>
      </c>
      <c r="C1610" t="str">
        <f>IF(_xlfn.XLOOKUP(A1610,PARAMETROS!A:A,PARAMETROS!C:C)=0,"",_xlfn.XLOOKUP(A1610,PARAMETROS!A:A,PARAMETROS!C:C))</f>
        <v/>
      </c>
      <c r="D1610" t="str">
        <f>IF(_xlfn.XLOOKUP(A1610,PARAMETROS!A:A,PARAMETROS!D:D)=0,"",_xlfn.XLOOKUP(A1610,PARAMETROS!A:A,PARAMETROS!D:D))</f>
        <v/>
      </c>
      <c r="E1610" t="str">
        <f>IF(_xlfn.XLOOKUP('PREENCHIMENTO|LETIVAS'!A1610,PARAMETROS!A:A,PARAMETROS!I:I)=0,"",_xlfn.XLOOKUP('PREENCHIMENTO|LETIVAS'!A1610,PARAMETROS!A:A,PARAMETROS!I:I))</f>
        <v/>
      </c>
      <c r="F1610" s="3"/>
      <c r="G1610" s="3"/>
      <c r="H1610" s="3"/>
      <c r="I1610" s="3"/>
      <c r="J1610" s="3"/>
      <c r="K1610" s="3"/>
      <c r="L1610" s="19"/>
    </row>
    <row r="1611" spans="1:12">
      <c r="A1611" s="3"/>
      <c r="B1611" t="str">
        <f>IF(_xlfn.XLOOKUP(A1611,PARAMETROS!A:A,PARAMETROS!B:B)=0,"",_xlfn.XLOOKUP(A1611,PARAMETROS!A:A,PARAMETROS!B:B))</f>
        <v/>
      </c>
      <c r="C1611" t="str">
        <f>IF(_xlfn.XLOOKUP(A1611,PARAMETROS!A:A,PARAMETROS!C:C)=0,"",_xlfn.XLOOKUP(A1611,PARAMETROS!A:A,PARAMETROS!C:C))</f>
        <v/>
      </c>
      <c r="D1611" t="str">
        <f>IF(_xlfn.XLOOKUP(A1611,PARAMETROS!A:A,PARAMETROS!D:D)=0,"",_xlfn.XLOOKUP(A1611,PARAMETROS!A:A,PARAMETROS!D:D))</f>
        <v/>
      </c>
      <c r="E1611" t="str">
        <f>IF(_xlfn.XLOOKUP('PREENCHIMENTO|LETIVAS'!A1611,PARAMETROS!A:A,PARAMETROS!I:I)=0,"",_xlfn.XLOOKUP('PREENCHIMENTO|LETIVAS'!A1611,PARAMETROS!A:A,PARAMETROS!I:I))</f>
        <v/>
      </c>
      <c r="F1611" s="3"/>
      <c r="G1611" s="3"/>
      <c r="H1611" s="3"/>
      <c r="I1611" s="3"/>
      <c r="J1611" s="3"/>
      <c r="K1611" s="3"/>
      <c r="L1611" s="19"/>
    </row>
    <row r="1612" spans="1:12">
      <c r="A1612" s="3"/>
      <c r="B1612" t="str">
        <f>IF(_xlfn.XLOOKUP(A1612,PARAMETROS!A:A,PARAMETROS!B:B)=0,"",_xlfn.XLOOKUP(A1612,PARAMETROS!A:A,PARAMETROS!B:B))</f>
        <v/>
      </c>
      <c r="C1612" t="str">
        <f>IF(_xlfn.XLOOKUP(A1612,PARAMETROS!A:A,PARAMETROS!C:C)=0,"",_xlfn.XLOOKUP(A1612,PARAMETROS!A:A,PARAMETROS!C:C))</f>
        <v/>
      </c>
      <c r="D1612" t="str">
        <f>IF(_xlfn.XLOOKUP(A1612,PARAMETROS!A:A,PARAMETROS!D:D)=0,"",_xlfn.XLOOKUP(A1612,PARAMETROS!A:A,PARAMETROS!D:D))</f>
        <v/>
      </c>
      <c r="E1612" t="str">
        <f>IF(_xlfn.XLOOKUP('PREENCHIMENTO|LETIVAS'!A1612,PARAMETROS!A:A,PARAMETROS!I:I)=0,"",_xlfn.XLOOKUP('PREENCHIMENTO|LETIVAS'!A1612,PARAMETROS!A:A,PARAMETROS!I:I))</f>
        <v/>
      </c>
      <c r="F1612" s="3"/>
      <c r="G1612" s="3"/>
      <c r="H1612" s="3"/>
      <c r="I1612" s="3"/>
      <c r="J1612" s="3"/>
      <c r="K1612" s="3"/>
      <c r="L1612" s="19"/>
    </row>
    <row r="1613" spans="1:12">
      <c r="A1613" s="3"/>
      <c r="B1613" t="str">
        <f>IF(_xlfn.XLOOKUP(A1613,PARAMETROS!A:A,PARAMETROS!B:B)=0,"",_xlfn.XLOOKUP(A1613,PARAMETROS!A:A,PARAMETROS!B:B))</f>
        <v/>
      </c>
      <c r="C1613" t="str">
        <f>IF(_xlfn.XLOOKUP(A1613,PARAMETROS!A:A,PARAMETROS!C:C)=0,"",_xlfn.XLOOKUP(A1613,PARAMETROS!A:A,PARAMETROS!C:C))</f>
        <v/>
      </c>
      <c r="D1613" t="str">
        <f>IF(_xlfn.XLOOKUP(A1613,PARAMETROS!A:A,PARAMETROS!D:D)=0,"",_xlfn.XLOOKUP(A1613,PARAMETROS!A:A,PARAMETROS!D:D))</f>
        <v/>
      </c>
      <c r="E1613" t="str">
        <f>IF(_xlfn.XLOOKUP('PREENCHIMENTO|LETIVAS'!A1613,PARAMETROS!A:A,PARAMETROS!I:I)=0,"",_xlfn.XLOOKUP('PREENCHIMENTO|LETIVAS'!A1613,PARAMETROS!A:A,PARAMETROS!I:I))</f>
        <v/>
      </c>
      <c r="F1613" s="3"/>
      <c r="G1613" s="3"/>
      <c r="H1613" s="3"/>
      <c r="I1613" s="3"/>
      <c r="J1613" s="3"/>
      <c r="K1613" s="3"/>
      <c r="L1613" s="19"/>
    </row>
    <row r="1614" spans="1:12">
      <c r="A1614" s="3"/>
      <c r="B1614" t="str">
        <f>IF(_xlfn.XLOOKUP(A1614,PARAMETROS!A:A,PARAMETROS!B:B)=0,"",_xlfn.XLOOKUP(A1614,PARAMETROS!A:A,PARAMETROS!B:B))</f>
        <v/>
      </c>
      <c r="C1614" t="str">
        <f>IF(_xlfn.XLOOKUP(A1614,PARAMETROS!A:A,PARAMETROS!C:C)=0,"",_xlfn.XLOOKUP(A1614,PARAMETROS!A:A,PARAMETROS!C:C))</f>
        <v/>
      </c>
      <c r="D1614" t="str">
        <f>IF(_xlfn.XLOOKUP(A1614,PARAMETROS!A:A,PARAMETROS!D:D)=0,"",_xlfn.XLOOKUP(A1614,PARAMETROS!A:A,PARAMETROS!D:D))</f>
        <v/>
      </c>
      <c r="E1614" t="str">
        <f>IF(_xlfn.XLOOKUP('PREENCHIMENTO|LETIVAS'!A1614,PARAMETROS!A:A,PARAMETROS!I:I)=0,"",_xlfn.XLOOKUP('PREENCHIMENTO|LETIVAS'!A1614,PARAMETROS!A:A,PARAMETROS!I:I))</f>
        <v/>
      </c>
      <c r="F1614" s="3"/>
      <c r="G1614" s="3"/>
      <c r="H1614" s="3"/>
      <c r="I1614" s="3"/>
      <c r="J1614" s="3"/>
      <c r="K1614" s="3"/>
      <c r="L1614" s="19"/>
    </row>
    <row r="1615" spans="1:12">
      <c r="A1615" s="3"/>
      <c r="B1615" t="str">
        <f>IF(_xlfn.XLOOKUP(A1615,PARAMETROS!A:A,PARAMETROS!B:B)=0,"",_xlfn.XLOOKUP(A1615,PARAMETROS!A:A,PARAMETROS!B:B))</f>
        <v/>
      </c>
      <c r="C1615" t="str">
        <f>IF(_xlfn.XLOOKUP(A1615,PARAMETROS!A:A,PARAMETROS!C:C)=0,"",_xlfn.XLOOKUP(A1615,PARAMETROS!A:A,PARAMETROS!C:C))</f>
        <v/>
      </c>
      <c r="D1615" t="str">
        <f>IF(_xlfn.XLOOKUP(A1615,PARAMETROS!A:A,PARAMETROS!D:D)=0,"",_xlfn.XLOOKUP(A1615,PARAMETROS!A:A,PARAMETROS!D:D))</f>
        <v/>
      </c>
      <c r="E1615" t="str">
        <f>IF(_xlfn.XLOOKUP('PREENCHIMENTO|LETIVAS'!A1615,PARAMETROS!A:A,PARAMETROS!I:I)=0,"",_xlfn.XLOOKUP('PREENCHIMENTO|LETIVAS'!A1615,PARAMETROS!A:A,PARAMETROS!I:I))</f>
        <v/>
      </c>
      <c r="F1615" s="3"/>
      <c r="G1615" s="3"/>
      <c r="H1615" s="3"/>
      <c r="I1615" s="3"/>
      <c r="J1615" s="3"/>
      <c r="K1615" s="3"/>
      <c r="L1615" s="19"/>
    </row>
    <row r="1616" spans="1:12">
      <c r="A1616" s="3"/>
      <c r="B1616" t="str">
        <f>IF(_xlfn.XLOOKUP(A1616,PARAMETROS!A:A,PARAMETROS!B:B)=0,"",_xlfn.XLOOKUP(A1616,PARAMETROS!A:A,PARAMETROS!B:B))</f>
        <v/>
      </c>
      <c r="C1616" t="str">
        <f>IF(_xlfn.XLOOKUP(A1616,PARAMETROS!A:A,PARAMETROS!C:C)=0,"",_xlfn.XLOOKUP(A1616,PARAMETROS!A:A,PARAMETROS!C:C))</f>
        <v/>
      </c>
      <c r="D1616" t="str">
        <f>IF(_xlfn.XLOOKUP(A1616,PARAMETROS!A:A,PARAMETROS!D:D)=0,"",_xlfn.XLOOKUP(A1616,PARAMETROS!A:A,PARAMETROS!D:D))</f>
        <v/>
      </c>
      <c r="E1616" t="str">
        <f>IF(_xlfn.XLOOKUP('PREENCHIMENTO|LETIVAS'!A1616,PARAMETROS!A:A,PARAMETROS!I:I)=0,"",_xlfn.XLOOKUP('PREENCHIMENTO|LETIVAS'!A1616,PARAMETROS!A:A,PARAMETROS!I:I))</f>
        <v/>
      </c>
      <c r="F1616" s="3"/>
      <c r="G1616" s="3"/>
      <c r="H1616" s="3"/>
      <c r="I1616" s="3"/>
      <c r="J1616" s="3"/>
      <c r="K1616" s="3"/>
      <c r="L1616" s="19"/>
    </row>
    <row r="1617" spans="1:12">
      <c r="A1617" s="3"/>
      <c r="B1617" t="str">
        <f>IF(_xlfn.XLOOKUP(A1617,PARAMETROS!A:A,PARAMETROS!B:B)=0,"",_xlfn.XLOOKUP(A1617,PARAMETROS!A:A,PARAMETROS!B:B))</f>
        <v/>
      </c>
      <c r="C1617" t="str">
        <f>IF(_xlfn.XLOOKUP(A1617,PARAMETROS!A:A,PARAMETROS!C:C)=0,"",_xlfn.XLOOKUP(A1617,PARAMETROS!A:A,PARAMETROS!C:C))</f>
        <v/>
      </c>
      <c r="D1617" t="str">
        <f>IF(_xlfn.XLOOKUP(A1617,PARAMETROS!A:A,PARAMETROS!D:D)=0,"",_xlfn.XLOOKUP(A1617,PARAMETROS!A:A,PARAMETROS!D:D))</f>
        <v/>
      </c>
      <c r="E1617" t="str">
        <f>IF(_xlfn.XLOOKUP('PREENCHIMENTO|LETIVAS'!A1617,PARAMETROS!A:A,PARAMETROS!I:I)=0,"",_xlfn.XLOOKUP('PREENCHIMENTO|LETIVAS'!A1617,PARAMETROS!A:A,PARAMETROS!I:I))</f>
        <v/>
      </c>
      <c r="F1617" s="3"/>
      <c r="G1617" s="3"/>
      <c r="H1617" s="3"/>
      <c r="I1617" s="3"/>
      <c r="J1617" s="3"/>
      <c r="K1617" s="3"/>
      <c r="L1617" s="19"/>
    </row>
    <row r="1618" spans="1:12">
      <c r="A1618" s="3"/>
      <c r="B1618" t="str">
        <f>IF(_xlfn.XLOOKUP(A1618,PARAMETROS!A:A,PARAMETROS!B:B)=0,"",_xlfn.XLOOKUP(A1618,PARAMETROS!A:A,PARAMETROS!B:B))</f>
        <v/>
      </c>
      <c r="C1618" t="str">
        <f>IF(_xlfn.XLOOKUP(A1618,PARAMETROS!A:A,PARAMETROS!C:C)=0,"",_xlfn.XLOOKUP(A1618,PARAMETROS!A:A,PARAMETROS!C:C))</f>
        <v/>
      </c>
      <c r="D1618" t="str">
        <f>IF(_xlfn.XLOOKUP(A1618,PARAMETROS!A:A,PARAMETROS!D:D)=0,"",_xlfn.XLOOKUP(A1618,PARAMETROS!A:A,PARAMETROS!D:D))</f>
        <v/>
      </c>
      <c r="E1618" t="str">
        <f>IF(_xlfn.XLOOKUP('PREENCHIMENTO|LETIVAS'!A1618,PARAMETROS!A:A,PARAMETROS!I:I)=0,"",_xlfn.XLOOKUP('PREENCHIMENTO|LETIVAS'!A1618,PARAMETROS!A:A,PARAMETROS!I:I))</f>
        <v/>
      </c>
      <c r="F1618" s="3"/>
      <c r="G1618" s="3"/>
      <c r="H1618" s="3"/>
      <c r="I1618" s="3"/>
      <c r="J1618" s="3"/>
      <c r="K1618" s="3"/>
      <c r="L1618" s="19"/>
    </row>
    <row r="1619" spans="1:12">
      <c r="A1619" s="3"/>
      <c r="B1619" t="str">
        <f>IF(_xlfn.XLOOKUP(A1619,PARAMETROS!A:A,PARAMETROS!B:B)=0,"",_xlfn.XLOOKUP(A1619,PARAMETROS!A:A,PARAMETROS!B:B))</f>
        <v/>
      </c>
      <c r="C1619" t="str">
        <f>IF(_xlfn.XLOOKUP(A1619,PARAMETROS!A:A,PARAMETROS!C:C)=0,"",_xlfn.XLOOKUP(A1619,PARAMETROS!A:A,PARAMETROS!C:C))</f>
        <v/>
      </c>
      <c r="D1619" t="str">
        <f>IF(_xlfn.XLOOKUP(A1619,PARAMETROS!A:A,PARAMETROS!D:D)=0,"",_xlfn.XLOOKUP(A1619,PARAMETROS!A:A,PARAMETROS!D:D))</f>
        <v/>
      </c>
      <c r="E1619" t="str">
        <f>IF(_xlfn.XLOOKUP('PREENCHIMENTO|LETIVAS'!A1619,PARAMETROS!A:A,PARAMETROS!I:I)=0,"",_xlfn.XLOOKUP('PREENCHIMENTO|LETIVAS'!A1619,PARAMETROS!A:A,PARAMETROS!I:I))</f>
        <v/>
      </c>
      <c r="F1619" s="3"/>
      <c r="G1619" s="3"/>
      <c r="H1619" s="3"/>
      <c r="I1619" s="3"/>
      <c r="J1619" s="3"/>
      <c r="K1619" s="3"/>
      <c r="L1619" s="19"/>
    </row>
    <row r="1620" spans="1:12">
      <c r="A1620" s="3"/>
      <c r="B1620" t="str">
        <f>IF(_xlfn.XLOOKUP(A1620,PARAMETROS!A:A,PARAMETROS!B:B)=0,"",_xlfn.XLOOKUP(A1620,PARAMETROS!A:A,PARAMETROS!B:B))</f>
        <v/>
      </c>
      <c r="C1620" t="str">
        <f>IF(_xlfn.XLOOKUP(A1620,PARAMETROS!A:A,PARAMETROS!C:C)=0,"",_xlfn.XLOOKUP(A1620,PARAMETROS!A:A,PARAMETROS!C:C))</f>
        <v/>
      </c>
      <c r="D1620" t="str">
        <f>IF(_xlfn.XLOOKUP(A1620,PARAMETROS!A:A,PARAMETROS!D:D)=0,"",_xlfn.XLOOKUP(A1620,PARAMETROS!A:A,PARAMETROS!D:D))</f>
        <v/>
      </c>
      <c r="E1620" t="str">
        <f>IF(_xlfn.XLOOKUP('PREENCHIMENTO|LETIVAS'!A1620,PARAMETROS!A:A,PARAMETROS!I:I)=0,"",_xlfn.XLOOKUP('PREENCHIMENTO|LETIVAS'!A1620,PARAMETROS!A:A,PARAMETROS!I:I))</f>
        <v/>
      </c>
      <c r="F1620" s="3"/>
      <c r="G1620" s="3"/>
      <c r="H1620" s="3"/>
      <c r="I1620" s="3"/>
      <c r="J1620" s="3"/>
      <c r="K1620" s="3"/>
      <c r="L1620" s="19"/>
    </row>
    <row r="1621" spans="1:12">
      <c r="A1621" s="3"/>
      <c r="B1621" t="str">
        <f>IF(_xlfn.XLOOKUP(A1621,PARAMETROS!A:A,PARAMETROS!B:B)=0,"",_xlfn.XLOOKUP(A1621,PARAMETROS!A:A,PARAMETROS!B:B))</f>
        <v/>
      </c>
      <c r="C1621" t="str">
        <f>IF(_xlfn.XLOOKUP(A1621,PARAMETROS!A:A,PARAMETROS!C:C)=0,"",_xlfn.XLOOKUP(A1621,PARAMETROS!A:A,PARAMETROS!C:C))</f>
        <v/>
      </c>
      <c r="D1621" t="str">
        <f>IF(_xlfn.XLOOKUP(A1621,PARAMETROS!A:A,PARAMETROS!D:D)=0,"",_xlfn.XLOOKUP(A1621,PARAMETROS!A:A,PARAMETROS!D:D))</f>
        <v/>
      </c>
      <c r="E1621" t="str">
        <f>IF(_xlfn.XLOOKUP('PREENCHIMENTO|LETIVAS'!A1621,PARAMETROS!A:A,PARAMETROS!I:I)=0,"",_xlfn.XLOOKUP('PREENCHIMENTO|LETIVAS'!A1621,PARAMETROS!A:A,PARAMETROS!I:I))</f>
        <v/>
      </c>
      <c r="F1621" s="3"/>
      <c r="G1621" s="3"/>
      <c r="H1621" s="3"/>
      <c r="I1621" s="3"/>
      <c r="J1621" s="3"/>
      <c r="K1621" s="3"/>
      <c r="L1621" s="19"/>
    </row>
    <row r="1622" spans="1:12">
      <c r="A1622" s="3"/>
      <c r="B1622" t="str">
        <f>IF(_xlfn.XLOOKUP(A1622,PARAMETROS!A:A,PARAMETROS!B:B)=0,"",_xlfn.XLOOKUP(A1622,PARAMETROS!A:A,PARAMETROS!B:B))</f>
        <v/>
      </c>
      <c r="C1622" t="str">
        <f>IF(_xlfn.XLOOKUP(A1622,PARAMETROS!A:A,PARAMETROS!C:C)=0,"",_xlfn.XLOOKUP(A1622,PARAMETROS!A:A,PARAMETROS!C:C))</f>
        <v/>
      </c>
      <c r="D1622" t="str">
        <f>IF(_xlfn.XLOOKUP(A1622,PARAMETROS!A:A,PARAMETROS!D:D)=0,"",_xlfn.XLOOKUP(A1622,PARAMETROS!A:A,PARAMETROS!D:D))</f>
        <v/>
      </c>
      <c r="E1622" t="str">
        <f>IF(_xlfn.XLOOKUP('PREENCHIMENTO|LETIVAS'!A1622,PARAMETROS!A:A,PARAMETROS!I:I)=0,"",_xlfn.XLOOKUP('PREENCHIMENTO|LETIVAS'!A1622,PARAMETROS!A:A,PARAMETROS!I:I))</f>
        <v/>
      </c>
      <c r="F1622" s="3"/>
      <c r="G1622" s="3"/>
      <c r="H1622" s="3"/>
      <c r="I1622" s="3"/>
      <c r="J1622" s="3"/>
      <c r="K1622" s="3"/>
      <c r="L1622" s="19"/>
    </row>
    <row r="1623" spans="1:12">
      <c r="A1623" s="3"/>
      <c r="B1623" t="str">
        <f>IF(_xlfn.XLOOKUP(A1623,PARAMETROS!A:A,PARAMETROS!B:B)=0,"",_xlfn.XLOOKUP(A1623,PARAMETROS!A:A,PARAMETROS!B:B))</f>
        <v/>
      </c>
      <c r="C1623" t="str">
        <f>IF(_xlfn.XLOOKUP(A1623,PARAMETROS!A:A,PARAMETROS!C:C)=0,"",_xlfn.XLOOKUP(A1623,PARAMETROS!A:A,PARAMETROS!C:C))</f>
        <v/>
      </c>
      <c r="D1623" t="str">
        <f>IF(_xlfn.XLOOKUP(A1623,PARAMETROS!A:A,PARAMETROS!D:D)=0,"",_xlfn.XLOOKUP(A1623,PARAMETROS!A:A,PARAMETROS!D:D))</f>
        <v/>
      </c>
      <c r="E1623" t="str">
        <f>IF(_xlfn.XLOOKUP('PREENCHIMENTO|LETIVAS'!A1623,PARAMETROS!A:A,PARAMETROS!I:I)=0,"",_xlfn.XLOOKUP('PREENCHIMENTO|LETIVAS'!A1623,PARAMETROS!A:A,PARAMETROS!I:I))</f>
        <v/>
      </c>
      <c r="F1623" s="3"/>
      <c r="G1623" s="3"/>
      <c r="H1623" s="3"/>
      <c r="I1623" s="3"/>
      <c r="J1623" s="3"/>
      <c r="K1623" s="3"/>
      <c r="L1623" s="19"/>
    </row>
    <row r="1624" spans="1:12">
      <c r="A1624" s="3"/>
      <c r="B1624" t="str">
        <f>IF(_xlfn.XLOOKUP(A1624,PARAMETROS!A:A,PARAMETROS!B:B)=0,"",_xlfn.XLOOKUP(A1624,PARAMETROS!A:A,PARAMETROS!B:B))</f>
        <v/>
      </c>
      <c r="C1624" t="str">
        <f>IF(_xlfn.XLOOKUP(A1624,PARAMETROS!A:A,PARAMETROS!C:C)=0,"",_xlfn.XLOOKUP(A1624,PARAMETROS!A:A,PARAMETROS!C:C))</f>
        <v/>
      </c>
      <c r="D1624" t="str">
        <f>IF(_xlfn.XLOOKUP(A1624,PARAMETROS!A:A,PARAMETROS!D:D)=0,"",_xlfn.XLOOKUP(A1624,PARAMETROS!A:A,PARAMETROS!D:D))</f>
        <v/>
      </c>
      <c r="E1624" t="str">
        <f>IF(_xlfn.XLOOKUP('PREENCHIMENTO|LETIVAS'!A1624,PARAMETROS!A:A,PARAMETROS!I:I)=0,"",_xlfn.XLOOKUP('PREENCHIMENTO|LETIVAS'!A1624,PARAMETROS!A:A,PARAMETROS!I:I))</f>
        <v/>
      </c>
      <c r="F1624" s="3"/>
      <c r="G1624" s="3"/>
      <c r="H1624" s="3"/>
      <c r="I1624" s="3"/>
      <c r="J1624" s="3"/>
      <c r="K1624" s="3"/>
      <c r="L1624" s="19"/>
    </row>
    <row r="1625" spans="1:12">
      <c r="A1625" s="3"/>
      <c r="B1625" t="str">
        <f>IF(_xlfn.XLOOKUP(A1625,PARAMETROS!A:A,PARAMETROS!B:B)=0,"",_xlfn.XLOOKUP(A1625,PARAMETROS!A:A,PARAMETROS!B:B))</f>
        <v/>
      </c>
      <c r="C1625" t="str">
        <f>IF(_xlfn.XLOOKUP(A1625,PARAMETROS!A:A,PARAMETROS!C:C)=0,"",_xlfn.XLOOKUP(A1625,PARAMETROS!A:A,PARAMETROS!C:C))</f>
        <v/>
      </c>
      <c r="D1625" t="str">
        <f>IF(_xlfn.XLOOKUP(A1625,PARAMETROS!A:A,PARAMETROS!D:D)=0,"",_xlfn.XLOOKUP(A1625,PARAMETROS!A:A,PARAMETROS!D:D))</f>
        <v/>
      </c>
      <c r="E1625" t="str">
        <f>IF(_xlfn.XLOOKUP('PREENCHIMENTO|LETIVAS'!A1625,PARAMETROS!A:A,PARAMETROS!I:I)=0,"",_xlfn.XLOOKUP('PREENCHIMENTO|LETIVAS'!A1625,PARAMETROS!A:A,PARAMETROS!I:I))</f>
        <v/>
      </c>
      <c r="F1625" s="3"/>
      <c r="G1625" s="3"/>
      <c r="H1625" s="3"/>
      <c r="I1625" s="3"/>
      <c r="J1625" s="3"/>
      <c r="K1625" s="3"/>
      <c r="L1625" s="19"/>
    </row>
    <row r="1626" spans="1:12">
      <c r="A1626" s="3"/>
      <c r="B1626" t="str">
        <f>IF(_xlfn.XLOOKUP(A1626,PARAMETROS!A:A,PARAMETROS!B:B)=0,"",_xlfn.XLOOKUP(A1626,PARAMETROS!A:A,PARAMETROS!B:B))</f>
        <v/>
      </c>
      <c r="C1626" t="str">
        <f>IF(_xlfn.XLOOKUP(A1626,PARAMETROS!A:A,PARAMETROS!C:C)=0,"",_xlfn.XLOOKUP(A1626,PARAMETROS!A:A,PARAMETROS!C:C))</f>
        <v/>
      </c>
      <c r="D1626" t="str">
        <f>IF(_xlfn.XLOOKUP(A1626,PARAMETROS!A:A,PARAMETROS!D:D)=0,"",_xlfn.XLOOKUP(A1626,PARAMETROS!A:A,PARAMETROS!D:D))</f>
        <v/>
      </c>
      <c r="E1626" t="str">
        <f>IF(_xlfn.XLOOKUP('PREENCHIMENTO|LETIVAS'!A1626,PARAMETROS!A:A,PARAMETROS!I:I)=0,"",_xlfn.XLOOKUP('PREENCHIMENTO|LETIVAS'!A1626,PARAMETROS!A:A,PARAMETROS!I:I))</f>
        <v/>
      </c>
      <c r="F1626" s="3"/>
      <c r="G1626" s="3"/>
      <c r="H1626" s="3"/>
      <c r="I1626" s="3"/>
      <c r="J1626" s="3"/>
      <c r="K1626" s="3"/>
      <c r="L1626" s="19"/>
    </row>
    <row r="1627" spans="1:12">
      <c r="A1627" s="3"/>
      <c r="B1627" t="str">
        <f>IF(_xlfn.XLOOKUP(A1627,PARAMETROS!A:A,PARAMETROS!B:B)=0,"",_xlfn.XLOOKUP(A1627,PARAMETROS!A:A,PARAMETROS!B:B))</f>
        <v/>
      </c>
      <c r="C1627" t="str">
        <f>IF(_xlfn.XLOOKUP(A1627,PARAMETROS!A:A,PARAMETROS!C:C)=0,"",_xlfn.XLOOKUP(A1627,PARAMETROS!A:A,PARAMETROS!C:C))</f>
        <v/>
      </c>
      <c r="D1627" t="str">
        <f>IF(_xlfn.XLOOKUP(A1627,PARAMETROS!A:A,PARAMETROS!D:D)=0,"",_xlfn.XLOOKUP(A1627,PARAMETROS!A:A,PARAMETROS!D:D))</f>
        <v/>
      </c>
      <c r="E1627" t="str">
        <f>IF(_xlfn.XLOOKUP('PREENCHIMENTO|LETIVAS'!A1627,PARAMETROS!A:A,PARAMETROS!I:I)=0,"",_xlfn.XLOOKUP('PREENCHIMENTO|LETIVAS'!A1627,PARAMETROS!A:A,PARAMETROS!I:I))</f>
        <v/>
      </c>
      <c r="F1627" s="3"/>
      <c r="G1627" s="3"/>
      <c r="H1627" s="3"/>
      <c r="I1627" s="3"/>
      <c r="J1627" s="3"/>
      <c r="K1627" s="3"/>
      <c r="L1627" s="19"/>
    </row>
    <row r="1628" spans="1:12">
      <c r="A1628" s="3"/>
      <c r="B1628" t="str">
        <f>IF(_xlfn.XLOOKUP(A1628,PARAMETROS!A:A,PARAMETROS!B:B)=0,"",_xlfn.XLOOKUP(A1628,PARAMETROS!A:A,PARAMETROS!B:B))</f>
        <v/>
      </c>
      <c r="C1628" t="str">
        <f>IF(_xlfn.XLOOKUP(A1628,PARAMETROS!A:A,PARAMETROS!C:C)=0,"",_xlfn.XLOOKUP(A1628,PARAMETROS!A:A,PARAMETROS!C:C))</f>
        <v/>
      </c>
      <c r="D1628" t="str">
        <f>IF(_xlfn.XLOOKUP(A1628,PARAMETROS!A:A,PARAMETROS!D:D)=0,"",_xlfn.XLOOKUP(A1628,PARAMETROS!A:A,PARAMETROS!D:D))</f>
        <v/>
      </c>
      <c r="E1628" t="str">
        <f>IF(_xlfn.XLOOKUP('PREENCHIMENTO|LETIVAS'!A1628,PARAMETROS!A:A,PARAMETROS!I:I)=0,"",_xlfn.XLOOKUP('PREENCHIMENTO|LETIVAS'!A1628,PARAMETROS!A:A,PARAMETROS!I:I))</f>
        <v/>
      </c>
      <c r="F1628" s="3"/>
      <c r="G1628" s="3"/>
      <c r="H1628" s="3"/>
      <c r="I1628" s="3"/>
      <c r="J1628" s="3"/>
      <c r="K1628" s="3"/>
      <c r="L1628" s="19"/>
    </row>
    <row r="1629" spans="1:12">
      <c r="A1629" s="3"/>
      <c r="B1629" t="str">
        <f>IF(_xlfn.XLOOKUP(A1629,PARAMETROS!A:A,PARAMETROS!B:B)=0,"",_xlfn.XLOOKUP(A1629,PARAMETROS!A:A,PARAMETROS!B:B))</f>
        <v/>
      </c>
      <c r="C1629" t="str">
        <f>IF(_xlfn.XLOOKUP(A1629,PARAMETROS!A:A,PARAMETROS!C:C)=0,"",_xlfn.XLOOKUP(A1629,PARAMETROS!A:A,PARAMETROS!C:C))</f>
        <v/>
      </c>
      <c r="D1629" t="str">
        <f>IF(_xlfn.XLOOKUP(A1629,PARAMETROS!A:A,PARAMETROS!D:D)=0,"",_xlfn.XLOOKUP(A1629,PARAMETROS!A:A,PARAMETROS!D:D))</f>
        <v/>
      </c>
      <c r="E1629" t="str">
        <f>IF(_xlfn.XLOOKUP('PREENCHIMENTO|LETIVAS'!A1629,PARAMETROS!A:A,PARAMETROS!I:I)=0,"",_xlfn.XLOOKUP('PREENCHIMENTO|LETIVAS'!A1629,PARAMETROS!A:A,PARAMETROS!I:I))</f>
        <v/>
      </c>
      <c r="F1629" s="3"/>
      <c r="G1629" s="3"/>
      <c r="H1629" s="3"/>
      <c r="I1629" s="3"/>
      <c r="J1629" s="3"/>
      <c r="K1629" s="3"/>
      <c r="L1629" s="19"/>
    </row>
    <row r="1630" spans="1:12">
      <c r="A1630" s="3"/>
      <c r="B1630" t="str">
        <f>IF(_xlfn.XLOOKUP(A1630,PARAMETROS!A:A,PARAMETROS!B:B)=0,"",_xlfn.XLOOKUP(A1630,PARAMETROS!A:A,PARAMETROS!B:B))</f>
        <v/>
      </c>
      <c r="C1630" t="str">
        <f>IF(_xlfn.XLOOKUP(A1630,PARAMETROS!A:A,PARAMETROS!C:C)=0,"",_xlfn.XLOOKUP(A1630,PARAMETROS!A:A,PARAMETROS!C:C))</f>
        <v/>
      </c>
      <c r="D1630" t="str">
        <f>IF(_xlfn.XLOOKUP(A1630,PARAMETROS!A:A,PARAMETROS!D:D)=0,"",_xlfn.XLOOKUP(A1630,PARAMETROS!A:A,PARAMETROS!D:D))</f>
        <v/>
      </c>
      <c r="E1630" t="str">
        <f>IF(_xlfn.XLOOKUP('PREENCHIMENTO|LETIVAS'!A1630,PARAMETROS!A:A,PARAMETROS!I:I)=0,"",_xlfn.XLOOKUP('PREENCHIMENTO|LETIVAS'!A1630,PARAMETROS!A:A,PARAMETROS!I:I))</f>
        <v/>
      </c>
      <c r="F1630" s="3"/>
      <c r="G1630" s="3"/>
      <c r="H1630" s="3"/>
      <c r="I1630" s="3"/>
      <c r="J1630" s="3"/>
      <c r="K1630" s="3"/>
      <c r="L1630" s="19"/>
    </row>
    <row r="1631" spans="1:12">
      <c r="A1631" s="3"/>
      <c r="B1631" t="str">
        <f>IF(_xlfn.XLOOKUP(A1631,PARAMETROS!A:A,PARAMETROS!B:B)=0,"",_xlfn.XLOOKUP(A1631,PARAMETROS!A:A,PARAMETROS!B:B))</f>
        <v/>
      </c>
      <c r="C1631" t="str">
        <f>IF(_xlfn.XLOOKUP(A1631,PARAMETROS!A:A,PARAMETROS!C:C)=0,"",_xlfn.XLOOKUP(A1631,PARAMETROS!A:A,PARAMETROS!C:C))</f>
        <v/>
      </c>
      <c r="D1631" t="str">
        <f>IF(_xlfn.XLOOKUP(A1631,PARAMETROS!A:A,PARAMETROS!D:D)=0,"",_xlfn.XLOOKUP(A1631,PARAMETROS!A:A,PARAMETROS!D:D))</f>
        <v/>
      </c>
      <c r="E1631" t="str">
        <f>IF(_xlfn.XLOOKUP('PREENCHIMENTO|LETIVAS'!A1631,PARAMETROS!A:A,PARAMETROS!I:I)=0,"",_xlfn.XLOOKUP('PREENCHIMENTO|LETIVAS'!A1631,PARAMETROS!A:A,PARAMETROS!I:I))</f>
        <v/>
      </c>
      <c r="F1631" s="3"/>
      <c r="G1631" s="3"/>
      <c r="H1631" s="3"/>
      <c r="I1631" s="3"/>
      <c r="J1631" s="3"/>
      <c r="K1631" s="3"/>
      <c r="L1631" s="19"/>
    </row>
    <row r="1632" spans="1:12">
      <c r="A1632" s="3"/>
      <c r="B1632" t="str">
        <f>IF(_xlfn.XLOOKUP(A1632,PARAMETROS!A:A,PARAMETROS!B:B)=0,"",_xlfn.XLOOKUP(A1632,PARAMETROS!A:A,PARAMETROS!B:B))</f>
        <v/>
      </c>
      <c r="C1632" t="str">
        <f>IF(_xlfn.XLOOKUP(A1632,PARAMETROS!A:A,PARAMETROS!C:C)=0,"",_xlfn.XLOOKUP(A1632,PARAMETROS!A:A,PARAMETROS!C:C))</f>
        <v/>
      </c>
      <c r="D1632" t="str">
        <f>IF(_xlfn.XLOOKUP(A1632,PARAMETROS!A:A,PARAMETROS!D:D)=0,"",_xlfn.XLOOKUP(A1632,PARAMETROS!A:A,PARAMETROS!D:D))</f>
        <v/>
      </c>
      <c r="E1632" t="str">
        <f>IF(_xlfn.XLOOKUP('PREENCHIMENTO|LETIVAS'!A1632,PARAMETROS!A:A,PARAMETROS!I:I)=0,"",_xlfn.XLOOKUP('PREENCHIMENTO|LETIVAS'!A1632,PARAMETROS!A:A,PARAMETROS!I:I))</f>
        <v/>
      </c>
      <c r="F1632" s="3"/>
      <c r="G1632" s="3"/>
      <c r="H1632" s="3"/>
      <c r="I1632" s="3"/>
      <c r="J1632" s="3"/>
      <c r="K1632" s="3"/>
      <c r="L1632" s="19"/>
    </row>
    <row r="1633" spans="1:12">
      <c r="A1633" s="3"/>
      <c r="B1633" t="str">
        <f>IF(_xlfn.XLOOKUP(A1633,PARAMETROS!A:A,PARAMETROS!B:B)=0,"",_xlfn.XLOOKUP(A1633,PARAMETROS!A:A,PARAMETROS!B:B))</f>
        <v/>
      </c>
      <c r="C1633" t="str">
        <f>IF(_xlfn.XLOOKUP(A1633,PARAMETROS!A:A,PARAMETROS!C:C)=0,"",_xlfn.XLOOKUP(A1633,PARAMETROS!A:A,PARAMETROS!C:C))</f>
        <v/>
      </c>
      <c r="D1633" t="str">
        <f>IF(_xlfn.XLOOKUP(A1633,PARAMETROS!A:A,PARAMETROS!D:D)=0,"",_xlfn.XLOOKUP(A1633,PARAMETROS!A:A,PARAMETROS!D:D))</f>
        <v/>
      </c>
      <c r="E1633" t="str">
        <f>IF(_xlfn.XLOOKUP('PREENCHIMENTO|LETIVAS'!A1633,PARAMETROS!A:A,PARAMETROS!I:I)=0,"",_xlfn.XLOOKUP('PREENCHIMENTO|LETIVAS'!A1633,PARAMETROS!A:A,PARAMETROS!I:I))</f>
        <v/>
      </c>
      <c r="F1633" s="3"/>
      <c r="G1633" s="3"/>
      <c r="H1633" s="3"/>
      <c r="I1633" s="3"/>
      <c r="J1633" s="3"/>
      <c r="K1633" s="3"/>
      <c r="L1633" s="19"/>
    </row>
    <row r="1634" spans="1:12">
      <c r="A1634" s="3"/>
      <c r="B1634" t="str">
        <f>IF(_xlfn.XLOOKUP(A1634,PARAMETROS!A:A,PARAMETROS!B:B)=0,"",_xlfn.XLOOKUP(A1634,PARAMETROS!A:A,PARAMETROS!B:B))</f>
        <v/>
      </c>
      <c r="C1634" t="str">
        <f>IF(_xlfn.XLOOKUP(A1634,PARAMETROS!A:A,PARAMETROS!C:C)=0,"",_xlfn.XLOOKUP(A1634,PARAMETROS!A:A,PARAMETROS!C:C))</f>
        <v/>
      </c>
      <c r="D1634" t="str">
        <f>IF(_xlfn.XLOOKUP(A1634,PARAMETROS!A:A,PARAMETROS!D:D)=0,"",_xlfn.XLOOKUP(A1634,PARAMETROS!A:A,PARAMETROS!D:D))</f>
        <v/>
      </c>
      <c r="E1634" t="str">
        <f>IF(_xlfn.XLOOKUP('PREENCHIMENTO|LETIVAS'!A1634,PARAMETROS!A:A,PARAMETROS!I:I)=0,"",_xlfn.XLOOKUP('PREENCHIMENTO|LETIVAS'!A1634,PARAMETROS!A:A,PARAMETROS!I:I))</f>
        <v/>
      </c>
      <c r="F1634" s="3"/>
      <c r="G1634" s="3"/>
      <c r="H1634" s="3"/>
      <c r="I1634" s="3"/>
      <c r="J1634" s="3"/>
      <c r="K1634" s="3"/>
      <c r="L1634" s="19"/>
    </row>
    <row r="1635" spans="1:12">
      <c r="A1635" s="3"/>
      <c r="B1635" t="str">
        <f>IF(_xlfn.XLOOKUP(A1635,PARAMETROS!A:A,PARAMETROS!B:B)=0,"",_xlfn.XLOOKUP(A1635,PARAMETROS!A:A,PARAMETROS!B:B))</f>
        <v/>
      </c>
      <c r="C1635" t="str">
        <f>IF(_xlfn.XLOOKUP(A1635,PARAMETROS!A:A,PARAMETROS!C:C)=0,"",_xlfn.XLOOKUP(A1635,PARAMETROS!A:A,PARAMETROS!C:C))</f>
        <v/>
      </c>
      <c r="D1635" t="str">
        <f>IF(_xlfn.XLOOKUP(A1635,PARAMETROS!A:A,PARAMETROS!D:D)=0,"",_xlfn.XLOOKUP(A1635,PARAMETROS!A:A,PARAMETROS!D:D))</f>
        <v/>
      </c>
      <c r="E1635" t="str">
        <f>IF(_xlfn.XLOOKUP('PREENCHIMENTO|LETIVAS'!A1635,PARAMETROS!A:A,PARAMETROS!I:I)=0,"",_xlfn.XLOOKUP('PREENCHIMENTO|LETIVAS'!A1635,PARAMETROS!A:A,PARAMETROS!I:I))</f>
        <v/>
      </c>
      <c r="F1635" s="3"/>
      <c r="G1635" s="3"/>
      <c r="H1635" s="3"/>
      <c r="I1635" s="3"/>
      <c r="J1635" s="3"/>
      <c r="K1635" s="3"/>
      <c r="L1635" s="19"/>
    </row>
    <row r="1636" spans="1:12">
      <c r="A1636" s="3"/>
      <c r="B1636" t="str">
        <f>IF(_xlfn.XLOOKUP(A1636,PARAMETROS!A:A,PARAMETROS!B:B)=0,"",_xlfn.XLOOKUP(A1636,PARAMETROS!A:A,PARAMETROS!B:B))</f>
        <v/>
      </c>
      <c r="C1636" t="str">
        <f>IF(_xlfn.XLOOKUP(A1636,PARAMETROS!A:A,PARAMETROS!C:C)=0,"",_xlfn.XLOOKUP(A1636,PARAMETROS!A:A,PARAMETROS!C:C))</f>
        <v/>
      </c>
      <c r="D1636" t="str">
        <f>IF(_xlfn.XLOOKUP(A1636,PARAMETROS!A:A,PARAMETROS!D:D)=0,"",_xlfn.XLOOKUP(A1636,PARAMETROS!A:A,PARAMETROS!D:D))</f>
        <v/>
      </c>
      <c r="E1636" t="str">
        <f>IF(_xlfn.XLOOKUP('PREENCHIMENTO|LETIVAS'!A1636,PARAMETROS!A:A,PARAMETROS!I:I)=0,"",_xlfn.XLOOKUP('PREENCHIMENTO|LETIVAS'!A1636,PARAMETROS!A:A,PARAMETROS!I:I))</f>
        <v/>
      </c>
      <c r="F1636" s="3"/>
      <c r="G1636" s="3"/>
      <c r="H1636" s="3"/>
      <c r="I1636" s="3"/>
      <c r="J1636" s="3"/>
      <c r="K1636" s="3"/>
      <c r="L1636" s="19"/>
    </row>
    <row r="1637" spans="1:12">
      <c r="A1637" s="3"/>
      <c r="B1637" t="str">
        <f>IF(_xlfn.XLOOKUP(A1637,PARAMETROS!A:A,PARAMETROS!B:B)=0,"",_xlfn.XLOOKUP(A1637,PARAMETROS!A:A,PARAMETROS!B:B))</f>
        <v/>
      </c>
      <c r="C1637" t="str">
        <f>IF(_xlfn.XLOOKUP(A1637,PARAMETROS!A:A,PARAMETROS!C:C)=0,"",_xlfn.XLOOKUP(A1637,PARAMETROS!A:A,PARAMETROS!C:C))</f>
        <v/>
      </c>
      <c r="D1637" t="str">
        <f>IF(_xlfn.XLOOKUP(A1637,PARAMETROS!A:A,PARAMETROS!D:D)=0,"",_xlfn.XLOOKUP(A1637,PARAMETROS!A:A,PARAMETROS!D:D))</f>
        <v/>
      </c>
      <c r="E1637" t="str">
        <f>IF(_xlfn.XLOOKUP('PREENCHIMENTO|LETIVAS'!A1637,PARAMETROS!A:A,PARAMETROS!I:I)=0,"",_xlfn.XLOOKUP('PREENCHIMENTO|LETIVAS'!A1637,PARAMETROS!A:A,PARAMETROS!I:I))</f>
        <v/>
      </c>
      <c r="F1637" s="3"/>
      <c r="G1637" s="3"/>
      <c r="H1637" s="3"/>
      <c r="I1637" s="3"/>
      <c r="J1637" s="3"/>
      <c r="K1637" s="3"/>
      <c r="L1637" s="19"/>
    </row>
    <row r="1638" spans="1:12">
      <c r="A1638" s="3"/>
      <c r="B1638" t="str">
        <f>IF(_xlfn.XLOOKUP(A1638,PARAMETROS!A:A,PARAMETROS!B:B)=0,"",_xlfn.XLOOKUP(A1638,PARAMETROS!A:A,PARAMETROS!B:B))</f>
        <v/>
      </c>
      <c r="C1638" t="str">
        <f>IF(_xlfn.XLOOKUP(A1638,PARAMETROS!A:A,PARAMETROS!C:C)=0,"",_xlfn.XLOOKUP(A1638,PARAMETROS!A:A,PARAMETROS!C:C))</f>
        <v/>
      </c>
      <c r="D1638" t="str">
        <f>IF(_xlfn.XLOOKUP(A1638,PARAMETROS!A:A,PARAMETROS!D:D)=0,"",_xlfn.XLOOKUP(A1638,PARAMETROS!A:A,PARAMETROS!D:D))</f>
        <v/>
      </c>
      <c r="E1638" t="str">
        <f>IF(_xlfn.XLOOKUP('PREENCHIMENTO|LETIVAS'!A1638,PARAMETROS!A:A,PARAMETROS!I:I)=0,"",_xlfn.XLOOKUP('PREENCHIMENTO|LETIVAS'!A1638,PARAMETROS!A:A,PARAMETROS!I:I))</f>
        <v/>
      </c>
      <c r="F1638" s="3"/>
      <c r="G1638" s="3"/>
      <c r="H1638" s="3"/>
      <c r="I1638" s="3"/>
      <c r="J1638" s="3"/>
      <c r="K1638" s="3"/>
      <c r="L1638" s="19"/>
    </row>
    <row r="1639" spans="1:12">
      <c r="A1639" s="3"/>
      <c r="B1639" t="str">
        <f>IF(_xlfn.XLOOKUP(A1639,PARAMETROS!A:A,PARAMETROS!B:B)=0,"",_xlfn.XLOOKUP(A1639,PARAMETROS!A:A,PARAMETROS!B:B))</f>
        <v/>
      </c>
      <c r="C1639" t="str">
        <f>IF(_xlfn.XLOOKUP(A1639,PARAMETROS!A:A,PARAMETROS!C:C)=0,"",_xlfn.XLOOKUP(A1639,PARAMETROS!A:A,PARAMETROS!C:C))</f>
        <v/>
      </c>
      <c r="D1639" t="str">
        <f>IF(_xlfn.XLOOKUP(A1639,PARAMETROS!A:A,PARAMETROS!D:D)=0,"",_xlfn.XLOOKUP(A1639,PARAMETROS!A:A,PARAMETROS!D:D))</f>
        <v/>
      </c>
      <c r="E1639" t="str">
        <f>IF(_xlfn.XLOOKUP('PREENCHIMENTO|LETIVAS'!A1639,PARAMETROS!A:A,PARAMETROS!I:I)=0,"",_xlfn.XLOOKUP('PREENCHIMENTO|LETIVAS'!A1639,PARAMETROS!A:A,PARAMETROS!I:I))</f>
        <v/>
      </c>
      <c r="F1639" s="3"/>
      <c r="G1639" s="3"/>
      <c r="H1639" s="3"/>
      <c r="I1639" s="3"/>
      <c r="J1639" s="3"/>
      <c r="K1639" s="3"/>
      <c r="L1639" s="19"/>
    </row>
    <row r="1640" spans="1:12">
      <c r="A1640" s="3"/>
      <c r="B1640" t="str">
        <f>IF(_xlfn.XLOOKUP(A1640,PARAMETROS!A:A,PARAMETROS!B:B)=0,"",_xlfn.XLOOKUP(A1640,PARAMETROS!A:A,PARAMETROS!B:B))</f>
        <v/>
      </c>
      <c r="C1640" t="str">
        <f>IF(_xlfn.XLOOKUP(A1640,PARAMETROS!A:A,PARAMETROS!C:C)=0,"",_xlfn.XLOOKUP(A1640,PARAMETROS!A:A,PARAMETROS!C:C))</f>
        <v/>
      </c>
      <c r="D1640" t="str">
        <f>IF(_xlfn.XLOOKUP(A1640,PARAMETROS!A:A,PARAMETROS!D:D)=0,"",_xlfn.XLOOKUP(A1640,PARAMETROS!A:A,PARAMETROS!D:D))</f>
        <v/>
      </c>
      <c r="E1640" t="str">
        <f>IF(_xlfn.XLOOKUP('PREENCHIMENTO|LETIVAS'!A1640,PARAMETROS!A:A,PARAMETROS!I:I)=0,"",_xlfn.XLOOKUP('PREENCHIMENTO|LETIVAS'!A1640,PARAMETROS!A:A,PARAMETROS!I:I))</f>
        <v/>
      </c>
      <c r="F1640" s="3"/>
      <c r="G1640" s="3"/>
      <c r="H1640" s="3"/>
      <c r="I1640" s="3"/>
      <c r="J1640" s="3"/>
      <c r="K1640" s="3"/>
      <c r="L1640" s="19"/>
    </row>
    <row r="1641" spans="1:12">
      <c r="A1641" s="3"/>
      <c r="B1641" t="str">
        <f>IF(_xlfn.XLOOKUP(A1641,PARAMETROS!A:A,PARAMETROS!B:B)=0,"",_xlfn.XLOOKUP(A1641,PARAMETROS!A:A,PARAMETROS!B:B))</f>
        <v/>
      </c>
      <c r="C1641" t="str">
        <f>IF(_xlfn.XLOOKUP(A1641,PARAMETROS!A:A,PARAMETROS!C:C)=0,"",_xlfn.XLOOKUP(A1641,PARAMETROS!A:A,PARAMETROS!C:C))</f>
        <v/>
      </c>
      <c r="D1641" t="str">
        <f>IF(_xlfn.XLOOKUP(A1641,PARAMETROS!A:A,PARAMETROS!D:D)=0,"",_xlfn.XLOOKUP(A1641,PARAMETROS!A:A,PARAMETROS!D:D))</f>
        <v/>
      </c>
      <c r="E1641" t="str">
        <f>IF(_xlfn.XLOOKUP('PREENCHIMENTO|LETIVAS'!A1641,PARAMETROS!A:A,PARAMETROS!I:I)=0,"",_xlfn.XLOOKUP('PREENCHIMENTO|LETIVAS'!A1641,PARAMETROS!A:A,PARAMETROS!I:I))</f>
        <v/>
      </c>
      <c r="F1641" s="3"/>
      <c r="G1641" s="3"/>
      <c r="H1641" s="3"/>
      <c r="I1641" s="3"/>
      <c r="J1641" s="3"/>
      <c r="K1641" s="3"/>
      <c r="L1641" s="19"/>
    </row>
    <row r="1642" spans="1:12">
      <c r="A1642" s="3"/>
      <c r="B1642" t="str">
        <f>IF(_xlfn.XLOOKUP(A1642,PARAMETROS!A:A,PARAMETROS!B:B)=0,"",_xlfn.XLOOKUP(A1642,PARAMETROS!A:A,PARAMETROS!B:B))</f>
        <v/>
      </c>
      <c r="C1642" t="str">
        <f>IF(_xlfn.XLOOKUP(A1642,PARAMETROS!A:A,PARAMETROS!C:C)=0,"",_xlfn.XLOOKUP(A1642,PARAMETROS!A:A,PARAMETROS!C:C))</f>
        <v/>
      </c>
      <c r="D1642" t="str">
        <f>IF(_xlfn.XLOOKUP(A1642,PARAMETROS!A:A,PARAMETROS!D:D)=0,"",_xlfn.XLOOKUP(A1642,PARAMETROS!A:A,PARAMETROS!D:D))</f>
        <v/>
      </c>
      <c r="E1642" t="str">
        <f>IF(_xlfn.XLOOKUP('PREENCHIMENTO|LETIVAS'!A1642,PARAMETROS!A:A,PARAMETROS!I:I)=0,"",_xlfn.XLOOKUP('PREENCHIMENTO|LETIVAS'!A1642,PARAMETROS!A:A,PARAMETROS!I:I))</f>
        <v/>
      </c>
      <c r="F1642" s="3"/>
      <c r="G1642" s="3"/>
      <c r="H1642" s="3"/>
      <c r="I1642" s="3"/>
      <c r="J1642" s="3"/>
      <c r="K1642" s="3"/>
      <c r="L1642" s="19"/>
    </row>
    <row r="1643" spans="1:12">
      <c r="A1643" s="3"/>
      <c r="B1643" t="str">
        <f>IF(_xlfn.XLOOKUP(A1643,PARAMETROS!A:A,PARAMETROS!B:B)=0,"",_xlfn.XLOOKUP(A1643,PARAMETROS!A:A,PARAMETROS!B:B))</f>
        <v/>
      </c>
      <c r="C1643" t="str">
        <f>IF(_xlfn.XLOOKUP(A1643,PARAMETROS!A:A,PARAMETROS!C:C)=0,"",_xlfn.XLOOKUP(A1643,PARAMETROS!A:A,PARAMETROS!C:C))</f>
        <v/>
      </c>
      <c r="D1643" t="str">
        <f>IF(_xlfn.XLOOKUP(A1643,PARAMETROS!A:A,PARAMETROS!D:D)=0,"",_xlfn.XLOOKUP(A1643,PARAMETROS!A:A,PARAMETROS!D:D))</f>
        <v/>
      </c>
      <c r="E1643" t="str">
        <f>IF(_xlfn.XLOOKUP('PREENCHIMENTO|LETIVAS'!A1643,PARAMETROS!A:A,PARAMETROS!I:I)=0,"",_xlfn.XLOOKUP('PREENCHIMENTO|LETIVAS'!A1643,PARAMETROS!A:A,PARAMETROS!I:I))</f>
        <v/>
      </c>
      <c r="F1643" s="3"/>
      <c r="G1643" s="3"/>
      <c r="H1643" s="3"/>
      <c r="I1643" s="3"/>
      <c r="J1643" s="3"/>
      <c r="K1643" s="3"/>
      <c r="L1643" s="19"/>
    </row>
    <row r="1644" spans="1:12">
      <c r="A1644" s="3"/>
      <c r="B1644" t="str">
        <f>IF(_xlfn.XLOOKUP(A1644,PARAMETROS!A:A,PARAMETROS!B:B)=0,"",_xlfn.XLOOKUP(A1644,PARAMETROS!A:A,PARAMETROS!B:B))</f>
        <v/>
      </c>
      <c r="C1644" t="str">
        <f>IF(_xlfn.XLOOKUP(A1644,PARAMETROS!A:A,PARAMETROS!C:C)=0,"",_xlfn.XLOOKUP(A1644,PARAMETROS!A:A,PARAMETROS!C:C))</f>
        <v/>
      </c>
      <c r="D1644" t="str">
        <f>IF(_xlfn.XLOOKUP(A1644,PARAMETROS!A:A,PARAMETROS!D:D)=0,"",_xlfn.XLOOKUP(A1644,PARAMETROS!A:A,PARAMETROS!D:D))</f>
        <v/>
      </c>
      <c r="E1644" t="str">
        <f>IF(_xlfn.XLOOKUP('PREENCHIMENTO|LETIVAS'!A1644,PARAMETROS!A:A,PARAMETROS!I:I)=0,"",_xlfn.XLOOKUP('PREENCHIMENTO|LETIVAS'!A1644,PARAMETROS!A:A,PARAMETROS!I:I))</f>
        <v/>
      </c>
      <c r="F1644" s="3"/>
      <c r="G1644" s="3"/>
      <c r="H1644" s="3"/>
      <c r="I1644" s="3"/>
      <c r="J1644" s="3"/>
      <c r="K1644" s="3"/>
      <c r="L1644" s="19"/>
    </row>
    <row r="1645" spans="1:12">
      <c r="A1645" s="3"/>
      <c r="B1645" t="str">
        <f>IF(_xlfn.XLOOKUP(A1645,PARAMETROS!A:A,PARAMETROS!B:B)=0,"",_xlfn.XLOOKUP(A1645,PARAMETROS!A:A,PARAMETROS!B:B))</f>
        <v/>
      </c>
      <c r="C1645" t="str">
        <f>IF(_xlfn.XLOOKUP(A1645,PARAMETROS!A:A,PARAMETROS!C:C)=0,"",_xlfn.XLOOKUP(A1645,PARAMETROS!A:A,PARAMETROS!C:C))</f>
        <v/>
      </c>
      <c r="D1645" t="str">
        <f>IF(_xlfn.XLOOKUP(A1645,PARAMETROS!A:A,PARAMETROS!D:D)=0,"",_xlfn.XLOOKUP(A1645,PARAMETROS!A:A,PARAMETROS!D:D))</f>
        <v/>
      </c>
      <c r="E1645" t="str">
        <f>IF(_xlfn.XLOOKUP('PREENCHIMENTO|LETIVAS'!A1645,PARAMETROS!A:A,PARAMETROS!I:I)=0,"",_xlfn.XLOOKUP('PREENCHIMENTO|LETIVAS'!A1645,PARAMETROS!A:A,PARAMETROS!I:I))</f>
        <v/>
      </c>
      <c r="F1645" s="3"/>
      <c r="G1645" s="3"/>
      <c r="H1645" s="3"/>
      <c r="I1645" s="3"/>
      <c r="J1645" s="3"/>
      <c r="K1645" s="3"/>
      <c r="L1645" s="19"/>
    </row>
    <row r="1646" spans="1:12">
      <c r="A1646" s="3"/>
      <c r="B1646" t="str">
        <f>IF(_xlfn.XLOOKUP(A1646,PARAMETROS!A:A,PARAMETROS!B:B)=0,"",_xlfn.XLOOKUP(A1646,PARAMETROS!A:A,PARAMETROS!B:B))</f>
        <v/>
      </c>
      <c r="C1646" t="str">
        <f>IF(_xlfn.XLOOKUP(A1646,PARAMETROS!A:A,PARAMETROS!C:C)=0,"",_xlfn.XLOOKUP(A1646,PARAMETROS!A:A,PARAMETROS!C:C))</f>
        <v/>
      </c>
      <c r="D1646" t="str">
        <f>IF(_xlfn.XLOOKUP(A1646,PARAMETROS!A:A,PARAMETROS!D:D)=0,"",_xlfn.XLOOKUP(A1646,PARAMETROS!A:A,PARAMETROS!D:D))</f>
        <v/>
      </c>
      <c r="E1646" t="str">
        <f>IF(_xlfn.XLOOKUP('PREENCHIMENTO|LETIVAS'!A1646,PARAMETROS!A:A,PARAMETROS!I:I)=0,"",_xlfn.XLOOKUP('PREENCHIMENTO|LETIVAS'!A1646,PARAMETROS!A:A,PARAMETROS!I:I))</f>
        <v/>
      </c>
      <c r="F1646" s="3"/>
      <c r="G1646" s="3"/>
      <c r="H1646" s="3"/>
      <c r="I1646" s="3"/>
      <c r="J1646" s="3"/>
      <c r="K1646" s="3"/>
      <c r="L1646" s="19"/>
    </row>
    <row r="1647" spans="1:12">
      <c r="A1647" s="3"/>
      <c r="B1647" t="str">
        <f>IF(_xlfn.XLOOKUP(A1647,PARAMETROS!A:A,PARAMETROS!B:B)=0,"",_xlfn.XLOOKUP(A1647,PARAMETROS!A:A,PARAMETROS!B:B))</f>
        <v/>
      </c>
      <c r="C1647" t="str">
        <f>IF(_xlfn.XLOOKUP(A1647,PARAMETROS!A:A,PARAMETROS!C:C)=0,"",_xlfn.XLOOKUP(A1647,PARAMETROS!A:A,PARAMETROS!C:C))</f>
        <v/>
      </c>
      <c r="D1647" t="str">
        <f>IF(_xlfn.XLOOKUP(A1647,PARAMETROS!A:A,PARAMETROS!D:D)=0,"",_xlfn.XLOOKUP(A1647,PARAMETROS!A:A,PARAMETROS!D:D))</f>
        <v/>
      </c>
      <c r="E1647" t="str">
        <f>IF(_xlfn.XLOOKUP('PREENCHIMENTO|LETIVAS'!A1647,PARAMETROS!A:A,PARAMETROS!I:I)=0,"",_xlfn.XLOOKUP('PREENCHIMENTO|LETIVAS'!A1647,PARAMETROS!A:A,PARAMETROS!I:I))</f>
        <v/>
      </c>
      <c r="F1647" s="3"/>
      <c r="G1647" s="3"/>
      <c r="H1647" s="3"/>
      <c r="I1647" s="3"/>
      <c r="J1647" s="3"/>
      <c r="K1647" s="3"/>
      <c r="L1647" s="19"/>
    </row>
    <row r="1648" spans="1:12">
      <c r="A1648" s="3"/>
      <c r="B1648" t="str">
        <f>IF(_xlfn.XLOOKUP(A1648,PARAMETROS!A:A,PARAMETROS!B:B)=0,"",_xlfn.XLOOKUP(A1648,PARAMETROS!A:A,PARAMETROS!B:B))</f>
        <v/>
      </c>
      <c r="C1648" t="str">
        <f>IF(_xlfn.XLOOKUP(A1648,PARAMETROS!A:A,PARAMETROS!C:C)=0,"",_xlfn.XLOOKUP(A1648,PARAMETROS!A:A,PARAMETROS!C:C))</f>
        <v/>
      </c>
      <c r="D1648" t="str">
        <f>IF(_xlfn.XLOOKUP(A1648,PARAMETROS!A:A,PARAMETROS!D:D)=0,"",_xlfn.XLOOKUP(A1648,PARAMETROS!A:A,PARAMETROS!D:D))</f>
        <v/>
      </c>
      <c r="E1648" t="str">
        <f>IF(_xlfn.XLOOKUP('PREENCHIMENTO|LETIVAS'!A1648,PARAMETROS!A:A,PARAMETROS!I:I)=0,"",_xlfn.XLOOKUP('PREENCHIMENTO|LETIVAS'!A1648,PARAMETROS!A:A,PARAMETROS!I:I))</f>
        <v/>
      </c>
      <c r="F1648" s="3"/>
      <c r="G1648" s="3"/>
      <c r="H1648" s="3"/>
      <c r="I1648" s="3"/>
      <c r="J1648" s="3"/>
      <c r="K1648" s="3"/>
      <c r="L1648" s="19"/>
    </row>
    <row r="1649" spans="1:12">
      <c r="A1649" s="3"/>
      <c r="B1649" t="str">
        <f>IF(_xlfn.XLOOKUP(A1649,PARAMETROS!A:A,PARAMETROS!B:B)=0,"",_xlfn.XLOOKUP(A1649,PARAMETROS!A:A,PARAMETROS!B:B))</f>
        <v/>
      </c>
      <c r="C1649" t="str">
        <f>IF(_xlfn.XLOOKUP(A1649,PARAMETROS!A:A,PARAMETROS!C:C)=0,"",_xlfn.XLOOKUP(A1649,PARAMETROS!A:A,PARAMETROS!C:C))</f>
        <v/>
      </c>
      <c r="D1649" t="str">
        <f>IF(_xlfn.XLOOKUP(A1649,PARAMETROS!A:A,PARAMETROS!D:D)=0,"",_xlfn.XLOOKUP(A1649,PARAMETROS!A:A,PARAMETROS!D:D))</f>
        <v/>
      </c>
      <c r="E1649" t="str">
        <f>IF(_xlfn.XLOOKUP('PREENCHIMENTO|LETIVAS'!A1649,PARAMETROS!A:A,PARAMETROS!I:I)=0,"",_xlfn.XLOOKUP('PREENCHIMENTO|LETIVAS'!A1649,PARAMETROS!A:A,PARAMETROS!I:I))</f>
        <v/>
      </c>
      <c r="F1649" s="3"/>
      <c r="G1649" s="3"/>
      <c r="H1649" s="3"/>
      <c r="I1649" s="3"/>
      <c r="J1649" s="3"/>
      <c r="K1649" s="3"/>
      <c r="L1649" s="19"/>
    </row>
    <row r="1650" spans="1:12">
      <c r="A1650" s="3"/>
      <c r="B1650" t="str">
        <f>IF(_xlfn.XLOOKUP(A1650,PARAMETROS!A:A,PARAMETROS!B:B)=0,"",_xlfn.XLOOKUP(A1650,PARAMETROS!A:A,PARAMETROS!B:B))</f>
        <v/>
      </c>
      <c r="C1650" t="str">
        <f>IF(_xlfn.XLOOKUP(A1650,PARAMETROS!A:A,PARAMETROS!C:C)=0,"",_xlfn.XLOOKUP(A1650,PARAMETROS!A:A,PARAMETROS!C:C))</f>
        <v/>
      </c>
      <c r="D1650" t="str">
        <f>IF(_xlfn.XLOOKUP(A1650,PARAMETROS!A:A,PARAMETROS!D:D)=0,"",_xlfn.XLOOKUP(A1650,PARAMETROS!A:A,PARAMETROS!D:D))</f>
        <v/>
      </c>
      <c r="E1650" t="str">
        <f>IF(_xlfn.XLOOKUP('PREENCHIMENTO|LETIVAS'!A1650,PARAMETROS!A:A,PARAMETROS!I:I)=0,"",_xlfn.XLOOKUP('PREENCHIMENTO|LETIVAS'!A1650,PARAMETROS!A:A,PARAMETROS!I:I))</f>
        <v/>
      </c>
      <c r="F1650" s="3"/>
      <c r="G1650" s="3"/>
      <c r="H1650" s="3"/>
      <c r="I1650" s="3"/>
      <c r="J1650" s="3"/>
      <c r="K1650" s="3"/>
      <c r="L1650" s="19"/>
    </row>
    <row r="1651" spans="1:12">
      <c r="A1651" s="3"/>
      <c r="B1651" t="str">
        <f>IF(_xlfn.XLOOKUP(A1651,PARAMETROS!A:A,PARAMETROS!B:B)=0,"",_xlfn.XLOOKUP(A1651,PARAMETROS!A:A,PARAMETROS!B:B))</f>
        <v/>
      </c>
      <c r="C1651" t="str">
        <f>IF(_xlfn.XLOOKUP(A1651,PARAMETROS!A:A,PARAMETROS!C:C)=0,"",_xlfn.XLOOKUP(A1651,PARAMETROS!A:A,PARAMETROS!C:C))</f>
        <v/>
      </c>
      <c r="D1651" t="str">
        <f>IF(_xlfn.XLOOKUP(A1651,PARAMETROS!A:A,PARAMETROS!D:D)=0,"",_xlfn.XLOOKUP(A1651,PARAMETROS!A:A,PARAMETROS!D:D))</f>
        <v/>
      </c>
      <c r="E1651" t="str">
        <f>IF(_xlfn.XLOOKUP('PREENCHIMENTO|LETIVAS'!A1651,PARAMETROS!A:A,PARAMETROS!I:I)=0,"",_xlfn.XLOOKUP('PREENCHIMENTO|LETIVAS'!A1651,PARAMETROS!A:A,PARAMETROS!I:I))</f>
        <v/>
      </c>
      <c r="F1651" s="3"/>
      <c r="G1651" s="3"/>
      <c r="H1651" s="3"/>
      <c r="I1651" s="3"/>
      <c r="J1651" s="3"/>
      <c r="K1651" s="3"/>
      <c r="L1651" s="19"/>
    </row>
    <row r="1652" spans="1:12">
      <c r="A1652" s="3"/>
      <c r="B1652" t="str">
        <f>IF(_xlfn.XLOOKUP(A1652,PARAMETROS!A:A,PARAMETROS!B:B)=0,"",_xlfn.XLOOKUP(A1652,PARAMETROS!A:A,PARAMETROS!B:B))</f>
        <v/>
      </c>
      <c r="C1652" t="str">
        <f>IF(_xlfn.XLOOKUP(A1652,PARAMETROS!A:A,PARAMETROS!C:C)=0,"",_xlfn.XLOOKUP(A1652,PARAMETROS!A:A,PARAMETROS!C:C))</f>
        <v/>
      </c>
      <c r="D1652" t="str">
        <f>IF(_xlfn.XLOOKUP(A1652,PARAMETROS!A:A,PARAMETROS!D:D)=0,"",_xlfn.XLOOKUP(A1652,PARAMETROS!A:A,PARAMETROS!D:D))</f>
        <v/>
      </c>
      <c r="E1652" t="str">
        <f>IF(_xlfn.XLOOKUP('PREENCHIMENTO|LETIVAS'!A1652,PARAMETROS!A:A,PARAMETROS!I:I)=0,"",_xlfn.XLOOKUP('PREENCHIMENTO|LETIVAS'!A1652,PARAMETROS!A:A,PARAMETROS!I:I))</f>
        <v/>
      </c>
      <c r="F1652" s="3"/>
      <c r="G1652" s="3"/>
      <c r="H1652" s="3"/>
      <c r="I1652" s="3"/>
      <c r="J1652" s="3"/>
      <c r="K1652" s="3"/>
      <c r="L1652" s="19"/>
    </row>
    <row r="1653" spans="1:12">
      <c r="A1653" s="3"/>
      <c r="B1653" t="str">
        <f>IF(_xlfn.XLOOKUP(A1653,PARAMETROS!A:A,PARAMETROS!B:B)=0,"",_xlfn.XLOOKUP(A1653,PARAMETROS!A:A,PARAMETROS!B:B))</f>
        <v/>
      </c>
      <c r="C1653" t="str">
        <f>IF(_xlfn.XLOOKUP(A1653,PARAMETROS!A:A,PARAMETROS!C:C)=0,"",_xlfn.XLOOKUP(A1653,PARAMETROS!A:A,PARAMETROS!C:C))</f>
        <v/>
      </c>
      <c r="D1653" t="str">
        <f>IF(_xlfn.XLOOKUP(A1653,PARAMETROS!A:A,PARAMETROS!D:D)=0,"",_xlfn.XLOOKUP(A1653,PARAMETROS!A:A,PARAMETROS!D:D))</f>
        <v/>
      </c>
      <c r="E1653" t="str">
        <f>IF(_xlfn.XLOOKUP('PREENCHIMENTO|LETIVAS'!A1653,PARAMETROS!A:A,PARAMETROS!I:I)=0,"",_xlfn.XLOOKUP('PREENCHIMENTO|LETIVAS'!A1653,PARAMETROS!A:A,PARAMETROS!I:I))</f>
        <v/>
      </c>
      <c r="F1653" s="3"/>
      <c r="G1653" s="3"/>
      <c r="H1653" s="3"/>
      <c r="I1653" s="3"/>
      <c r="J1653" s="3"/>
      <c r="K1653" s="3"/>
      <c r="L1653" s="19"/>
    </row>
    <row r="1654" spans="1:12">
      <c r="A1654" s="3"/>
      <c r="B1654" t="str">
        <f>IF(_xlfn.XLOOKUP(A1654,PARAMETROS!A:A,PARAMETROS!B:B)=0,"",_xlfn.XLOOKUP(A1654,PARAMETROS!A:A,PARAMETROS!B:B))</f>
        <v/>
      </c>
      <c r="C1654" t="str">
        <f>IF(_xlfn.XLOOKUP(A1654,PARAMETROS!A:A,PARAMETROS!C:C)=0,"",_xlfn.XLOOKUP(A1654,PARAMETROS!A:A,PARAMETROS!C:C))</f>
        <v/>
      </c>
      <c r="D1654" t="str">
        <f>IF(_xlfn.XLOOKUP(A1654,PARAMETROS!A:A,PARAMETROS!D:D)=0,"",_xlfn.XLOOKUP(A1654,PARAMETROS!A:A,PARAMETROS!D:D))</f>
        <v/>
      </c>
      <c r="E1654" t="str">
        <f>IF(_xlfn.XLOOKUP('PREENCHIMENTO|LETIVAS'!A1654,PARAMETROS!A:A,PARAMETROS!I:I)=0,"",_xlfn.XLOOKUP('PREENCHIMENTO|LETIVAS'!A1654,PARAMETROS!A:A,PARAMETROS!I:I))</f>
        <v/>
      </c>
      <c r="F1654" s="3"/>
      <c r="G1654" s="3"/>
      <c r="H1654" s="3"/>
      <c r="I1654" s="3"/>
      <c r="J1654" s="3"/>
      <c r="K1654" s="3"/>
      <c r="L1654" s="19"/>
    </row>
    <row r="1655" spans="1:12">
      <c r="A1655" s="3"/>
      <c r="B1655" t="str">
        <f>IF(_xlfn.XLOOKUP(A1655,PARAMETROS!A:A,PARAMETROS!B:B)=0,"",_xlfn.XLOOKUP(A1655,PARAMETROS!A:A,PARAMETROS!B:B))</f>
        <v/>
      </c>
      <c r="C1655" t="str">
        <f>IF(_xlfn.XLOOKUP(A1655,PARAMETROS!A:A,PARAMETROS!C:C)=0,"",_xlfn.XLOOKUP(A1655,PARAMETROS!A:A,PARAMETROS!C:C))</f>
        <v/>
      </c>
      <c r="D1655" t="str">
        <f>IF(_xlfn.XLOOKUP(A1655,PARAMETROS!A:A,PARAMETROS!D:D)=0,"",_xlfn.XLOOKUP(A1655,PARAMETROS!A:A,PARAMETROS!D:D))</f>
        <v/>
      </c>
      <c r="E1655" t="str">
        <f>IF(_xlfn.XLOOKUP('PREENCHIMENTO|LETIVAS'!A1655,PARAMETROS!A:A,PARAMETROS!I:I)=0,"",_xlfn.XLOOKUP('PREENCHIMENTO|LETIVAS'!A1655,PARAMETROS!A:A,PARAMETROS!I:I))</f>
        <v/>
      </c>
      <c r="F1655" s="3"/>
      <c r="G1655" s="3"/>
      <c r="H1655" s="3"/>
      <c r="I1655" s="3"/>
      <c r="J1655" s="3"/>
      <c r="K1655" s="3"/>
      <c r="L1655" s="19"/>
    </row>
    <row r="1656" spans="1:12">
      <c r="A1656" s="3"/>
      <c r="B1656" t="str">
        <f>IF(_xlfn.XLOOKUP(A1656,PARAMETROS!A:A,PARAMETROS!B:B)=0,"",_xlfn.XLOOKUP(A1656,PARAMETROS!A:A,PARAMETROS!B:B))</f>
        <v/>
      </c>
      <c r="C1656" t="str">
        <f>IF(_xlfn.XLOOKUP(A1656,PARAMETROS!A:A,PARAMETROS!C:C)=0,"",_xlfn.XLOOKUP(A1656,PARAMETROS!A:A,PARAMETROS!C:C))</f>
        <v/>
      </c>
      <c r="D1656" t="str">
        <f>IF(_xlfn.XLOOKUP(A1656,PARAMETROS!A:A,PARAMETROS!D:D)=0,"",_xlfn.XLOOKUP(A1656,PARAMETROS!A:A,PARAMETROS!D:D))</f>
        <v/>
      </c>
      <c r="E1656" t="str">
        <f>IF(_xlfn.XLOOKUP('PREENCHIMENTO|LETIVAS'!A1656,PARAMETROS!A:A,PARAMETROS!I:I)=0,"",_xlfn.XLOOKUP('PREENCHIMENTO|LETIVAS'!A1656,PARAMETROS!A:A,PARAMETROS!I:I))</f>
        <v/>
      </c>
      <c r="F1656" s="3"/>
      <c r="G1656" s="3"/>
      <c r="H1656" s="3"/>
      <c r="I1656" s="3"/>
      <c r="J1656" s="3"/>
      <c r="K1656" s="3"/>
      <c r="L1656" s="19"/>
    </row>
    <row r="1657" spans="1:12">
      <c r="A1657" s="3"/>
      <c r="B1657" t="str">
        <f>IF(_xlfn.XLOOKUP(A1657,PARAMETROS!A:A,PARAMETROS!B:B)=0,"",_xlfn.XLOOKUP(A1657,PARAMETROS!A:A,PARAMETROS!B:B))</f>
        <v/>
      </c>
      <c r="C1657" t="str">
        <f>IF(_xlfn.XLOOKUP(A1657,PARAMETROS!A:A,PARAMETROS!C:C)=0,"",_xlfn.XLOOKUP(A1657,PARAMETROS!A:A,PARAMETROS!C:C))</f>
        <v/>
      </c>
      <c r="D1657" t="str">
        <f>IF(_xlfn.XLOOKUP(A1657,PARAMETROS!A:A,PARAMETROS!D:D)=0,"",_xlfn.XLOOKUP(A1657,PARAMETROS!A:A,PARAMETROS!D:D))</f>
        <v/>
      </c>
      <c r="E1657" t="str">
        <f>IF(_xlfn.XLOOKUP('PREENCHIMENTO|LETIVAS'!A1657,PARAMETROS!A:A,PARAMETROS!I:I)=0,"",_xlfn.XLOOKUP('PREENCHIMENTO|LETIVAS'!A1657,PARAMETROS!A:A,PARAMETROS!I:I))</f>
        <v/>
      </c>
      <c r="F1657" s="3"/>
      <c r="G1657" s="3"/>
      <c r="H1657" s="3"/>
      <c r="I1657" s="3"/>
      <c r="J1657" s="3"/>
      <c r="K1657" s="3"/>
      <c r="L1657" s="19"/>
    </row>
    <row r="1658" spans="1:12">
      <c r="A1658" s="3"/>
      <c r="B1658" t="str">
        <f>IF(_xlfn.XLOOKUP(A1658,PARAMETROS!A:A,PARAMETROS!B:B)=0,"",_xlfn.XLOOKUP(A1658,PARAMETROS!A:A,PARAMETROS!B:B))</f>
        <v/>
      </c>
      <c r="C1658" t="str">
        <f>IF(_xlfn.XLOOKUP(A1658,PARAMETROS!A:A,PARAMETROS!C:C)=0,"",_xlfn.XLOOKUP(A1658,PARAMETROS!A:A,PARAMETROS!C:C))</f>
        <v/>
      </c>
      <c r="D1658" t="str">
        <f>IF(_xlfn.XLOOKUP(A1658,PARAMETROS!A:A,PARAMETROS!D:D)=0,"",_xlfn.XLOOKUP(A1658,PARAMETROS!A:A,PARAMETROS!D:D))</f>
        <v/>
      </c>
      <c r="E1658" t="str">
        <f>IF(_xlfn.XLOOKUP('PREENCHIMENTO|LETIVAS'!A1658,PARAMETROS!A:A,PARAMETROS!I:I)=0,"",_xlfn.XLOOKUP('PREENCHIMENTO|LETIVAS'!A1658,PARAMETROS!A:A,PARAMETROS!I:I))</f>
        <v/>
      </c>
      <c r="F1658" s="3"/>
      <c r="G1658" s="3"/>
      <c r="H1658" s="3"/>
      <c r="I1658" s="3"/>
      <c r="J1658" s="3"/>
      <c r="K1658" s="3"/>
      <c r="L1658" s="19"/>
    </row>
    <row r="1659" spans="1:12">
      <c r="A1659" s="3"/>
      <c r="B1659" t="str">
        <f>IF(_xlfn.XLOOKUP(A1659,PARAMETROS!A:A,PARAMETROS!B:B)=0,"",_xlfn.XLOOKUP(A1659,PARAMETROS!A:A,PARAMETROS!B:B))</f>
        <v/>
      </c>
      <c r="C1659" t="str">
        <f>IF(_xlfn.XLOOKUP(A1659,PARAMETROS!A:A,PARAMETROS!C:C)=0,"",_xlfn.XLOOKUP(A1659,PARAMETROS!A:A,PARAMETROS!C:C))</f>
        <v/>
      </c>
      <c r="D1659" t="str">
        <f>IF(_xlfn.XLOOKUP(A1659,PARAMETROS!A:A,PARAMETROS!D:D)=0,"",_xlfn.XLOOKUP(A1659,PARAMETROS!A:A,PARAMETROS!D:D))</f>
        <v/>
      </c>
      <c r="E1659" t="str">
        <f>IF(_xlfn.XLOOKUP('PREENCHIMENTO|LETIVAS'!A1659,PARAMETROS!A:A,PARAMETROS!I:I)=0,"",_xlfn.XLOOKUP('PREENCHIMENTO|LETIVAS'!A1659,PARAMETROS!A:A,PARAMETROS!I:I))</f>
        <v/>
      </c>
      <c r="F1659" s="3"/>
      <c r="G1659" s="3"/>
      <c r="H1659" s="3"/>
      <c r="I1659" s="3"/>
      <c r="J1659" s="3"/>
      <c r="K1659" s="3"/>
      <c r="L1659" s="19"/>
    </row>
    <row r="1660" spans="1:12">
      <c r="A1660" s="3"/>
      <c r="B1660" t="str">
        <f>IF(_xlfn.XLOOKUP(A1660,PARAMETROS!A:A,PARAMETROS!B:B)=0,"",_xlfn.XLOOKUP(A1660,PARAMETROS!A:A,PARAMETROS!B:B))</f>
        <v/>
      </c>
      <c r="C1660" t="str">
        <f>IF(_xlfn.XLOOKUP(A1660,PARAMETROS!A:A,PARAMETROS!C:C)=0,"",_xlfn.XLOOKUP(A1660,PARAMETROS!A:A,PARAMETROS!C:C))</f>
        <v/>
      </c>
      <c r="D1660" t="str">
        <f>IF(_xlfn.XLOOKUP(A1660,PARAMETROS!A:A,PARAMETROS!D:D)=0,"",_xlfn.XLOOKUP(A1660,PARAMETROS!A:A,PARAMETROS!D:D))</f>
        <v/>
      </c>
      <c r="E1660" t="str">
        <f>IF(_xlfn.XLOOKUP('PREENCHIMENTO|LETIVAS'!A1660,PARAMETROS!A:A,PARAMETROS!I:I)=0,"",_xlfn.XLOOKUP('PREENCHIMENTO|LETIVAS'!A1660,PARAMETROS!A:A,PARAMETROS!I:I))</f>
        <v/>
      </c>
      <c r="F1660" s="3"/>
      <c r="G1660" s="3"/>
      <c r="H1660" s="3"/>
      <c r="I1660" s="3"/>
      <c r="J1660" s="3"/>
      <c r="K1660" s="3"/>
      <c r="L1660" s="19"/>
    </row>
    <row r="1661" spans="1:12">
      <c r="A1661" s="3"/>
      <c r="B1661" t="str">
        <f>IF(_xlfn.XLOOKUP(A1661,PARAMETROS!A:A,PARAMETROS!B:B)=0,"",_xlfn.XLOOKUP(A1661,PARAMETROS!A:A,PARAMETROS!B:B))</f>
        <v/>
      </c>
      <c r="C1661" t="str">
        <f>IF(_xlfn.XLOOKUP(A1661,PARAMETROS!A:A,PARAMETROS!C:C)=0,"",_xlfn.XLOOKUP(A1661,PARAMETROS!A:A,PARAMETROS!C:C))</f>
        <v/>
      </c>
      <c r="D1661" t="str">
        <f>IF(_xlfn.XLOOKUP(A1661,PARAMETROS!A:A,PARAMETROS!D:D)=0,"",_xlfn.XLOOKUP(A1661,PARAMETROS!A:A,PARAMETROS!D:D))</f>
        <v/>
      </c>
      <c r="E1661" t="str">
        <f>IF(_xlfn.XLOOKUP('PREENCHIMENTO|LETIVAS'!A1661,PARAMETROS!A:A,PARAMETROS!I:I)=0,"",_xlfn.XLOOKUP('PREENCHIMENTO|LETIVAS'!A1661,PARAMETROS!A:A,PARAMETROS!I:I))</f>
        <v/>
      </c>
      <c r="F1661" s="3"/>
      <c r="G1661" s="3"/>
      <c r="H1661" s="3"/>
      <c r="I1661" s="3"/>
      <c r="J1661" s="3"/>
      <c r="K1661" s="3"/>
      <c r="L1661" s="19"/>
    </row>
    <row r="1662" spans="1:12">
      <c r="A1662" s="3"/>
      <c r="B1662" t="str">
        <f>IF(_xlfn.XLOOKUP(A1662,PARAMETROS!A:A,PARAMETROS!B:B)=0,"",_xlfn.XLOOKUP(A1662,PARAMETROS!A:A,PARAMETROS!B:B))</f>
        <v/>
      </c>
      <c r="C1662" t="str">
        <f>IF(_xlfn.XLOOKUP(A1662,PARAMETROS!A:A,PARAMETROS!C:C)=0,"",_xlfn.XLOOKUP(A1662,PARAMETROS!A:A,PARAMETROS!C:C))</f>
        <v/>
      </c>
      <c r="D1662" t="str">
        <f>IF(_xlfn.XLOOKUP(A1662,PARAMETROS!A:A,PARAMETROS!D:D)=0,"",_xlfn.XLOOKUP(A1662,PARAMETROS!A:A,PARAMETROS!D:D))</f>
        <v/>
      </c>
      <c r="E1662" t="str">
        <f>IF(_xlfn.XLOOKUP('PREENCHIMENTO|LETIVAS'!A1662,PARAMETROS!A:A,PARAMETROS!I:I)=0,"",_xlfn.XLOOKUP('PREENCHIMENTO|LETIVAS'!A1662,PARAMETROS!A:A,PARAMETROS!I:I))</f>
        <v/>
      </c>
      <c r="F1662" s="3"/>
      <c r="G1662" s="3"/>
      <c r="H1662" s="3"/>
      <c r="I1662" s="3"/>
      <c r="J1662" s="3"/>
      <c r="K1662" s="3"/>
      <c r="L1662" s="19"/>
    </row>
    <row r="1663" spans="1:12">
      <c r="A1663" s="3"/>
      <c r="B1663" t="str">
        <f>IF(_xlfn.XLOOKUP(A1663,PARAMETROS!A:A,PARAMETROS!B:B)=0,"",_xlfn.XLOOKUP(A1663,PARAMETROS!A:A,PARAMETROS!B:B))</f>
        <v/>
      </c>
      <c r="C1663" t="str">
        <f>IF(_xlfn.XLOOKUP(A1663,PARAMETROS!A:A,PARAMETROS!C:C)=0,"",_xlfn.XLOOKUP(A1663,PARAMETROS!A:A,PARAMETROS!C:C))</f>
        <v/>
      </c>
      <c r="D1663" t="str">
        <f>IF(_xlfn.XLOOKUP(A1663,PARAMETROS!A:A,PARAMETROS!D:D)=0,"",_xlfn.XLOOKUP(A1663,PARAMETROS!A:A,PARAMETROS!D:D))</f>
        <v/>
      </c>
      <c r="E1663" t="str">
        <f>IF(_xlfn.XLOOKUP('PREENCHIMENTO|LETIVAS'!A1663,PARAMETROS!A:A,PARAMETROS!I:I)=0,"",_xlfn.XLOOKUP('PREENCHIMENTO|LETIVAS'!A1663,PARAMETROS!A:A,PARAMETROS!I:I))</f>
        <v/>
      </c>
      <c r="F1663" s="3"/>
      <c r="G1663" s="3"/>
      <c r="H1663" s="3"/>
      <c r="I1663" s="3"/>
      <c r="J1663" s="3"/>
      <c r="K1663" s="3"/>
      <c r="L1663" s="19"/>
    </row>
    <row r="1664" spans="1:12">
      <c r="A1664" s="3"/>
      <c r="B1664" t="str">
        <f>IF(_xlfn.XLOOKUP(A1664,PARAMETROS!A:A,PARAMETROS!B:B)=0,"",_xlfn.XLOOKUP(A1664,PARAMETROS!A:A,PARAMETROS!B:B))</f>
        <v/>
      </c>
      <c r="C1664" t="str">
        <f>IF(_xlfn.XLOOKUP(A1664,PARAMETROS!A:A,PARAMETROS!C:C)=0,"",_xlfn.XLOOKUP(A1664,PARAMETROS!A:A,PARAMETROS!C:C))</f>
        <v/>
      </c>
      <c r="D1664" t="str">
        <f>IF(_xlfn.XLOOKUP(A1664,PARAMETROS!A:A,PARAMETROS!D:D)=0,"",_xlfn.XLOOKUP(A1664,PARAMETROS!A:A,PARAMETROS!D:D))</f>
        <v/>
      </c>
      <c r="E1664" t="str">
        <f>IF(_xlfn.XLOOKUP('PREENCHIMENTO|LETIVAS'!A1664,PARAMETROS!A:A,PARAMETROS!I:I)=0,"",_xlfn.XLOOKUP('PREENCHIMENTO|LETIVAS'!A1664,PARAMETROS!A:A,PARAMETROS!I:I))</f>
        <v/>
      </c>
      <c r="F1664" s="3"/>
      <c r="G1664" s="3"/>
      <c r="H1664" s="3"/>
      <c r="I1664" s="3"/>
      <c r="J1664" s="3"/>
      <c r="K1664" s="3"/>
      <c r="L1664" s="19"/>
    </row>
    <row r="1665" spans="1:12">
      <c r="A1665" s="3"/>
      <c r="B1665" t="str">
        <f>IF(_xlfn.XLOOKUP(A1665,PARAMETROS!A:A,PARAMETROS!B:B)=0,"",_xlfn.XLOOKUP(A1665,PARAMETROS!A:A,PARAMETROS!B:B))</f>
        <v/>
      </c>
      <c r="C1665" t="str">
        <f>IF(_xlfn.XLOOKUP(A1665,PARAMETROS!A:A,PARAMETROS!C:C)=0,"",_xlfn.XLOOKUP(A1665,PARAMETROS!A:A,PARAMETROS!C:C))</f>
        <v/>
      </c>
      <c r="D1665" t="str">
        <f>IF(_xlfn.XLOOKUP(A1665,PARAMETROS!A:A,PARAMETROS!D:D)=0,"",_xlfn.XLOOKUP(A1665,PARAMETROS!A:A,PARAMETROS!D:D))</f>
        <v/>
      </c>
      <c r="E1665" t="str">
        <f>IF(_xlfn.XLOOKUP('PREENCHIMENTO|LETIVAS'!A1665,PARAMETROS!A:A,PARAMETROS!I:I)=0,"",_xlfn.XLOOKUP('PREENCHIMENTO|LETIVAS'!A1665,PARAMETROS!A:A,PARAMETROS!I:I))</f>
        <v/>
      </c>
      <c r="F1665" s="3"/>
      <c r="G1665" s="3"/>
      <c r="H1665" s="3"/>
      <c r="I1665" s="3"/>
      <c r="J1665" s="3"/>
      <c r="K1665" s="3"/>
      <c r="L1665" s="19"/>
    </row>
    <row r="1666" spans="1:12">
      <c r="A1666" s="3"/>
      <c r="B1666" t="str">
        <f>IF(_xlfn.XLOOKUP(A1666,PARAMETROS!A:A,PARAMETROS!B:B)=0,"",_xlfn.XLOOKUP(A1666,PARAMETROS!A:A,PARAMETROS!B:B))</f>
        <v/>
      </c>
      <c r="C1666" t="str">
        <f>IF(_xlfn.XLOOKUP(A1666,PARAMETROS!A:A,PARAMETROS!C:C)=0,"",_xlfn.XLOOKUP(A1666,PARAMETROS!A:A,PARAMETROS!C:C))</f>
        <v/>
      </c>
      <c r="D1666" t="str">
        <f>IF(_xlfn.XLOOKUP(A1666,PARAMETROS!A:A,PARAMETROS!D:D)=0,"",_xlfn.XLOOKUP(A1666,PARAMETROS!A:A,PARAMETROS!D:D))</f>
        <v/>
      </c>
      <c r="E1666" t="str">
        <f>IF(_xlfn.XLOOKUP('PREENCHIMENTO|LETIVAS'!A1666,PARAMETROS!A:A,PARAMETROS!I:I)=0,"",_xlfn.XLOOKUP('PREENCHIMENTO|LETIVAS'!A1666,PARAMETROS!A:A,PARAMETROS!I:I))</f>
        <v/>
      </c>
      <c r="F1666" s="3"/>
      <c r="G1666" s="3"/>
      <c r="H1666" s="3"/>
      <c r="I1666" s="3"/>
      <c r="J1666" s="3"/>
      <c r="K1666" s="3"/>
      <c r="L1666" s="19"/>
    </row>
    <row r="1667" spans="1:12">
      <c r="A1667" s="3"/>
      <c r="B1667" t="str">
        <f>IF(_xlfn.XLOOKUP(A1667,PARAMETROS!A:A,PARAMETROS!B:B)=0,"",_xlfn.XLOOKUP(A1667,PARAMETROS!A:A,PARAMETROS!B:B))</f>
        <v/>
      </c>
      <c r="C1667" t="str">
        <f>IF(_xlfn.XLOOKUP(A1667,PARAMETROS!A:A,PARAMETROS!C:C)=0,"",_xlfn.XLOOKUP(A1667,PARAMETROS!A:A,PARAMETROS!C:C))</f>
        <v/>
      </c>
      <c r="D1667" t="str">
        <f>IF(_xlfn.XLOOKUP(A1667,PARAMETROS!A:A,PARAMETROS!D:D)=0,"",_xlfn.XLOOKUP(A1667,PARAMETROS!A:A,PARAMETROS!D:D))</f>
        <v/>
      </c>
      <c r="E1667" t="str">
        <f>IF(_xlfn.XLOOKUP('PREENCHIMENTO|LETIVAS'!A1667,PARAMETROS!A:A,PARAMETROS!I:I)=0,"",_xlfn.XLOOKUP('PREENCHIMENTO|LETIVAS'!A1667,PARAMETROS!A:A,PARAMETROS!I:I))</f>
        <v/>
      </c>
      <c r="F1667" s="3"/>
      <c r="G1667" s="3"/>
      <c r="H1667" s="3"/>
      <c r="I1667" s="3"/>
      <c r="J1667" s="3"/>
      <c r="K1667" s="3"/>
      <c r="L1667" s="19"/>
    </row>
    <row r="1668" spans="1:12">
      <c r="A1668" s="3"/>
      <c r="B1668" t="str">
        <f>IF(_xlfn.XLOOKUP(A1668,PARAMETROS!A:A,PARAMETROS!B:B)=0,"",_xlfn.XLOOKUP(A1668,PARAMETROS!A:A,PARAMETROS!B:B))</f>
        <v/>
      </c>
      <c r="C1668" t="str">
        <f>IF(_xlfn.XLOOKUP(A1668,PARAMETROS!A:A,PARAMETROS!C:C)=0,"",_xlfn.XLOOKUP(A1668,PARAMETROS!A:A,PARAMETROS!C:C))</f>
        <v/>
      </c>
      <c r="D1668" t="str">
        <f>IF(_xlfn.XLOOKUP(A1668,PARAMETROS!A:A,PARAMETROS!D:D)=0,"",_xlfn.XLOOKUP(A1668,PARAMETROS!A:A,PARAMETROS!D:D))</f>
        <v/>
      </c>
      <c r="E1668" t="str">
        <f>IF(_xlfn.XLOOKUP('PREENCHIMENTO|LETIVAS'!A1668,PARAMETROS!A:A,PARAMETROS!I:I)=0,"",_xlfn.XLOOKUP('PREENCHIMENTO|LETIVAS'!A1668,PARAMETROS!A:A,PARAMETROS!I:I))</f>
        <v/>
      </c>
      <c r="F1668" s="3"/>
      <c r="G1668" s="3"/>
      <c r="H1668" s="3"/>
      <c r="I1668" s="3"/>
      <c r="J1668" s="3"/>
      <c r="K1668" s="3"/>
      <c r="L1668" s="19"/>
    </row>
    <row r="1669" spans="1:12">
      <c r="A1669" s="3"/>
      <c r="B1669" t="str">
        <f>IF(_xlfn.XLOOKUP(A1669,PARAMETROS!A:A,PARAMETROS!B:B)=0,"",_xlfn.XLOOKUP(A1669,PARAMETROS!A:A,PARAMETROS!B:B))</f>
        <v/>
      </c>
      <c r="C1669" t="str">
        <f>IF(_xlfn.XLOOKUP(A1669,PARAMETROS!A:A,PARAMETROS!C:C)=0,"",_xlfn.XLOOKUP(A1669,PARAMETROS!A:A,PARAMETROS!C:C))</f>
        <v/>
      </c>
      <c r="D1669" t="str">
        <f>IF(_xlfn.XLOOKUP(A1669,PARAMETROS!A:A,PARAMETROS!D:D)=0,"",_xlfn.XLOOKUP(A1669,PARAMETROS!A:A,PARAMETROS!D:D))</f>
        <v/>
      </c>
      <c r="E1669" t="str">
        <f>IF(_xlfn.XLOOKUP('PREENCHIMENTO|LETIVAS'!A1669,PARAMETROS!A:A,PARAMETROS!I:I)=0,"",_xlfn.XLOOKUP('PREENCHIMENTO|LETIVAS'!A1669,PARAMETROS!A:A,PARAMETROS!I:I))</f>
        <v/>
      </c>
      <c r="F1669" s="3"/>
      <c r="G1669" s="3"/>
      <c r="H1669" s="3"/>
      <c r="I1669" s="3"/>
      <c r="J1669" s="3"/>
      <c r="K1669" s="3"/>
      <c r="L1669" s="19"/>
    </row>
    <row r="1670" spans="1:12">
      <c r="A1670" s="3"/>
      <c r="B1670" t="str">
        <f>IF(_xlfn.XLOOKUP(A1670,PARAMETROS!A:A,PARAMETROS!B:B)=0,"",_xlfn.XLOOKUP(A1670,PARAMETROS!A:A,PARAMETROS!B:B))</f>
        <v/>
      </c>
      <c r="C1670" t="str">
        <f>IF(_xlfn.XLOOKUP(A1670,PARAMETROS!A:A,PARAMETROS!C:C)=0,"",_xlfn.XLOOKUP(A1670,PARAMETROS!A:A,PARAMETROS!C:C))</f>
        <v/>
      </c>
      <c r="D1670" t="str">
        <f>IF(_xlfn.XLOOKUP(A1670,PARAMETROS!A:A,PARAMETROS!D:D)=0,"",_xlfn.XLOOKUP(A1670,PARAMETROS!A:A,PARAMETROS!D:D))</f>
        <v/>
      </c>
      <c r="E1670" t="str">
        <f>IF(_xlfn.XLOOKUP('PREENCHIMENTO|LETIVAS'!A1670,PARAMETROS!A:A,PARAMETROS!I:I)=0,"",_xlfn.XLOOKUP('PREENCHIMENTO|LETIVAS'!A1670,PARAMETROS!A:A,PARAMETROS!I:I))</f>
        <v/>
      </c>
      <c r="F1670" s="3"/>
      <c r="G1670" s="3"/>
      <c r="H1670" s="3"/>
      <c r="I1670" s="3"/>
      <c r="J1670" s="3"/>
      <c r="K1670" s="3"/>
      <c r="L1670" s="19"/>
    </row>
    <row r="1671" spans="1:12">
      <c r="A1671" s="3"/>
      <c r="B1671" t="str">
        <f>IF(_xlfn.XLOOKUP(A1671,PARAMETROS!A:A,PARAMETROS!B:B)=0,"",_xlfn.XLOOKUP(A1671,PARAMETROS!A:A,PARAMETROS!B:B))</f>
        <v/>
      </c>
      <c r="C1671" t="str">
        <f>IF(_xlfn.XLOOKUP(A1671,PARAMETROS!A:A,PARAMETROS!C:C)=0,"",_xlfn.XLOOKUP(A1671,PARAMETROS!A:A,PARAMETROS!C:C))</f>
        <v/>
      </c>
      <c r="D1671" t="str">
        <f>IF(_xlfn.XLOOKUP(A1671,PARAMETROS!A:A,PARAMETROS!D:D)=0,"",_xlfn.XLOOKUP(A1671,PARAMETROS!A:A,PARAMETROS!D:D))</f>
        <v/>
      </c>
      <c r="E1671" t="str">
        <f>IF(_xlfn.XLOOKUP('PREENCHIMENTO|LETIVAS'!A1671,PARAMETROS!A:A,PARAMETROS!I:I)=0,"",_xlfn.XLOOKUP('PREENCHIMENTO|LETIVAS'!A1671,PARAMETROS!A:A,PARAMETROS!I:I))</f>
        <v/>
      </c>
      <c r="F1671" s="3"/>
      <c r="G1671" s="3"/>
      <c r="H1671" s="3"/>
      <c r="I1671" s="3"/>
      <c r="J1671" s="3"/>
      <c r="K1671" s="3"/>
      <c r="L1671" s="19"/>
    </row>
    <row r="1672" spans="1:12">
      <c r="A1672" s="3"/>
      <c r="B1672" t="str">
        <f>IF(_xlfn.XLOOKUP(A1672,PARAMETROS!A:A,PARAMETROS!B:B)=0,"",_xlfn.XLOOKUP(A1672,PARAMETROS!A:A,PARAMETROS!B:B))</f>
        <v/>
      </c>
      <c r="C1672" t="str">
        <f>IF(_xlfn.XLOOKUP(A1672,PARAMETROS!A:A,PARAMETROS!C:C)=0,"",_xlfn.XLOOKUP(A1672,PARAMETROS!A:A,PARAMETROS!C:C))</f>
        <v/>
      </c>
      <c r="D1672" t="str">
        <f>IF(_xlfn.XLOOKUP(A1672,PARAMETROS!A:A,PARAMETROS!D:D)=0,"",_xlfn.XLOOKUP(A1672,PARAMETROS!A:A,PARAMETROS!D:D))</f>
        <v/>
      </c>
      <c r="E1672" t="str">
        <f>IF(_xlfn.XLOOKUP('PREENCHIMENTO|LETIVAS'!A1672,PARAMETROS!A:A,PARAMETROS!I:I)=0,"",_xlfn.XLOOKUP('PREENCHIMENTO|LETIVAS'!A1672,PARAMETROS!A:A,PARAMETROS!I:I))</f>
        <v/>
      </c>
      <c r="F1672" s="3"/>
      <c r="G1672" s="3"/>
      <c r="H1672" s="3"/>
      <c r="I1672" s="3"/>
      <c r="J1672" s="3"/>
      <c r="K1672" s="3"/>
      <c r="L1672" s="19"/>
    </row>
    <row r="1673" spans="1:12">
      <c r="A1673" s="3"/>
      <c r="B1673" t="str">
        <f>IF(_xlfn.XLOOKUP(A1673,PARAMETROS!A:A,PARAMETROS!B:B)=0,"",_xlfn.XLOOKUP(A1673,PARAMETROS!A:A,PARAMETROS!B:B))</f>
        <v/>
      </c>
      <c r="C1673" t="str">
        <f>IF(_xlfn.XLOOKUP(A1673,PARAMETROS!A:A,PARAMETROS!C:C)=0,"",_xlfn.XLOOKUP(A1673,PARAMETROS!A:A,PARAMETROS!C:C))</f>
        <v/>
      </c>
      <c r="D1673" t="str">
        <f>IF(_xlfn.XLOOKUP(A1673,PARAMETROS!A:A,PARAMETROS!D:D)=0,"",_xlfn.XLOOKUP(A1673,PARAMETROS!A:A,PARAMETROS!D:D))</f>
        <v/>
      </c>
      <c r="E1673" t="str">
        <f>IF(_xlfn.XLOOKUP('PREENCHIMENTO|LETIVAS'!A1673,PARAMETROS!A:A,PARAMETROS!I:I)=0,"",_xlfn.XLOOKUP('PREENCHIMENTO|LETIVAS'!A1673,PARAMETROS!A:A,PARAMETROS!I:I))</f>
        <v/>
      </c>
      <c r="F1673" s="3"/>
      <c r="G1673" s="3"/>
      <c r="H1673" s="3"/>
      <c r="I1673" s="3"/>
      <c r="J1673" s="3"/>
      <c r="K1673" s="3"/>
      <c r="L1673" s="19"/>
    </row>
    <row r="1674" spans="1:12">
      <c r="A1674" s="3"/>
      <c r="B1674" t="str">
        <f>IF(_xlfn.XLOOKUP(A1674,PARAMETROS!A:A,PARAMETROS!B:B)=0,"",_xlfn.XLOOKUP(A1674,PARAMETROS!A:A,PARAMETROS!B:B))</f>
        <v/>
      </c>
      <c r="C1674" t="str">
        <f>IF(_xlfn.XLOOKUP(A1674,PARAMETROS!A:A,PARAMETROS!C:C)=0,"",_xlfn.XLOOKUP(A1674,PARAMETROS!A:A,PARAMETROS!C:C))</f>
        <v/>
      </c>
      <c r="D1674" t="str">
        <f>IF(_xlfn.XLOOKUP(A1674,PARAMETROS!A:A,PARAMETROS!D:D)=0,"",_xlfn.XLOOKUP(A1674,PARAMETROS!A:A,PARAMETROS!D:D))</f>
        <v/>
      </c>
      <c r="E1674" t="str">
        <f>IF(_xlfn.XLOOKUP('PREENCHIMENTO|LETIVAS'!A1674,PARAMETROS!A:A,PARAMETROS!I:I)=0,"",_xlfn.XLOOKUP('PREENCHIMENTO|LETIVAS'!A1674,PARAMETROS!A:A,PARAMETROS!I:I))</f>
        <v/>
      </c>
      <c r="F1674" s="3"/>
      <c r="G1674" s="3"/>
      <c r="H1674" s="3"/>
      <c r="I1674" s="3"/>
      <c r="J1674" s="3"/>
      <c r="K1674" s="3"/>
      <c r="L1674" s="19"/>
    </row>
    <row r="1675" spans="1:12">
      <c r="A1675" s="3"/>
      <c r="B1675" t="str">
        <f>IF(_xlfn.XLOOKUP(A1675,PARAMETROS!A:A,PARAMETROS!B:B)=0,"",_xlfn.XLOOKUP(A1675,PARAMETROS!A:A,PARAMETROS!B:B))</f>
        <v/>
      </c>
      <c r="C1675" t="str">
        <f>IF(_xlfn.XLOOKUP(A1675,PARAMETROS!A:A,PARAMETROS!C:C)=0,"",_xlfn.XLOOKUP(A1675,PARAMETROS!A:A,PARAMETROS!C:C))</f>
        <v/>
      </c>
      <c r="D1675" t="str">
        <f>IF(_xlfn.XLOOKUP(A1675,PARAMETROS!A:A,PARAMETROS!D:D)=0,"",_xlfn.XLOOKUP(A1675,PARAMETROS!A:A,PARAMETROS!D:D))</f>
        <v/>
      </c>
      <c r="E1675" t="str">
        <f>IF(_xlfn.XLOOKUP('PREENCHIMENTO|LETIVAS'!A1675,PARAMETROS!A:A,PARAMETROS!I:I)=0,"",_xlfn.XLOOKUP('PREENCHIMENTO|LETIVAS'!A1675,PARAMETROS!A:A,PARAMETROS!I:I))</f>
        <v/>
      </c>
      <c r="F1675" s="3"/>
      <c r="G1675" s="3"/>
      <c r="H1675" s="3"/>
      <c r="I1675" s="3"/>
      <c r="J1675" s="3"/>
      <c r="K1675" s="3"/>
      <c r="L1675" s="19"/>
    </row>
    <row r="1676" spans="1:12">
      <c r="A1676" s="3"/>
      <c r="B1676" t="str">
        <f>IF(_xlfn.XLOOKUP(A1676,PARAMETROS!A:A,PARAMETROS!B:B)=0,"",_xlfn.XLOOKUP(A1676,PARAMETROS!A:A,PARAMETROS!B:B))</f>
        <v/>
      </c>
      <c r="C1676" t="str">
        <f>IF(_xlfn.XLOOKUP(A1676,PARAMETROS!A:A,PARAMETROS!C:C)=0,"",_xlfn.XLOOKUP(A1676,PARAMETROS!A:A,PARAMETROS!C:C))</f>
        <v/>
      </c>
      <c r="D1676" t="str">
        <f>IF(_xlfn.XLOOKUP(A1676,PARAMETROS!A:A,PARAMETROS!D:D)=0,"",_xlfn.XLOOKUP(A1676,PARAMETROS!A:A,PARAMETROS!D:D))</f>
        <v/>
      </c>
      <c r="E1676" t="str">
        <f>IF(_xlfn.XLOOKUP('PREENCHIMENTO|LETIVAS'!A1676,PARAMETROS!A:A,PARAMETROS!I:I)=0,"",_xlfn.XLOOKUP('PREENCHIMENTO|LETIVAS'!A1676,PARAMETROS!A:A,PARAMETROS!I:I))</f>
        <v/>
      </c>
      <c r="F1676" s="3"/>
      <c r="G1676" s="3"/>
      <c r="H1676" s="3"/>
      <c r="I1676" s="3"/>
      <c r="J1676" s="3"/>
      <c r="K1676" s="3"/>
      <c r="L1676" s="19"/>
    </row>
    <row r="1677" spans="1:12">
      <c r="A1677" s="3"/>
      <c r="B1677" t="str">
        <f>IF(_xlfn.XLOOKUP(A1677,PARAMETROS!A:A,PARAMETROS!B:B)=0,"",_xlfn.XLOOKUP(A1677,PARAMETROS!A:A,PARAMETROS!B:B))</f>
        <v/>
      </c>
      <c r="C1677" t="str">
        <f>IF(_xlfn.XLOOKUP(A1677,PARAMETROS!A:A,PARAMETROS!C:C)=0,"",_xlfn.XLOOKUP(A1677,PARAMETROS!A:A,PARAMETROS!C:C))</f>
        <v/>
      </c>
      <c r="D1677" t="str">
        <f>IF(_xlfn.XLOOKUP(A1677,PARAMETROS!A:A,PARAMETROS!D:D)=0,"",_xlfn.XLOOKUP(A1677,PARAMETROS!A:A,PARAMETROS!D:D))</f>
        <v/>
      </c>
      <c r="E1677" t="str">
        <f>IF(_xlfn.XLOOKUP('PREENCHIMENTO|LETIVAS'!A1677,PARAMETROS!A:A,PARAMETROS!I:I)=0,"",_xlfn.XLOOKUP('PREENCHIMENTO|LETIVAS'!A1677,PARAMETROS!A:A,PARAMETROS!I:I))</f>
        <v/>
      </c>
      <c r="F1677" s="3"/>
      <c r="G1677" s="3"/>
      <c r="H1677" s="3"/>
      <c r="I1677" s="3"/>
      <c r="J1677" s="3"/>
      <c r="K1677" s="3"/>
      <c r="L1677" s="19"/>
    </row>
    <row r="1678" spans="1:12">
      <c r="A1678" s="3"/>
      <c r="B1678" t="str">
        <f>IF(_xlfn.XLOOKUP(A1678,PARAMETROS!A:A,PARAMETROS!B:B)=0,"",_xlfn.XLOOKUP(A1678,PARAMETROS!A:A,PARAMETROS!B:B))</f>
        <v/>
      </c>
      <c r="C1678" t="str">
        <f>IF(_xlfn.XLOOKUP(A1678,PARAMETROS!A:A,PARAMETROS!C:C)=0,"",_xlfn.XLOOKUP(A1678,PARAMETROS!A:A,PARAMETROS!C:C))</f>
        <v/>
      </c>
      <c r="D1678" t="str">
        <f>IF(_xlfn.XLOOKUP(A1678,PARAMETROS!A:A,PARAMETROS!D:D)=0,"",_xlfn.XLOOKUP(A1678,PARAMETROS!A:A,PARAMETROS!D:D))</f>
        <v/>
      </c>
      <c r="E1678" t="str">
        <f>IF(_xlfn.XLOOKUP('PREENCHIMENTO|LETIVAS'!A1678,PARAMETROS!A:A,PARAMETROS!I:I)=0,"",_xlfn.XLOOKUP('PREENCHIMENTO|LETIVAS'!A1678,PARAMETROS!A:A,PARAMETROS!I:I))</f>
        <v/>
      </c>
      <c r="F1678" s="3"/>
      <c r="G1678" s="3"/>
      <c r="H1678" s="3"/>
      <c r="I1678" s="3"/>
      <c r="J1678" s="3"/>
      <c r="K1678" s="3"/>
      <c r="L1678" s="19"/>
    </row>
    <row r="1679" spans="1:12">
      <c r="A1679" s="3"/>
      <c r="B1679" t="str">
        <f>IF(_xlfn.XLOOKUP(A1679,PARAMETROS!A:A,PARAMETROS!B:B)=0,"",_xlfn.XLOOKUP(A1679,PARAMETROS!A:A,PARAMETROS!B:B))</f>
        <v/>
      </c>
      <c r="C1679" t="str">
        <f>IF(_xlfn.XLOOKUP(A1679,PARAMETROS!A:A,PARAMETROS!C:C)=0,"",_xlfn.XLOOKUP(A1679,PARAMETROS!A:A,PARAMETROS!C:C))</f>
        <v/>
      </c>
      <c r="D1679" t="str">
        <f>IF(_xlfn.XLOOKUP(A1679,PARAMETROS!A:A,PARAMETROS!D:D)=0,"",_xlfn.XLOOKUP(A1679,PARAMETROS!A:A,PARAMETROS!D:D))</f>
        <v/>
      </c>
      <c r="E1679" t="str">
        <f>IF(_xlfn.XLOOKUP('PREENCHIMENTO|LETIVAS'!A1679,PARAMETROS!A:A,PARAMETROS!I:I)=0,"",_xlfn.XLOOKUP('PREENCHIMENTO|LETIVAS'!A1679,PARAMETROS!A:A,PARAMETROS!I:I))</f>
        <v/>
      </c>
      <c r="F1679" s="3"/>
      <c r="G1679" s="3"/>
      <c r="H1679" s="3"/>
      <c r="I1679" s="3"/>
      <c r="J1679" s="3"/>
      <c r="K1679" s="3"/>
      <c r="L1679" s="19"/>
    </row>
    <row r="1680" spans="1:12">
      <c r="A1680" s="3"/>
      <c r="B1680" t="str">
        <f>IF(_xlfn.XLOOKUP(A1680,PARAMETROS!A:A,PARAMETROS!B:B)=0,"",_xlfn.XLOOKUP(A1680,PARAMETROS!A:A,PARAMETROS!B:B))</f>
        <v/>
      </c>
      <c r="C1680" t="str">
        <f>IF(_xlfn.XLOOKUP(A1680,PARAMETROS!A:A,PARAMETROS!C:C)=0,"",_xlfn.XLOOKUP(A1680,PARAMETROS!A:A,PARAMETROS!C:C))</f>
        <v/>
      </c>
      <c r="D1680" t="str">
        <f>IF(_xlfn.XLOOKUP(A1680,PARAMETROS!A:A,PARAMETROS!D:D)=0,"",_xlfn.XLOOKUP(A1680,PARAMETROS!A:A,PARAMETROS!D:D))</f>
        <v/>
      </c>
      <c r="E1680" t="str">
        <f>IF(_xlfn.XLOOKUP('PREENCHIMENTO|LETIVAS'!A1680,PARAMETROS!A:A,PARAMETROS!I:I)=0,"",_xlfn.XLOOKUP('PREENCHIMENTO|LETIVAS'!A1680,PARAMETROS!A:A,PARAMETROS!I:I))</f>
        <v/>
      </c>
      <c r="F1680" s="3"/>
      <c r="G1680" s="3"/>
      <c r="H1680" s="3"/>
      <c r="I1680" s="3"/>
      <c r="J1680" s="3"/>
      <c r="K1680" s="3"/>
      <c r="L1680" s="19"/>
    </row>
    <row r="1681" spans="1:12">
      <c r="A1681" s="3"/>
      <c r="B1681" t="str">
        <f>IF(_xlfn.XLOOKUP(A1681,PARAMETROS!A:A,PARAMETROS!B:B)=0,"",_xlfn.XLOOKUP(A1681,PARAMETROS!A:A,PARAMETROS!B:B))</f>
        <v/>
      </c>
      <c r="C1681" t="str">
        <f>IF(_xlfn.XLOOKUP(A1681,PARAMETROS!A:A,PARAMETROS!C:C)=0,"",_xlfn.XLOOKUP(A1681,PARAMETROS!A:A,PARAMETROS!C:C))</f>
        <v/>
      </c>
      <c r="D1681" t="str">
        <f>IF(_xlfn.XLOOKUP(A1681,PARAMETROS!A:A,PARAMETROS!D:D)=0,"",_xlfn.XLOOKUP(A1681,PARAMETROS!A:A,PARAMETROS!D:D))</f>
        <v/>
      </c>
      <c r="E1681" t="str">
        <f>IF(_xlfn.XLOOKUP('PREENCHIMENTO|LETIVAS'!A1681,PARAMETROS!A:A,PARAMETROS!I:I)=0,"",_xlfn.XLOOKUP('PREENCHIMENTO|LETIVAS'!A1681,PARAMETROS!A:A,PARAMETROS!I:I))</f>
        <v/>
      </c>
      <c r="F1681" s="3"/>
      <c r="G1681" s="3"/>
      <c r="H1681" s="3"/>
      <c r="I1681" s="3"/>
      <c r="J1681" s="3"/>
      <c r="K1681" s="3"/>
      <c r="L1681" s="19"/>
    </row>
    <row r="1682" spans="1:12">
      <c r="A1682" s="3"/>
      <c r="B1682" t="str">
        <f>IF(_xlfn.XLOOKUP(A1682,PARAMETROS!A:A,PARAMETROS!B:B)=0,"",_xlfn.XLOOKUP(A1682,PARAMETROS!A:A,PARAMETROS!B:B))</f>
        <v/>
      </c>
      <c r="C1682" t="str">
        <f>IF(_xlfn.XLOOKUP(A1682,PARAMETROS!A:A,PARAMETROS!C:C)=0,"",_xlfn.XLOOKUP(A1682,PARAMETROS!A:A,PARAMETROS!C:C))</f>
        <v/>
      </c>
      <c r="D1682" t="str">
        <f>IF(_xlfn.XLOOKUP(A1682,PARAMETROS!A:A,PARAMETROS!D:D)=0,"",_xlfn.XLOOKUP(A1682,PARAMETROS!A:A,PARAMETROS!D:D))</f>
        <v/>
      </c>
      <c r="E1682" t="str">
        <f>IF(_xlfn.XLOOKUP('PREENCHIMENTO|LETIVAS'!A1682,PARAMETROS!A:A,PARAMETROS!I:I)=0,"",_xlfn.XLOOKUP('PREENCHIMENTO|LETIVAS'!A1682,PARAMETROS!A:A,PARAMETROS!I:I))</f>
        <v/>
      </c>
      <c r="F1682" s="3"/>
      <c r="G1682" s="3"/>
      <c r="H1682" s="3"/>
      <c r="I1682" s="3"/>
      <c r="J1682" s="3"/>
      <c r="K1682" s="3"/>
      <c r="L1682" s="19"/>
    </row>
    <row r="1683" spans="1:12">
      <c r="A1683" s="3"/>
      <c r="B1683" t="str">
        <f>IF(_xlfn.XLOOKUP(A1683,PARAMETROS!A:A,PARAMETROS!B:B)=0,"",_xlfn.XLOOKUP(A1683,PARAMETROS!A:A,PARAMETROS!B:B))</f>
        <v/>
      </c>
      <c r="C1683" t="str">
        <f>IF(_xlfn.XLOOKUP(A1683,PARAMETROS!A:A,PARAMETROS!C:C)=0,"",_xlfn.XLOOKUP(A1683,PARAMETROS!A:A,PARAMETROS!C:C))</f>
        <v/>
      </c>
      <c r="D1683" t="str">
        <f>IF(_xlfn.XLOOKUP(A1683,PARAMETROS!A:A,PARAMETROS!D:D)=0,"",_xlfn.XLOOKUP(A1683,PARAMETROS!A:A,PARAMETROS!D:D))</f>
        <v/>
      </c>
      <c r="E1683" t="str">
        <f>IF(_xlfn.XLOOKUP('PREENCHIMENTO|LETIVAS'!A1683,PARAMETROS!A:A,PARAMETROS!I:I)=0,"",_xlfn.XLOOKUP('PREENCHIMENTO|LETIVAS'!A1683,PARAMETROS!A:A,PARAMETROS!I:I))</f>
        <v/>
      </c>
      <c r="F1683" s="3"/>
      <c r="G1683" s="3"/>
      <c r="H1683" s="3"/>
      <c r="I1683" s="3"/>
      <c r="J1683" s="3"/>
      <c r="K1683" s="3"/>
      <c r="L1683" s="19"/>
    </row>
    <row r="1684" spans="1:12">
      <c r="A1684" s="3"/>
      <c r="B1684" t="str">
        <f>IF(_xlfn.XLOOKUP(A1684,PARAMETROS!A:A,PARAMETROS!B:B)=0,"",_xlfn.XLOOKUP(A1684,PARAMETROS!A:A,PARAMETROS!B:B))</f>
        <v/>
      </c>
      <c r="C1684" t="str">
        <f>IF(_xlfn.XLOOKUP(A1684,PARAMETROS!A:A,PARAMETROS!C:C)=0,"",_xlfn.XLOOKUP(A1684,PARAMETROS!A:A,PARAMETROS!C:C))</f>
        <v/>
      </c>
      <c r="D1684" t="str">
        <f>IF(_xlfn.XLOOKUP(A1684,PARAMETROS!A:A,PARAMETROS!D:D)=0,"",_xlfn.XLOOKUP(A1684,PARAMETROS!A:A,PARAMETROS!D:D))</f>
        <v/>
      </c>
      <c r="E1684" t="str">
        <f>IF(_xlfn.XLOOKUP('PREENCHIMENTO|LETIVAS'!A1684,PARAMETROS!A:A,PARAMETROS!I:I)=0,"",_xlfn.XLOOKUP('PREENCHIMENTO|LETIVAS'!A1684,PARAMETROS!A:A,PARAMETROS!I:I))</f>
        <v/>
      </c>
      <c r="F1684" s="3"/>
      <c r="G1684" s="3"/>
      <c r="H1684" s="3"/>
      <c r="I1684" s="3"/>
      <c r="J1684" s="3"/>
      <c r="K1684" s="3"/>
      <c r="L1684" s="19"/>
    </row>
    <row r="1685" spans="1:12">
      <c r="A1685" s="3"/>
      <c r="B1685" t="str">
        <f>IF(_xlfn.XLOOKUP(A1685,PARAMETROS!A:A,PARAMETROS!B:B)=0,"",_xlfn.XLOOKUP(A1685,PARAMETROS!A:A,PARAMETROS!B:B))</f>
        <v/>
      </c>
      <c r="C1685" t="str">
        <f>IF(_xlfn.XLOOKUP(A1685,PARAMETROS!A:A,PARAMETROS!C:C)=0,"",_xlfn.XLOOKUP(A1685,PARAMETROS!A:A,PARAMETROS!C:C))</f>
        <v/>
      </c>
      <c r="D1685" t="str">
        <f>IF(_xlfn.XLOOKUP(A1685,PARAMETROS!A:A,PARAMETROS!D:D)=0,"",_xlfn.XLOOKUP(A1685,PARAMETROS!A:A,PARAMETROS!D:D))</f>
        <v/>
      </c>
      <c r="E1685" t="str">
        <f>IF(_xlfn.XLOOKUP('PREENCHIMENTO|LETIVAS'!A1685,PARAMETROS!A:A,PARAMETROS!I:I)=0,"",_xlfn.XLOOKUP('PREENCHIMENTO|LETIVAS'!A1685,PARAMETROS!A:A,PARAMETROS!I:I))</f>
        <v/>
      </c>
      <c r="F1685" s="3"/>
      <c r="G1685" s="3"/>
      <c r="H1685" s="3"/>
      <c r="I1685" s="3"/>
      <c r="J1685" s="3"/>
      <c r="K1685" s="3"/>
      <c r="L1685" s="19"/>
    </row>
    <row r="1686" spans="1:12">
      <c r="A1686" s="3"/>
      <c r="B1686" t="str">
        <f>IF(_xlfn.XLOOKUP(A1686,PARAMETROS!A:A,PARAMETROS!B:B)=0,"",_xlfn.XLOOKUP(A1686,PARAMETROS!A:A,PARAMETROS!B:B))</f>
        <v/>
      </c>
      <c r="C1686" t="str">
        <f>IF(_xlfn.XLOOKUP(A1686,PARAMETROS!A:A,PARAMETROS!C:C)=0,"",_xlfn.XLOOKUP(A1686,PARAMETROS!A:A,PARAMETROS!C:C))</f>
        <v/>
      </c>
      <c r="D1686" t="str">
        <f>IF(_xlfn.XLOOKUP(A1686,PARAMETROS!A:A,PARAMETROS!D:D)=0,"",_xlfn.XLOOKUP(A1686,PARAMETROS!A:A,PARAMETROS!D:D))</f>
        <v/>
      </c>
      <c r="E1686" t="str">
        <f>IF(_xlfn.XLOOKUP('PREENCHIMENTO|LETIVAS'!A1686,PARAMETROS!A:A,PARAMETROS!I:I)=0,"",_xlfn.XLOOKUP('PREENCHIMENTO|LETIVAS'!A1686,PARAMETROS!A:A,PARAMETROS!I:I))</f>
        <v/>
      </c>
      <c r="F1686" s="3"/>
      <c r="G1686" s="3"/>
      <c r="H1686" s="3"/>
      <c r="I1686" s="3"/>
      <c r="J1686" s="3"/>
      <c r="K1686" s="3"/>
      <c r="L1686" s="19"/>
    </row>
    <row r="1687" spans="1:12">
      <c r="A1687" s="3"/>
      <c r="B1687" t="str">
        <f>IF(_xlfn.XLOOKUP(A1687,PARAMETROS!A:A,PARAMETROS!B:B)=0,"",_xlfn.XLOOKUP(A1687,PARAMETROS!A:A,PARAMETROS!B:B))</f>
        <v/>
      </c>
      <c r="C1687" t="str">
        <f>IF(_xlfn.XLOOKUP(A1687,PARAMETROS!A:A,PARAMETROS!C:C)=0,"",_xlfn.XLOOKUP(A1687,PARAMETROS!A:A,PARAMETROS!C:C))</f>
        <v/>
      </c>
      <c r="D1687" t="str">
        <f>IF(_xlfn.XLOOKUP(A1687,PARAMETROS!A:A,PARAMETROS!D:D)=0,"",_xlfn.XLOOKUP(A1687,PARAMETROS!A:A,PARAMETROS!D:D))</f>
        <v/>
      </c>
      <c r="E1687" t="str">
        <f>IF(_xlfn.XLOOKUP('PREENCHIMENTO|LETIVAS'!A1687,PARAMETROS!A:A,PARAMETROS!I:I)=0,"",_xlfn.XLOOKUP('PREENCHIMENTO|LETIVAS'!A1687,PARAMETROS!A:A,PARAMETROS!I:I))</f>
        <v/>
      </c>
      <c r="F1687" s="3"/>
      <c r="G1687" s="3"/>
      <c r="H1687" s="3"/>
      <c r="I1687" s="3"/>
      <c r="J1687" s="3"/>
      <c r="K1687" s="3"/>
      <c r="L1687" s="19"/>
    </row>
    <row r="1688" spans="1:12">
      <c r="A1688" s="3"/>
      <c r="B1688" t="str">
        <f>IF(_xlfn.XLOOKUP(A1688,PARAMETROS!A:A,PARAMETROS!B:B)=0,"",_xlfn.XLOOKUP(A1688,PARAMETROS!A:A,PARAMETROS!B:B))</f>
        <v/>
      </c>
      <c r="C1688" t="str">
        <f>IF(_xlfn.XLOOKUP(A1688,PARAMETROS!A:A,PARAMETROS!C:C)=0,"",_xlfn.XLOOKUP(A1688,PARAMETROS!A:A,PARAMETROS!C:C))</f>
        <v/>
      </c>
      <c r="D1688" t="str">
        <f>IF(_xlfn.XLOOKUP(A1688,PARAMETROS!A:A,PARAMETROS!D:D)=0,"",_xlfn.XLOOKUP(A1688,PARAMETROS!A:A,PARAMETROS!D:D))</f>
        <v/>
      </c>
      <c r="E1688" t="str">
        <f>IF(_xlfn.XLOOKUP('PREENCHIMENTO|LETIVAS'!A1688,PARAMETROS!A:A,PARAMETROS!I:I)=0,"",_xlfn.XLOOKUP('PREENCHIMENTO|LETIVAS'!A1688,PARAMETROS!A:A,PARAMETROS!I:I))</f>
        <v/>
      </c>
      <c r="F1688" s="3"/>
      <c r="G1688" s="3"/>
      <c r="H1688" s="3"/>
      <c r="I1688" s="3"/>
      <c r="J1688" s="3"/>
      <c r="K1688" s="3"/>
      <c r="L1688" s="19"/>
    </row>
    <row r="1689" spans="1:12">
      <c r="A1689" s="3"/>
      <c r="B1689" t="str">
        <f>IF(_xlfn.XLOOKUP(A1689,PARAMETROS!A:A,PARAMETROS!B:B)=0,"",_xlfn.XLOOKUP(A1689,PARAMETROS!A:A,PARAMETROS!B:B))</f>
        <v/>
      </c>
      <c r="C1689" t="str">
        <f>IF(_xlfn.XLOOKUP(A1689,PARAMETROS!A:A,PARAMETROS!C:C)=0,"",_xlfn.XLOOKUP(A1689,PARAMETROS!A:A,PARAMETROS!C:C))</f>
        <v/>
      </c>
      <c r="D1689" t="str">
        <f>IF(_xlfn.XLOOKUP(A1689,PARAMETROS!A:A,PARAMETROS!D:D)=0,"",_xlfn.XLOOKUP(A1689,PARAMETROS!A:A,PARAMETROS!D:D))</f>
        <v/>
      </c>
      <c r="E1689" t="str">
        <f>IF(_xlfn.XLOOKUP('PREENCHIMENTO|LETIVAS'!A1689,PARAMETROS!A:A,PARAMETROS!I:I)=0,"",_xlfn.XLOOKUP('PREENCHIMENTO|LETIVAS'!A1689,PARAMETROS!A:A,PARAMETROS!I:I))</f>
        <v/>
      </c>
      <c r="F1689" s="3"/>
      <c r="G1689" s="3"/>
      <c r="H1689" s="3"/>
      <c r="I1689" s="3"/>
      <c r="J1689" s="3"/>
      <c r="K1689" s="3"/>
      <c r="L1689" s="19"/>
    </row>
    <row r="1690" spans="1:12">
      <c r="A1690" s="3"/>
      <c r="B1690" t="str">
        <f>IF(_xlfn.XLOOKUP(A1690,PARAMETROS!A:A,PARAMETROS!B:B)=0,"",_xlfn.XLOOKUP(A1690,PARAMETROS!A:A,PARAMETROS!B:B))</f>
        <v/>
      </c>
      <c r="C1690" t="str">
        <f>IF(_xlfn.XLOOKUP(A1690,PARAMETROS!A:A,PARAMETROS!C:C)=0,"",_xlfn.XLOOKUP(A1690,PARAMETROS!A:A,PARAMETROS!C:C))</f>
        <v/>
      </c>
      <c r="D1690" t="str">
        <f>IF(_xlfn.XLOOKUP(A1690,PARAMETROS!A:A,PARAMETROS!D:D)=0,"",_xlfn.XLOOKUP(A1690,PARAMETROS!A:A,PARAMETROS!D:D))</f>
        <v/>
      </c>
      <c r="E1690" t="str">
        <f>IF(_xlfn.XLOOKUP('PREENCHIMENTO|LETIVAS'!A1690,PARAMETROS!A:A,PARAMETROS!I:I)=0,"",_xlfn.XLOOKUP('PREENCHIMENTO|LETIVAS'!A1690,PARAMETROS!A:A,PARAMETROS!I:I))</f>
        <v/>
      </c>
      <c r="F1690" s="3"/>
      <c r="G1690" s="3"/>
      <c r="H1690" s="3"/>
      <c r="I1690" s="3"/>
      <c r="J1690" s="3"/>
      <c r="K1690" s="3"/>
      <c r="L1690" s="19"/>
    </row>
    <row r="1691" spans="1:12">
      <c r="A1691" s="3"/>
      <c r="B1691" t="str">
        <f>IF(_xlfn.XLOOKUP(A1691,PARAMETROS!A:A,PARAMETROS!B:B)=0,"",_xlfn.XLOOKUP(A1691,PARAMETROS!A:A,PARAMETROS!B:B))</f>
        <v/>
      </c>
      <c r="C1691" t="str">
        <f>IF(_xlfn.XLOOKUP(A1691,PARAMETROS!A:A,PARAMETROS!C:C)=0,"",_xlfn.XLOOKUP(A1691,PARAMETROS!A:A,PARAMETROS!C:C))</f>
        <v/>
      </c>
      <c r="D1691" t="str">
        <f>IF(_xlfn.XLOOKUP(A1691,PARAMETROS!A:A,PARAMETROS!D:D)=0,"",_xlfn.XLOOKUP(A1691,PARAMETROS!A:A,PARAMETROS!D:D))</f>
        <v/>
      </c>
      <c r="E1691" t="str">
        <f>IF(_xlfn.XLOOKUP('PREENCHIMENTO|LETIVAS'!A1691,PARAMETROS!A:A,PARAMETROS!I:I)=0,"",_xlfn.XLOOKUP('PREENCHIMENTO|LETIVAS'!A1691,PARAMETROS!A:A,PARAMETROS!I:I))</f>
        <v/>
      </c>
      <c r="F1691" s="3"/>
      <c r="G1691" s="3"/>
      <c r="H1691" s="3"/>
      <c r="I1691" s="3"/>
      <c r="J1691" s="3"/>
      <c r="K1691" s="3"/>
      <c r="L1691" s="19"/>
    </row>
    <row r="1692" spans="1:12">
      <c r="A1692" s="3"/>
      <c r="B1692" t="str">
        <f>IF(_xlfn.XLOOKUP(A1692,PARAMETROS!A:A,PARAMETROS!B:B)=0,"",_xlfn.XLOOKUP(A1692,PARAMETROS!A:A,PARAMETROS!B:B))</f>
        <v/>
      </c>
      <c r="C1692" t="str">
        <f>IF(_xlfn.XLOOKUP(A1692,PARAMETROS!A:A,PARAMETROS!C:C)=0,"",_xlfn.XLOOKUP(A1692,PARAMETROS!A:A,PARAMETROS!C:C))</f>
        <v/>
      </c>
      <c r="D1692" t="str">
        <f>IF(_xlfn.XLOOKUP(A1692,PARAMETROS!A:A,PARAMETROS!D:D)=0,"",_xlfn.XLOOKUP(A1692,PARAMETROS!A:A,PARAMETROS!D:D))</f>
        <v/>
      </c>
      <c r="E1692" t="str">
        <f>IF(_xlfn.XLOOKUP('PREENCHIMENTO|LETIVAS'!A1692,PARAMETROS!A:A,PARAMETROS!I:I)=0,"",_xlfn.XLOOKUP('PREENCHIMENTO|LETIVAS'!A1692,PARAMETROS!A:A,PARAMETROS!I:I))</f>
        <v/>
      </c>
      <c r="F1692" s="3"/>
      <c r="G1692" s="3"/>
      <c r="H1692" s="3"/>
      <c r="I1692" s="3"/>
      <c r="J1692" s="3"/>
      <c r="K1692" s="3"/>
      <c r="L1692" s="19"/>
    </row>
    <row r="1693" spans="1:12">
      <c r="A1693" s="3"/>
      <c r="B1693" t="str">
        <f>IF(_xlfn.XLOOKUP(A1693,PARAMETROS!A:A,PARAMETROS!B:B)=0,"",_xlfn.XLOOKUP(A1693,PARAMETROS!A:A,PARAMETROS!B:B))</f>
        <v/>
      </c>
      <c r="C1693" t="str">
        <f>IF(_xlfn.XLOOKUP(A1693,PARAMETROS!A:A,PARAMETROS!C:C)=0,"",_xlfn.XLOOKUP(A1693,PARAMETROS!A:A,PARAMETROS!C:C))</f>
        <v/>
      </c>
      <c r="D1693" t="str">
        <f>IF(_xlfn.XLOOKUP(A1693,PARAMETROS!A:A,PARAMETROS!D:D)=0,"",_xlfn.XLOOKUP(A1693,PARAMETROS!A:A,PARAMETROS!D:D))</f>
        <v/>
      </c>
      <c r="E1693" t="str">
        <f>IF(_xlfn.XLOOKUP('PREENCHIMENTO|LETIVAS'!A1693,PARAMETROS!A:A,PARAMETROS!I:I)=0,"",_xlfn.XLOOKUP('PREENCHIMENTO|LETIVAS'!A1693,PARAMETROS!A:A,PARAMETROS!I:I))</f>
        <v/>
      </c>
      <c r="F1693" s="3"/>
      <c r="G1693" s="3"/>
      <c r="H1693" s="3"/>
      <c r="I1693" s="3"/>
      <c r="J1693" s="3"/>
      <c r="K1693" s="3"/>
    </row>
    <row r="1694" spans="1:12">
      <c r="A1694" s="3"/>
      <c r="B1694" t="str">
        <f>IF(_xlfn.XLOOKUP(A1694,PARAMETROS!A:A,PARAMETROS!B:B)=0,"",_xlfn.XLOOKUP(A1694,PARAMETROS!A:A,PARAMETROS!B:B))</f>
        <v/>
      </c>
      <c r="C1694" t="str">
        <f>IF(_xlfn.XLOOKUP(A1694,PARAMETROS!A:A,PARAMETROS!C:C)=0,"",_xlfn.XLOOKUP(A1694,PARAMETROS!A:A,PARAMETROS!C:C))</f>
        <v/>
      </c>
      <c r="D1694" t="str">
        <f>IF(_xlfn.XLOOKUP(A1694,PARAMETROS!A:A,PARAMETROS!D:D)=0,"",_xlfn.XLOOKUP(A1694,PARAMETROS!A:A,PARAMETROS!D:D))</f>
        <v/>
      </c>
      <c r="E1694" t="str">
        <f>IF(_xlfn.XLOOKUP('PREENCHIMENTO|LETIVAS'!A1694,PARAMETROS!A:A,PARAMETROS!I:I)=0,"",_xlfn.XLOOKUP('PREENCHIMENTO|LETIVAS'!A1694,PARAMETROS!A:A,PARAMETROS!I:I))</f>
        <v/>
      </c>
      <c r="F1694" s="3"/>
      <c r="G1694" s="3"/>
      <c r="H1694" s="3"/>
      <c r="I1694" s="3"/>
      <c r="J1694" s="3"/>
      <c r="K1694" s="3"/>
    </row>
    <row r="1695" spans="1:12">
      <c r="A1695" s="3"/>
      <c r="B1695" t="str">
        <f>IF(_xlfn.XLOOKUP(A1695,PARAMETROS!A:A,PARAMETROS!B:B)=0,"",_xlfn.XLOOKUP(A1695,PARAMETROS!A:A,PARAMETROS!B:B))</f>
        <v/>
      </c>
      <c r="C1695" t="str">
        <f>IF(_xlfn.XLOOKUP(A1695,PARAMETROS!A:A,PARAMETROS!C:C)=0,"",_xlfn.XLOOKUP(A1695,PARAMETROS!A:A,PARAMETROS!C:C))</f>
        <v/>
      </c>
      <c r="D1695" t="str">
        <f>IF(_xlfn.XLOOKUP(A1695,PARAMETROS!A:A,PARAMETROS!D:D)=0,"",_xlfn.XLOOKUP(A1695,PARAMETROS!A:A,PARAMETROS!D:D))</f>
        <v/>
      </c>
      <c r="E1695" t="str">
        <f>IF(_xlfn.XLOOKUP('PREENCHIMENTO|LETIVAS'!A1695,PARAMETROS!A:A,PARAMETROS!I:I)=0,"",_xlfn.XLOOKUP('PREENCHIMENTO|LETIVAS'!A1695,PARAMETROS!A:A,PARAMETROS!I:I))</f>
        <v/>
      </c>
      <c r="F1695" s="3"/>
      <c r="G1695" s="3"/>
      <c r="H1695" s="3"/>
      <c r="I1695" s="3"/>
      <c r="J1695" s="3"/>
      <c r="K1695" s="3"/>
    </row>
    <row r="1696" spans="1:12">
      <c r="A1696" s="3"/>
      <c r="B1696" t="str">
        <f>IF(_xlfn.XLOOKUP(A1696,PARAMETROS!A:A,PARAMETROS!B:B)=0,"",_xlfn.XLOOKUP(A1696,PARAMETROS!A:A,PARAMETROS!B:B))</f>
        <v/>
      </c>
      <c r="C1696" t="str">
        <f>IF(_xlfn.XLOOKUP(A1696,PARAMETROS!A:A,PARAMETROS!C:C)=0,"",_xlfn.XLOOKUP(A1696,PARAMETROS!A:A,PARAMETROS!C:C))</f>
        <v/>
      </c>
      <c r="D1696" t="str">
        <f>IF(_xlfn.XLOOKUP(A1696,PARAMETROS!A:A,PARAMETROS!D:D)=0,"",_xlfn.XLOOKUP(A1696,PARAMETROS!A:A,PARAMETROS!D:D))</f>
        <v/>
      </c>
      <c r="E1696" t="str">
        <f>IF(_xlfn.XLOOKUP('PREENCHIMENTO|LETIVAS'!A1696,PARAMETROS!A:A,PARAMETROS!I:I)=0,"",_xlfn.XLOOKUP('PREENCHIMENTO|LETIVAS'!A1696,PARAMETROS!A:A,PARAMETROS!I:I))</f>
        <v/>
      </c>
      <c r="F1696" s="3"/>
      <c r="G1696" s="3"/>
      <c r="H1696" s="3"/>
      <c r="I1696" s="3"/>
      <c r="J1696" s="3"/>
      <c r="K1696" s="3"/>
    </row>
    <row r="1697" spans="1:11">
      <c r="A1697" s="3"/>
      <c r="B1697" t="str">
        <f>IF(_xlfn.XLOOKUP(A1697,PARAMETROS!A:A,PARAMETROS!B:B)=0,"",_xlfn.XLOOKUP(A1697,PARAMETROS!A:A,PARAMETROS!B:B))</f>
        <v/>
      </c>
      <c r="C1697" t="str">
        <f>IF(_xlfn.XLOOKUP(A1697,PARAMETROS!A:A,PARAMETROS!C:C)=0,"",_xlfn.XLOOKUP(A1697,PARAMETROS!A:A,PARAMETROS!C:C))</f>
        <v/>
      </c>
      <c r="D1697" t="str">
        <f>IF(_xlfn.XLOOKUP(A1697,PARAMETROS!A:A,PARAMETROS!D:D)=0,"",_xlfn.XLOOKUP(A1697,PARAMETROS!A:A,PARAMETROS!D:D))</f>
        <v/>
      </c>
      <c r="E1697" t="str">
        <f>IF(_xlfn.XLOOKUP('PREENCHIMENTO|LETIVAS'!A1697,PARAMETROS!A:A,PARAMETROS!I:I)=0,"",_xlfn.XLOOKUP('PREENCHIMENTO|LETIVAS'!A1697,PARAMETROS!A:A,PARAMETROS!I:I))</f>
        <v/>
      </c>
      <c r="F1697" s="3"/>
      <c r="G1697" s="3"/>
      <c r="H1697" s="3"/>
      <c r="I1697" s="3"/>
      <c r="J1697" s="3"/>
      <c r="K1697" s="3"/>
    </row>
    <row r="1698" spans="1:11">
      <c r="A1698" s="3"/>
      <c r="B1698" t="str">
        <f>IF(_xlfn.XLOOKUP(A1698,PARAMETROS!A:A,PARAMETROS!B:B)=0,"",_xlfn.XLOOKUP(A1698,PARAMETROS!A:A,PARAMETROS!B:B))</f>
        <v/>
      </c>
      <c r="C1698" t="str">
        <f>IF(_xlfn.XLOOKUP(A1698,PARAMETROS!A:A,PARAMETROS!C:C)=0,"",_xlfn.XLOOKUP(A1698,PARAMETROS!A:A,PARAMETROS!C:C))</f>
        <v/>
      </c>
      <c r="D1698" t="str">
        <f>IF(_xlfn.XLOOKUP(A1698,PARAMETROS!A:A,PARAMETROS!D:D)=0,"",_xlfn.XLOOKUP(A1698,PARAMETROS!A:A,PARAMETROS!D:D))</f>
        <v/>
      </c>
      <c r="E1698" t="str">
        <f>IF(_xlfn.XLOOKUP('PREENCHIMENTO|LETIVAS'!A1698,PARAMETROS!A:A,PARAMETROS!I:I)=0,"",_xlfn.XLOOKUP('PREENCHIMENTO|LETIVAS'!A1698,PARAMETROS!A:A,PARAMETROS!I:I))</f>
        <v/>
      </c>
      <c r="F1698" s="3"/>
      <c r="G1698" s="3"/>
      <c r="H1698" s="3"/>
      <c r="I1698" s="3"/>
      <c r="J1698" s="3"/>
      <c r="K1698" s="3"/>
    </row>
    <row r="1699" spans="1:11">
      <c r="A1699" s="3"/>
      <c r="B1699" t="str">
        <f>IF(_xlfn.XLOOKUP(A1699,PARAMETROS!A:A,PARAMETROS!B:B)=0,"",_xlfn.XLOOKUP(A1699,PARAMETROS!A:A,PARAMETROS!B:B))</f>
        <v/>
      </c>
      <c r="C1699" t="str">
        <f>IF(_xlfn.XLOOKUP(A1699,PARAMETROS!A:A,PARAMETROS!C:C)=0,"",_xlfn.XLOOKUP(A1699,PARAMETROS!A:A,PARAMETROS!C:C))</f>
        <v/>
      </c>
      <c r="D1699" t="str">
        <f>IF(_xlfn.XLOOKUP(A1699,PARAMETROS!A:A,PARAMETROS!D:D)=0,"",_xlfn.XLOOKUP(A1699,PARAMETROS!A:A,PARAMETROS!D:D))</f>
        <v/>
      </c>
      <c r="E1699" t="str">
        <f>IF(_xlfn.XLOOKUP('PREENCHIMENTO|LETIVAS'!A1699,PARAMETROS!A:A,PARAMETROS!I:I)=0,"",_xlfn.XLOOKUP('PREENCHIMENTO|LETIVAS'!A1699,PARAMETROS!A:A,PARAMETROS!I:I))</f>
        <v/>
      </c>
      <c r="F1699" s="3"/>
      <c r="G1699" s="3"/>
      <c r="H1699" s="3"/>
      <c r="I1699" s="3"/>
      <c r="J1699" s="3"/>
      <c r="K1699" s="3"/>
    </row>
    <row r="1700" spans="1:11">
      <c r="A1700" s="3"/>
      <c r="B1700" t="str">
        <f>IF(_xlfn.XLOOKUP(A1700,PARAMETROS!A:A,PARAMETROS!B:B)=0,"",_xlfn.XLOOKUP(A1700,PARAMETROS!A:A,PARAMETROS!B:B))</f>
        <v/>
      </c>
      <c r="C1700" t="str">
        <f>IF(_xlfn.XLOOKUP(A1700,PARAMETROS!A:A,PARAMETROS!C:C)=0,"",_xlfn.XLOOKUP(A1700,PARAMETROS!A:A,PARAMETROS!C:C))</f>
        <v/>
      </c>
      <c r="D1700" t="str">
        <f>IF(_xlfn.XLOOKUP(A1700,PARAMETROS!A:A,PARAMETROS!D:D)=0,"",_xlfn.XLOOKUP(A1700,PARAMETROS!A:A,PARAMETROS!D:D))</f>
        <v/>
      </c>
      <c r="E1700" t="str">
        <f>IF(_xlfn.XLOOKUP('PREENCHIMENTO|LETIVAS'!A1700,PARAMETROS!A:A,PARAMETROS!I:I)=0,"",_xlfn.XLOOKUP('PREENCHIMENTO|LETIVAS'!A1700,PARAMETROS!A:A,PARAMETROS!I:I))</f>
        <v/>
      </c>
      <c r="F1700" s="3"/>
      <c r="G1700" s="3"/>
      <c r="H1700" s="3"/>
      <c r="I1700" s="3"/>
      <c r="J1700" s="3"/>
      <c r="K1700" s="3"/>
    </row>
    <row r="1701" spans="1:11">
      <c r="A1701" s="3"/>
      <c r="B1701" t="str">
        <f>IF(_xlfn.XLOOKUP(A1701,PARAMETROS!A:A,PARAMETROS!B:B)=0,"",_xlfn.XLOOKUP(A1701,PARAMETROS!A:A,PARAMETROS!B:B))</f>
        <v/>
      </c>
      <c r="C1701" t="str">
        <f>IF(_xlfn.XLOOKUP(A1701,PARAMETROS!A:A,PARAMETROS!C:C)=0,"",_xlfn.XLOOKUP(A1701,PARAMETROS!A:A,PARAMETROS!C:C))</f>
        <v/>
      </c>
      <c r="D1701" t="str">
        <f>IF(_xlfn.XLOOKUP(A1701,PARAMETROS!A:A,PARAMETROS!D:D)=0,"",_xlfn.XLOOKUP(A1701,PARAMETROS!A:A,PARAMETROS!D:D))</f>
        <v/>
      </c>
      <c r="E1701" t="str">
        <f>IF(_xlfn.XLOOKUP('PREENCHIMENTO|LETIVAS'!A1701,PARAMETROS!A:A,PARAMETROS!I:I)=0,"",_xlfn.XLOOKUP('PREENCHIMENTO|LETIVAS'!A1701,PARAMETROS!A:A,PARAMETROS!I:I))</f>
        <v/>
      </c>
      <c r="F1701" s="3"/>
      <c r="G1701" s="3"/>
      <c r="H1701" s="3"/>
      <c r="I1701" s="3"/>
      <c r="J1701" s="3"/>
      <c r="K1701" s="3"/>
    </row>
    <row r="1702" spans="1:11">
      <c r="A1702" s="3"/>
      <c r="B1702" t="str">
        <f>IF(_xlfn.XLOOKUP(A1702,PARAMETROS!A:A,PARAMETROS!B:B)=0,"",_xlfn.XLOOKUP(A1702,PARAMETROS!A:A,PARAMETROS!B:B))</f>
        <v/>
      </c>
      <c r="C1702" t="str">
        <f>IF(_xlfn.XLOOKUP(A1702,PARAMETROS!A:A,PARAMETROS!C:C)=0,"",_xlfn.XLOOKUP(A1702,PARAMETROS!A:A,PARAMETROS!C:C))</f>
        <v/>
      </c>
      <c r="D1702" t="str">
        <f>IF(_xlfn.XLOOKUP(A1702,PARAMETROS!A:A,PARAMETROS!D:D)=0,"",_xlfn.XLOOKUP(A1702,PARAMETROS!A:A,PARAMETROS!D:D))</f>
        <v/>
      </c>
      <c r="E1702" t="str">
        <f>IF(_xlfn.XLOOKUP('PREENCHIMENTO|LETIVAS'!A1702,PARAMETROS!A:A,PARAMETROS!I:I)=0,"",_xlfn.XLOOKUP('PREENCHIMENTO|LETIVAS'!A1702,PARAMETROS!A:A,PARAMETROS!I:I))</f>
        <v/>
      </c>
      <c r="F1702" s="3"/>
      <c r="G1702" s="3"/>
      <c r="H1702" s="3"/>
      <c r="I1702" s="3"/>
      <c r="J1702" s="3"/>
      <c r="K1702" s="3"/>
    </row>
    <row r="1703" spans="1:11">
      <c r="A1703" s="3"/>
      <c r="B1703" t="str">
        <f>IF(_xlfn.XLOOKUP(A1703,PARAMETROS!A:A,PARAMETROS!B:B)=0,"",_xlfn.XLOOKUP(A1703,PARAMETROS!A:A,PARAMETROS!B:B))</f>
        <v/>
      </c>
      <c r="C1703" t="str">
        <f>IF(_xlfn.XLOOKUP(A1703,PARAMETROS!A:A,PARAMETROS!C:C)=0,"",_xlfn.XLOOKUP(A1703,PARAMETROS!A:A,PARAMETROS!C:C))</f>
        <v/>
      </c>
      <c r="D1703" t="str">
        <f>IF(_xlfn.XLOOKUP(A1703,PARAMETROS!A:A,PARAMETROS!D:D)=0,"",_xlfn.XLOOKUP(A1703,PARAMETROS!A:A,PARAMETROS!D:D))</f>
        <v/>
      </c>
      <c r="E1703" t="str">
        <f>IF(_xlfn.XLOOKUP('PREENCHIMENTO|LETIVAS'!A1703,PARAMETROS!A:A,PARAMETROS!I:I)=0,"",_xlfn.XLOOKUP('PREENCHIMENTO|LETIVAS'!A1703,PARAMETROS!A:A,PARAMETROS!I:I))</f>
        <v/>
      </c>
      <c r="F1703" s="3"/>
      <c r="G1703" s="3"/>
      <c r="H1703" s="3"/>
      <c r="I1703" s="3"/>
      <c r="J1703" s="3"/>
      <c r="K1703" s="3"/>
    </row>
    <row r="1704" spans="1:11">
      <c r="A1704" s="3"/>
      <c r="B1704" t="str">
        <f>IF(_xlfn.XLOOKUP(A1704,PARAMETROS!A:A,PARAMETROS!B:B)=0,"",_xlfn.XLOOKUP(A1704,PARAMETROS!A:A,PARAMETROS!B:B))</f>
        <v/>
      </c>
      <c r="C1704" t="str">
        <f>IF(_xlfn.XLOOKUP(A1704,PARAMETROS!A:A,PARAMETROS!C:C)=0,"",_xlfn.XLOOKUP(A1704,PARAMETROS!A:A,PARAMETROS!C:C))</f>
        <v/>
      </c>
      <c r="D1704" t="str">
        <f>IF(_xlfn.XLOOKUP(A1704,PARAMETROS!A:A,PARAMETROS!D:D)=0,"",_xlfn.XLOOKUP(A1704,PARAMETROS!A:A,PARAMETROS!D:D))</f>
        <v/>
      </c>
      <c r="E1704" t="str">
        <f>IF(_xlfn.XLOOKUP('PREENCHIMENTO|LETIVAS'!A1704,PARAMETROS!A:A,PARAMETROS!I:I)=0,"",_xlfn.XLOOKUP('PREENCHIMENTO|LETIVAS'!A1704,PARAMETROS!A:A,PARAMETROS!I:I))</f>
        <v/>
      </c>
      <c r="F1704" s="3"/>
      <c r="G1704" s="3"/>
      <c r="H1704" s="3"/>
      <c r="I1704" s="3"/>
      <c r="J1704" s="3"/>
      <c r="K1704" s="3"/>
    </row>
    <row r="1705" spans="1:11">
      <c r="A1705" s="3"/>
      <c r="B1705" t="str">
        <f>IF(_xlfn.XLOOKUP(A1705,PARAMETROS!A:A,PARAMETROS!B:B)=0,"",_xlfn.XLOOKUP(A1705,PARAMETROS!A:A,PARAMETROS!B:B))</f>
        <v/>
      </c>
      <c r="C1705" t="str">
        <f>IF(_xlfn.XLOOKUP(A1705,PARAMETROS!A:A,PARAMETROS!C:C)=0,"",_xlfn.XLOOKUP(A1705,PARAMETROS!A:A,PARAMETROS!C:C))</f>
        <v/>
      </c>
      <c r="D1705" t="str">
        <f>IF(_xlfn.XLOOKUP(A1705,PARAMETROS!A:A,PARAMETROS!D:D)=0,"",_xlfn.XLOOKUP(A1705,PARAMETROS!A:A,PARAMETROS!D:D))</f>
        <v/>
      </c>
      <c r="E1705" t="str">
        <f>IF(_xlfn.XLOOKUP('PREENCHIMENTO|LETIVAS'!A1705,PARAMETROS!A:A,PARAMETROS!I:I)=0,"",_xlfn.XLOOKUP('PREENCHIMENTO|LETIVAS'!A1705,PARAMETROS!A:A,PARAMETROS!I:I))</f>
        <v/>
      </c>
      <c r="F1705" s="3"/>
      <c r="G1705" s="3"/>
      <c r="H1705" s="3"/>
      <c r="I1705" s="3"/>
      <c r="J1705" s="3"/>
      <c r="K1705" s="3"/>
    </row>
    <row r="1706" spans="1:11">
      <c r="A1706" s="3"/>
      <c r="B1706" t="str">
        <f>IF(_xlfn.XLOOKUP(A1706,PARAMETROS!A:A,PARAMETROS!B:B)=0,"",_xlfn.XLOOKUP(A1706,PARAMETROS!A:A,PARAMETROS!B:B))</f>
        <v/>
      </c>
      <c r="C1706" t="str">
        <f>IF(_xlfn.XLOOKUP(A1706,PARAMETROS!A:A,PARAMETROS!C:C)=0,"",_xlfn.XLOOKUP(A1706,PARAMETROS!A:A,PARAMETROS!C:C))</f>
        <v/>
      </c>
      <c r="D1706" t="str">
        <f>IF(_xlfn.XLOOKUP(A1706,PARAMETROS!A:A,PARAMETROS!D:D)=0,"",_xlfn.XLOOKUP(A1706,PARAMETROS!A:A,PARAMETROS!D:D))</f>
        <v/>
      </c>
      <c r="E1706" t="str">
        <f>IF(_xlfn.XLOOKUP('PREENCHIMENTO|LETIVAS'!A1706,PARAMETROS!A:A,PARAMETROS!I:I)=0,"",_xlfn.XLOOKUP('PREENCHIMENTO|LETIVAS'!A1706,PARAMETROS!A:A,PARAMETROS!I:I))</f>
        <v/>
      </c>
      <c r="F1706" s="3"/>
      <c r="G1706" s="3"/>
      <c r="H1706" s="3"/>
      <c r="I1706" s="3"/>
      <c r="J1706" s="3"/>
      <c r="K1706" s="3"/>
    </row>
    <row r="1707" spans="1:11">
      <c r="A1707" s="3"/>
      <c r="B1707" t="str">
        <f>IF(_xlfn.XLOOKUP(A1707,PARAMETROS!A:A,PARAMETROS!B:B)=0,"",_xlfn.XLOOKUP(A1707,PARAMETROS!A:A,PARAMETROS!B:B))</f>
        <v/>
      </c>
      <c r="C1707" t="str">
        <f>IF(_xlfn.XLOOKUP(A1707,PARAMETROS!A:A,PARAMETROS!C:C)=0,"",_xlfn.XLOOKUP(A1707,PARAMETROS!A:A,PARAMETROS!C:C))</f>
        <v/>
      </c>
      <c r="D1707" t="str">
        <f>IF(_xlfn.XLOOKUP(A1707,PARAMETROS!A:A,PARAMETROS!D:D)=0,"",_xlfn.XLOOKUP(A1707,PARAMETROS!A:A,PARAMETROS!D:D))</f>
        <v/>
      </c>
      <c r="E1707" t="str">
        <f>IF(_xlfn.XLOOKUP('PREENCHIMENTO|LETIVAS'!A1707,PARAMETROS!A:A,PARAMETROS!I:I)=0,"",_xlfn.XLOOKUP('PREENCHIMENTO|LETIVAS'!A1707,PARAMETROS!A:A,PARAMETROS!I:I))</f>
        <v/>
      </c>
      <c r="F1707" s="3"/>
      <c r="G1707" s="3"/>
      <c r="H1707" s="3"/>
      <c r="I1707" s="3"/>
      <c r="J1707" s="3"/>
      <c r="K1707" s="3"/>
    </row>
    <row r="1708" spans="1:11">
      <c r="A1708" s="3"/>
      <c r="B1708" t="str">
        <f>IF(_xlfn.XLOOKUP(A1708,PARAMETROS!A:A,PARAMETROS!B:B)=0,"",_xlfn.XLOOKUP(A1708,PARAMETROS!A:A,PARAMETROS!B:B))</f>
        <v/>
      </c>
      <c r="C1708" t="str">
        <f>IF(_xlfn.XLOOKUP(A1708,PARAMETROS!A:A,PARAMETROS!C:C)=0,"",_xlfn.XLOOKUP(A1708,PARAMETROS!A:A,PARAMETROS!C:C))</f>
        <v/>
      </c>
      <c r="D1708" t="str">
        <f>IF(_xlfn.XLOOKUP(A1708,PARAMETROS!A:A,PARAMETROS!D:D)=0,"",_xlfn.XLOOKUP(A1708,PARAMETROS!A:A,PARAMETROS!D:D))</f>
        <v/>
      </c>
      <c r="E1708" t="str">
        <f>IF(_xlfn.XLOOKUP('PREENCHIMENTO|LETIVAS'!A1708,PARAMETROS!A:A,PARAMETROS!I:I)=0,"",_xlfn.XLOOKUP('PREENCHIMENTO|LETIVAS'!A1708,PARAMETROS!A:A,PARAMETROS!I:I))</f>
        <v/>
      </c>
      <c r="F1708" s="3"/>
      <c r="G1708" s="3"/>
      <c r="H1708" s="3"/>
      <c r="I1708" s="3"/>
      <c r="J1708" s="3"/>
      <c r="K1708" s="3"/>
    </row>
    <row r="1709" spans="1:11">
      <c r="A1709" s="3"/>
      <c r="B1709" t="str">
        <f>IF(_xlfn.XLOOKUP(A1709,PARAMETROS!A:A,PARAMETROS!B:B)=0,"",_xlfn.XLOOKUP(A1709,PARAMETROS!A:A,PARAMETROS!B:B))</f>
        <v/>
      </c>
      <c r="C1709" t="str">
        <f>IF(_xlfn.XLOOKUP(A1709,PARAMETROS!A:A,PARAMETROS!C:C)=0,"",_xlfn.XLOOKUP(A1709,PARAMETROS!A:A,PARAMETROS!C:C))</f>
        <v/>
      </c>
      <c r="D1709" t="str">
        <f>IF(_xlfn.XLOOKUP(A1709,PARAMETROS!A:A,PARAMETROS!D:D)=0,"",_xlfn.XLOOKUP(A1709,PARAMETROS!A:A,PARAMETROS!D:D))</f>
        <v/>
      </c>
      <c r="E1709" t="str">
        <f>IF(_xlfn.XLOOKUP('PREENCHIMENTO|LETIVAS'!A1709,PARAMETROS!A:A,PARAMETROS!I:I)=0,"",_xlfn.XLOOKUP('PREENCHIMENTO|LETIVAS'!A1709,PARAMETROS!A:A,PARAMETROS!I:I))</f>
        <v/>
      </c>
      <c r="F1709" s="3"/>
      <c r="G1709" s="3"/>
      <c r="H1709" s="3"/>
      <c r="I1709" s="3"/>
      <c r="J1709" s="3"/>
      <c r="K1709" s="3"/>
    </row>
    <row r="1710" spans="1:11">
      <c r="A1710" s="3"/>
      <c r="B1710" t="str">
        <f>IF(_xlfn.XLOOKUP(A1710,PARAMETROS!A:A,PARAMETROS!B:B)=0,"",_xlfn.XLOOKUP(A1710,PARAMETROS!A:A,PARAMETROS!B:B))</f>
        <v/>
      </c>
      <c r="C1710" t="str">
        <f>IF(_xlfn.XLOOKUP(A1710,PARAMETROS!A:A,PARAMETROS!C:C)=0,"",_xlfn.XLOOKUP(A1710,PARAMETROS!A:A,PARAMETROS!C:C))</f>
        <v/>
      </c>
      <c r="D1710" t="str">
        <f>IF(_xlfn.XLOOKUP(A1710,PARAMETROS!A:A,PARAMETROS!D:D)=0,"",_xlfn.XLOOKUP(A1710,PARAMETROS!A:A,PARAMETROS!D:D))</f>
        <v/>
      </c>
      <c r="E1710" t="str">
        <f>IF(_xlfn.XLOOKUP('PREENCHIMENTO|LETIVAS'!A1710,PARAMETROS!A:A,PARAMETROS!I:I)=0,"",_xlfn.XLOOKUP('PREENCHIMENTO|LETIVAS'!A1710,PARAMETROS!A:A,PARAMETROS!I:I))</f>
        <v/>
      </c>
      <c r="F1710" s="3"/>
      <c r="G1710" s="3"/>
      <c r="H1710" s="3"/>
      <c r="I1710" s="3"/>
      <c r="J1710" s="3"/>
      <c r="K1710" s="3"/>
    </row>
    <row r="1711" spans="1:11">
      <c r="A1711" s="3"/>
      <c r="B1711" t="str">
        <f>IF(_xlfn.XLOOKUP(A1711,PARAMETROS!A:A,PARAMETROS!B:B)=0,"",_xlfn.XLOOKUP(A1711,PARAMETROS!A:A,PARAMETROS!B:B))</f>
        <v/>
      </c>
      <c r="C1711" t="str">
        <f>IF(_xlfn.XLOOKUP(A1711,PARAMETROS!A:A,PARAMETROS!C:C)=0,"",_xlfn.XLOOKUP(A1711,PARAMETROS!A:A,PARAMETROS!C:C))</f>
        <v/>
      </c>
      <c r="D1711" t="str">
        <f>IF(_xlfn.XLOOKUP(A1711,PARAMETROS!A:A,PARAMETROS!D:D)=0,"",_xlfn.XLOOKUP(A1711,PARAMETROS!A:A,PARAMETROS!D:D))</f>
        <v/>
      </c>
      <c r="E1711" t="str">
        <f>IF(_xlfn.XLOOKUP('PREENCHIMENTO|LETIVAS'!A1711,PARAMETROS!A:A,PARAMETROS!I:I)=0,"",_xlfn.XLOOKUP('PREENCHIMENTO|LETIVAS'!A1711,PARAMETROS!A:A,PARAMETROS!I:I))</f>
        <v/>
      </c>
      <c r="F1711" s="3"/>
      <c r="G1711" s="3"/>
      <c r="H1711" s="3"/>
      <c r="I1711" s="3"/>
      <c r="J1711" s="3"/>
      <c r="K1711" s="3"/>
    </row>
    <row r="1712" spans="1:11">
      <c r="A1712" s="3"/>
      <c r="B1712" t="str">
        <f>IF(_xlfn.XLOOKUP(A1712,PARAMETROS!A:A,PARAMETROS!B:B)=0,"",_xlfn.XLOOKUP(A1712,PARAMETROS!A:A,PARAMETROS!B:B))</f>
        <v/>
      </c>
      <c r="C1712" t="str">
        <f>IF(_xlfn.XLOOKUP(A1712,PARAMETROS!A:A,PARAMETROS!C:C)=0,"",_xlfn.XLOOKUP(A1712,PARAMETROS!A:A,PARAMETROS!C:C))</f>
        <v/>
      </c>
      <c r="D1712" t="str">
        <f>IF(_xlfn.XLOOKUP(A1712,PARAMETROS!A:A,PARAMETROS!D:D)=0,"",_xlfn.XLOOKUP(A1712,PARAMETROS!A:A,PARAMETROS!D:D))</f>
        <v/>
      </c>
      <c r="E1712" t="str">
        <f>IF(_xlfn.XLOOKUP('PREENCHIMENTO|LETIVAS'!A1712,PARAMETROS!A:A,PARAMETROS!I:I)=0,"",_xlfn.XLOOKUP('PREENCHIMENTO|LETIVAS'!A1712,PARAMETROS!A:A,PARAMETROS!I:I))</f>
        <v/>
      </c>
      <c r="F1712" s="3"/>
      <c r="G1712" s="3"/>
      <c r="H1712" s="3"/>
      <c r="I1712" s="3"/>
      <c r="J1712" s="3"/>
      <c r="K1712" s="3"/>
    </row>
    <row r="1713" spans="1:11">
      <c r="A1713" s="3"/>
      <c r="B1713" t="str">
        <f>IF(_xlfn.XLOOKUP(A1713,PARAMETROS!A:A,PARAMETROS!B:B)=0,"",_xlfn.XLOOKUP(A1713,PARAMETROS!A:A,PARAMETROS!B:B))</f>
        <v/>
      </c>
      <c r="C1713" t="str">
        <f>IF(_xlfn.XLOOKUP(A1713,PARAMETROS!A:A,PARAMETROS!C:C)=0,"",_xlfn.XLOOKUP(A1713,PARAMETROS!A:A,PARAMETROS!C:C))</f>
        <v/>
      </c>
      <c r="D1713" t="str">
        <f>IF(_xlfn.XLOOKUP(A1713,PARAMETROS!A:A,PARAMETROS!D:D)=0,"",_xlfn.XLOOKUP(A1713,PARAMETROS!A:A,PARAMETROS!D:D))</f>
        <v/>
      </c>
      <c r="E1713" t="str">
        <f>IF(_xlfn.XLOOKUP('PREENCHIMENTO|LETIVAS'!A1713,PARAMETROS!A:A,PARAMETROS!I:I)=0,"",_xlfn.XLOOKUP('PREENCHIMENTO|LETIVAS'!A1713,PARAMETROS!A:A,PARAMETROS!I:I))</f>
        <v/>
      </c>
      <c r="F1713" s="3"/>
      <c r="G1713" s="3"/>
      <c r="H1713" s="3"/>
      <c r="I1713" s="3"/>
      <c r="J1713" s="3"/>
      <c r="K1713" s="3"/>
    </row>
    <row r="1714" spans="1:11">
      <c r="A1714" s="3"/>
      <c r="B1714" t="str">
        <f>IF(_xlfn.XLOOKUP(A1714,PARAMETROS!A:A,PARAMETROS!B:B)=0,"",_xlfn.XLOOKUP(A1714,PARAMETROS!A:A,PARAMETROS!B:B))</f>
        <v/>
      </c>
      <c r="C1714" t="str">
        <f>IF(_xlfn.XLOOKUP(A1714,PARAMETROS!A:A,PARAMETROS!C:C)=0,"",_xlfn.XLOOKUP(A1714,PARAMETROS!A:A,PARAMETROS!C:C))</f>
        <v/>
      </c>
      <c r="D1714" t="str">
        <f>IF(_xlfn.XLOOKUP(A1714,PARAMETROS!A:A,PARAMETROS!D:D)=0,"",_xlfn.XLOOKUP(A1714,PARAMETROS!A:A,PARAMETROS!D:D))</f>
        <v/>
      </c>
      <c r="E1714" t="str">
        <f>IF(_xlfn.XLOOKUP('PREENCHIMENTO|LETIVAS'!A1714,PARAMETROS!A:A,PARAMETROS!I:I)=0,"",_xlfn.XLOOKUP('PREENCHIMENTO|LETIVAS'!A1714,PARAMETROS!A:A,PARAMETROS!I:I))</f>
        <v/>
      </c>
      <c r="F1714" s="3"/>
      <c r="G1714" s="3"/>
      <c r="H1714" s="3"/>
      <c r="I1714" s="3"/>
      <c r="J1714" s="3"/>
      <c r="K1714" s="3"/>
    </row>
    <row r="1715" spans="1:11">
      <c r="A1715" s="3"/>
      <c r="B1715" t="str">
        <f>IF(_xlfn.XLOOKUP(A1715,PARAMETROS!A:A,PARAMETROS!B:B)=0,"",_xlfn.XLOOKUP(A1715,PARAMETROS!A:A,PARAMETROS!B:B))</f>
        <v/>
      </c>
      <c r="C1715" t="str">
        <f>IF(_xlfn.XLOOKUP(A1715,PARAMETROS!A:A,PARAMETROS!C:C)=0,"",_xlfn.XLOOKUP(A1715,PARAMETROS!A:A,PARAMETROS!C:C))</f>
        <v/>
      </c>
      <c r="D1715" t="str">
        <f>IF(_xlfn.XLOOKUP(A1715,PARAMETROS!A:A,PARAMETROS!D:D)=0,"",_xlfn.XLOOKUP(A1715,PARAMETROS!A:A,PARAMETROS!D:D))</f>
        <v/>
      </c>
      <c r="E1715" t="str">
        <f>IF(_xlfn.XLOOKUP('PREENCHIMENTO|LETIVAS'!A1715,PARAMETROS!A:A,PARAMETROS!I:I)=0,"",_xlfn.XLOOKUP('PREENCHIMENTO|LETIVAS'!A1715,PARAMETROS!A:A,PARAMETROS!I:I))</f>
        <v/>
      </c>
      <c r="F1715" s="3"/>
      <c r="G1715" s="3"/>
      <c r="H1715" s="3"/>
      <c r="I1715" s="3"/>
      <c r="J1715" s="3"/>
      <c r="K1715" s="3"/>
    </row>
    <row r="1716" spans="1:11">
      <c r="A1716" s="3"/>
      <c r="B1716" t="str">
        <f>IF(_xlfn.XLOOKUP(A1716,PARAMETROS!A:A,PARAMETROS!B:B)=0,"",_xlfn.XLOOKUP(A1716,PARAMETROS!A:A,PARAMETROS!B:B))</f>
        <v/>
      </c>
      <c r="C1716" t="str">
        <f>IF(_xlfn.XLOOKUP(A1716,PARAMETROS!A:A,PARAMETROS!C:C)=0,"",_xlfn.XLOOKUP(A1716,PARAMETROS!A:A,PARAMETROS!C:C))</f>
        <v/>
      </c>
      <c r="D1716" t="str">
        <f>IF(_xlfn.XLOOKUP(A1716,PARAMETROS!A:A,PARAMETROS!D:D)=0,"",_xlfn.XLOOKUP(A1716,PARAMETROS!A:A,PARAMETROS!D:D))</f>
        <v/>
      </c>
      <c r="E1716" t="str">
        <f>IF(_xlfn.XLOOKUP('PREENCHIMENTO|LETIVAS'!A1716,PARAMETROS!A:A,PARAMETROS!I:I)=0,"",_xlfn.XLOOKUP('PREENCHIMENTO|LETIVAS'!A1716,PARAMETROS!A:A,PARAMETROS!I:I))</f>
        <v/>
      </c>
      <c r="F1716" s="3"/>
      <c r="G1716" s="3"/>
      <c r="H1716" s="3"/>
      <c r="I1716" s="3"/>
      <c r="J1716" s="3"/>
      <c r="K1716" s="3"/>
    </row>
    <row r="1717" spans="1:11">
      <c r="A1717" s="3"/>
      <c r="B1717" t="str">
        <f>IF(_xlfn.XLOOKUP(A1717,PARAMETROS!A:A,PARAMETROS!B:B)=0,"",_xlfn.XLOOKUP(A1717,PARAMETROS!A:A,PARAMETROS!B:B))</f>
        <v/>
      </c>
      <c r="C1717" t="str">
        <f>IF(_xlfn.XLOOKUP(A1717,PARAMETROS!A:A,PARAMETROS!C:C)=0,"",_xlfn.XLOOKUP(A1717,PARAMETROS!A:A,PARAMETROS!C:C))</f>
        <v/>
      </c>
      <c r="D1717" t="str">
        <f>IF(_xlfn.XLOOKUP(A1717,PARAMETROS!A:A,PARAMETROS!D:D)=0,"",_xlfn.XLOOKUP(A1717,PARAMETROS!A:A,PARAMETROS!D:D))</f>
        <v/>
      </c>
      <c r="E1717" t="str">
        <f>IF(_xlfn.XLOOKUP('PREENCHIMENTO|LETIVAS'!A1717,PARAMETROS!A:A,PARAMETROS!I:I)=0,"",_xlfn.XLOOKUP('PREENCHIMENTO|LETIVAS'!A1717,PARAMETROS!A:A,PARAMETROS!I:I))</f>
        <v/>
      </c>
      <c r="F1717" s="3"/>
      <c r="G1717" s="3"/>
      <c r="H1717" s="3"/>
      <c r="I1717" s="3"/>
      <c r="J1717" s="3"/>
      <c r="K1717" s="3"/>
    </row>
    <row r="1718" spans="1:11">
      <c r="A1718" s="3"/>
      <c r="B1718" t="str">
        <f>IF(_xlfn.XLOOKUP(A1718,PARAMETROS!A:A,PARAMETROS!B:B)=0,"",_xlfn.XLOOKUP(A1718,PARAMETROS!A:A,PARAMETROS!B:B))</f>
        <v/>
      </c>
      <c r="C1718" t="str">
        <f>IF(_xlfn.XLOOKUP(A1718,PARAMETROS!A:A,PARAMETROS!C:C)=0,"",_xlfn.XLOOKUP(A1718,PARAMETROS!A:A,PARAMETROS!C:C))</f>
        <v/>
      </c>
      <c r="D1718" t="str">
        <f>IF(_xlfn.XLOOKUP(A1718,PARAMETROS!A:A,PARAMETROS!D:D)=0,"",_xlfn.XLOOKUP(A1718,PARAMETROS!A:A,PARAMETROS!D:D))</f>
        <v/>
      </c>
      <c r="E1718" t="str">
        <f>IF(_xlfn.XLOOKUP('PREENCHIMENTO|LETIVAS'!A1718,PARAMETROS!A:A,PARAMETROS!I:I)=0,"",_xlfn.XLOOKUP('PREENCHIMENTO|LETIVAS'!A1718,PARAMETROS!A:A,PARAMETROS!I:I))</f>
        <v/>
      </c>
      <c r="F1718" s="3"/>
      <c r="G1718" s="3"/>
      <c r="H1718" s="3"/>
      <c r="I1718" s="3"/>
      <c r="J1718" s="3"/>
      <c r="K1718" s="3"/>
    </row>
    <row r="1719" spans="1:11">
      <c r="A1719" s="3"/>
      <c r="B1719" t="str">
        <f>IF(_xlfn.XLOOKUP(A1719,PARAMETROS!A:A,PARAMETROS!B:B)=0,"",_xlfn.XLOOKUP(A1719,PARAMETROS!A:A,PARAMETROS!B:B))</f>
        <v/>
      </c>
      <c r="C1719" t="str">
        <f>IF(_xlfn.XLOOKUP(A1719,PARAMETROS!A:A,PARAMETROS!C:C)=0,"",_xlfn.XLOOKUP(A1719,PARAMETROS!A:A,PARAMETROS!C:C))</f>
        <v/>
      </c>
      <c r="D1719" t="str">
        <f>IF(_xlfn.XLOOKUP(A1719,PARAMETROS!A:A,PARAMETROS!D:D)=0,"",_xlfn.XLOOKUP(A1719,PARAMETROS!A:A,PARAMETROS!D:D))</f>
        <v/>
      </c>
      <c r="E1719" t="str">
        <f>IF(_xlfn.XLOOKUP('PREENCHIMENTO|LETIVAS'!A1719,PARAMETROS!A:A,PARAMETROS!I:I)=0,"",_xlfn.XLOOKUP('PREENCHIMENTO|LETIVAS'!A1719,PARAMETROS!A:A,PARAMETROS!I:I))</f>
        <v/>
      </c>
      <c r="F1719" s="3"/>
      <c r="G1719" s="3"/>
      <c r="H1719" s="3"/>
      <c r="I1719" s="3"/>
      <c r="J1719" s="3"/>
      <c r="K1719" s="3"/>
    </row>
    <row r="1720" spans="1:11">
      <c r="A1720" s="3"/>
      <c r="B1720" t="str">
        <f>IF(_xlfn.XLOOKUP(A1720,PARAMETROS!A:A,PARAMETROS!B:B)=0,"",_xlfn.XLOOKUP(A1720,PARAMETROS!A:A,PARAMETROS!B:B))</f>
        <v/>
      </c>
      <c r="C1720" t="str">
        <f>IF(_xlfn.XLOOKUP(A1720,PARAMETROS!A:A,PARAMETROS!C:C)=0,"",_xlfn.XLOOKUP(A1720,PARAMETROS!A:A,PARAMETROS!C:C))</f>
        <v/>
      </c>
      <c r="D1720" t="str">
        <f>IF(_xlfn.XLOOKUP(A1720,PARAMETROS!A:A,PARAMETROS!D:D)=0,"",_xlfn.XLOOKUP(A1720,PARAMETROS!A:A,PARAMETROS!D:D))</f>
        <v/>
      </c>
      <c r="E1720" t="str">
        <f>IF(_xlfn.XLOOKUP('PREENCHIMENTO|LETIVAS'!A1720,PARAMETROS!A:A,PARAMETROS!I:I)=0,"",_xlfn.XLOOKUP('PREENCHIMENTO|LETIVAS'!A1720,PARAMETROS!A:A,PARAMETROS!I:I))</f>
        <v/>
      </c>
      <c r="F1720" s="3"/>
      <c r="G1720" s="3"/>
      <c r="H1720" s="3"/>
      <c r="I1720" s="3"/>
      <c r="J1720" s="3"/>
      <c r="K1720" s="3"/>
    </row>
    <row r="1721" spans="1:11">
      <c r="A1721" s="3"/>
      <c r="B1721" t="str">
        <f>IF(_xlfn.XLOOKUP(A1721,PARAMETROS!A:A,PARAMETROS!B:B)=0,"",_xlfn.XLOOKUP(A1721,PARAMETROS!A:A,PARAMETROS!B:B))</f>
        <v/>
      </c>
      <c r="C1721" t="str">
        <f>IF(_xlfn.XLOOKUP(A1721,PARAMETROS!A:A,PARAMETROS!C:C)=0,"",_xlfn.XLOOKUP(A1721,PARAMETROS!A:A,PARAMETROS!C:C))</f>
        <v/>
      </c>
      <c r="D1721" t="str">
        <f>IF(_xlfn.XLOOKUP(A1721,PARAMETROS!A:A,PARAMETROS!D:D)=0,"",_xlfn.XLOOKUP(A1721,PARAMETROS!A:A,PARAMETROS!D:D))</f>
        <v/>
      </c>
      <c r="E1721" t="str">
        <f>IF(_xlfn.XLOOKUP('PREENCHIMENTO|LETIVAS'!A1721,PARAMETROS!A:A,PARAMETROS!I:I)=0,"",_xlfn.XLOOKUP('PREENCHIMENTO|LETIVAS'!A1721,PARAMETROS!A:A,PARAMETROS!I:I))</f>
        <v/>
      </c>
      <c r="F1721" s="3"/>
      <c r="G1721" s="3"/>
      <c r="H1721" s="3"/>
      <c r="I1721" s="3"/>
      <c r="J1721" s="3"/>
      <c r="K1721" s="3"/>
    </row>
    <row r="1722" spans="1:11">
      <c r="A1722" s="3"/>
      <c r="B1722" t="str">
        <f>IF(_xlfn.XLOOKUP(A1722,PARAMETROS!A:A,PARAMETROS!B:B)=0,"",_xlfn.XLOOKUP(A1722,PARAMETROS!A:A,PARAMETROS!B:B))</f>
        <v/>
      </c>
      <c r="C1722" t="str">
        <f>IF(_xlfn.XLOOKUP(A1722,PARAMETROS!A:A,PARAMETROS!C:C)=0,"",_xlfn.XLOOKUP(A1722,PARAMETROS!A:A,PARAMETROS!C:C))</f>
        <v/>
      </c>
      <c r="D1722" t="str">
        <f>IF(_xlfn.XLOOKUP(A1722,PARAMETROS!A:A,PARAMETROS!D:D)=0,"",_xlfn.XLOOKUP(A1722,PARAMETROS!A:A,PARAMETROS!D:D))</f>
        <v/>
      </c>
      <c r="E1722" t="str">
        <f>IF(_xlfn.XLOOKUP('PREENCHIMENTO|LETIVAS'!A1722,PARAMETROS!A:A,PARAMETROS!I:I)=0,"",_xlfn.XLOOKUP('PREENCHIMENTO|LETIVAS'!A1722,PARAMETROS!A:A,PARAMETROS!I:I))</f>
        <v/>
      </c>
      <c r="F1722" s="3"/>
      <c r="G1722" s="3"/>
      <c r="H1722" s="3"/>
      <c r="I1722" s="3"/>
      <c r="J1722" s="3"/>
      <c r="K1722" s="3"/>
    </row>
    <row r="1723" spans="1:11">
      <c r="A1723" s="3"/>
      <c r="B1723" t="str">
        <f>IF(_xlfn.XLOOKUP(A1723,PARAMETROS!A:A,PARAMETROS!B:B)=0,"",_xlfn.XLOOKUP(A1723,PARAMETROS!A:A,PARAMETROS!B:B))</f>
        <v/>
      </c>
      <c r="C1723" t="str">
        <f>IF(_xlfn.XLOOKUP(A1723,PARAMETROS!A:A,PARAMETROS!C:C)=0,"",_xlfn.XLOOKUP(A1723,PARAMETROS!A:A,PARAMETROS!C:C))</f>
        <v/>
      </c>
      <c r="D1723" t="str">
        <f>IF(_xlfn.XLOOKUP(A1723,PARAMETROS!A:A,PARAMETROS!D:D)=0,"",_xlfn.XLOOKUP(A1723,PARAMETROS!A:A,PARAMETROS!D:D))</f>
        <v/>
      </c>
      <c r="E1723" t="str">
        <f>IF(_xlfn.XLOOKUP('PREENCHIMENTO|LETIVAS'!A1723,PARAMETROS!A:A,PARAMETROS!I:I)=0,"",_xlfn.XLOOKUP('PREENCHIMENTO|LETIVAS'!A1723,PARAMETROS!A:A,PARAMETROS!I:I))</f>
        <v/>
      </c>
      <c r="F1723" s="3"/>
      <c r="G1723" s="3"/>
      <c r="H1723" s="3"/>
      <c r="I1723" s="3"/>
      <c r="J1723" s="3"/>
      <c r="K1723" s="3"/>
    </row>
    <row r="1724" spans="1:11">
      <c r="A1724" s="3"/>
      <c r="B1724" t="str">
        <f>IF(_xlfn.XLOOKUP(A1724,PARAMETROS!A:A,PARAMETROS!B:B)=0,"",_xlfn.XLOOKUP(A1724,PARAMETROS!A:A,PARAMETROS!B:B))</f>
        <v/>
      </c>
      <c r="C1724" t="str">
        <f>IF(_xlfn.XLOOKUP(A1724,PARAMETROS!A:A,PARAMETROS!C:C)=0,"",_xlfn.XLOOKUP(A1724,PARAMETROS!A:A,PARAMETROS!C:C))</f>
        <v/>
      </c>
      <c r="D1724" t="str">
        <f>IF(_xlfn.XLOOKUP(A1724,PARAMETROS!A:A,PARAMETROS!D:D)=0,"",_xlfn.XLOOKUP(A1724,PARAMETROS!A:A,PARAMETROS!D:D))</f>
        <v/>
      </c>
      <c r="E1724" t="str">
        <f>IF(_xlfn.XLOOKUP('PREENCHIMENTO|LETIVAS'!A1724,PARAMETROS!A:A,PARAMETROS!I:I)=0,"",_xlfn.XLOOKUP('PREENCHIMENTO|LETIVAS'!A1724,PARAMETROS!A:A,PARAMETROS!I:I))</f>
        <v/>
      </c>
      <c r="F1724" s="3"/>
      <c r="G1724" s="3"/>
      <c r="H1724" s="3"/>
      <c r="I1724" s="3"/>
      <c r="J1724" s="3"/>
      <c r="K1724" s="3"/>
    </row>
    <row r="1725" spans="1:11">
      <c r="A1725" s="3"/>
      <c r="B1725" t="str">
        <f>IF(_xlfn.XLOOKUP(A1725,PARAMETROS!A:A,PARAMETROS!B:B)=0,"",_xlfn.XLOOKUP(A1725,PARAMETROS!A:A,PARAMETROS!B:B))</f>
        <v/>
      </c>
      <c r="C1725" t="str">
        <f>IF(_xlfn.XLOOKUP(A1725,PARAMETROS!A:A,PARAMETROS!C:C)=0,"",_xlfn.XLOOKUP(A1725,PARAMETROS!A:A,PARAMETROS!C:C))</f>
        <v/>
      </c>
      <c r="D1725" t="str">
        <f>IF(_xlfn.XLOOKUP(A1725,PARAMETROS!A:A,PARAMETROS!D:D)=0,"",_xlfn.XLOOKUP(A1725,PARAMETROS!A:A,PARAMETROS!D:D))</f>
        <v/>
      </c>
      <c r="E1725" t="str">
        <f>IF(_xlfn.XLOOKUP('PREENCHIMENTO|LETIVAS'!A1725,PARAMETROS!A:A,PARAMETROS!I:I)=0,"",_xlfn.XLOOKUP('PREENCHIMENTO|LETIVAS'!A1725,PARAMETROS!A:A,PARAMETROS!I:I))</f>
        <v/>
      </c>
      <c r="F1725" s="3"/>
      <c r="G1725" s="3"/>
      <c r="H1725" s="3"/>
      <c r="I1725" s="3"/>
      <c r="J1725" s="3"/>
      <c r="K1725" s="3"/>
    </row>
    <row r="1726" spans="1:11">
      <c r="A1726" s="3"/>
      <c r="B1726" t="str">
        <f>IF(_xlfn.XLOOKUP(A1726,PARAMETROS!A:A,PARAMETROS!B:B)=0,"",_xlfn.XLOOKUP(A1726,PARAMETROS!A:A,PARAMETROS!B:B))</f>
        <v/>
      </c>
      <c r="C1726" t="str">
        <f>IF(_xlfn.XLOOKUP(A1726,PARAMETROS!A:A,PARAMETROS!C:C)=0,"",_xlfn.XLOOKUP(A1726,PARAMETROS!A:A,PARAMETROS!C:C))</f>
        <v/>
      </c>
      <c r="D1726" t="str">
        <f>IF(_xlfn.XLOOKUP(A1726,PARAMETROS!A:A,PARAMETROS!D:D)=0,"",_xlfn.XLOOKUP(A1726,PARAMETROS!A:A,PARAMETROS!D:D))</f>
        <v/>
      </c>
      <c r="E1726" t="str">
        <f>IF(_xlfn.XLOOKUP('PREENCHIMENTO|LETIVAS'!A1726,PARAMETROS!A:A,PARAMETROS!I:I)=0,"",_xlfn.XLOOKUP('PREENCHIMENTO|LETIVAS'!A1726,PARAMETROS!A:A,PARAMETROS!I:I))</f>
        <v/>
      </c>
      <c r="F1726" s="3"/>
      <c r="G1726" s="3"/>
      <c r="H1726" s="3"/>
      <c r="I1726" s="3"/>
      <c r="J1726" s="3"/>
      <c r="K1726" s="3"/>
    </row>
    <row r="1727" spans="1:11">
      <c r="A1727" s="3"/>
      <c r="B1727" t="str">
        <f>IF(_xlfn.XLOOKUP(A1727,PARAMETROS!A:A,PARAMETROS!B:B)=0,"",_xlfn.XLOOKUP(A1727,PARAMETROS!A:A,PARAMETROS!B:B))</f>
        <v/>
      </c>
      <c r="C1727" t="str">
        <f>IF(_xlfn.XLOOKUP(A1727,PARAMETROS!A:A,PARAMETROS!C:C)=0,"",_xlfn.XLOOKUP(A1727,PARAMETROS!A:A,PARAMETROS!C:C))</f>
        <v/>
      </c>
      <c r="D1727" t="str">
        <f>IF(_xlfn.XLOOKUP(A1727,PARAMETROS!A:A,PARAMETROS!D:D)=0,"",_xlfn.XLOOKUP(A1727,PARAMETROS!A:A,PARAMETROS!D:D))</f>
        <v/>
      </c>
      <c r="E1727" t="str">
        <f>IF(_xlfn.XLOOKUP('PREENCHIMENTO|LETIVAS'!A1727,PARAMETROS!A:A,PARAMETROS!I:I)=0,"",_xlfn.XLOOKUP('PREENCHIMENTO|LETIVAS'!A1727,PARAMETROS!A:A,PARAMETROS!I:I))</f>
        <v/>
      </c>
      <c r="F1727" s="3"/>
      <c r="G1727" s="3"/>
      <c r="H1727" s="3"/>
      <c r="I1727" s="3"/>
      <c r="J1727" s="3"/>
      <c r="K1727" s="3"/>
    </row>
    <row r="1728" spans="1:11">
      <c r="A1728" s="3"/>
      <c r="B1728" t="str">
        <f>IF(_xlfn.XLOOKUP(A1728,PARAMETROS!A:A,PARAMETROS!B:B)=0,"",_xlfn.XLOOKUP(A1728,PARAMETROS!A:A,PARAMETROS!B:B))</f>
        <v/>
      </c>
      <c r="C1728" t="str">
        <f>IF(_xlfn.XLOOKUP(A1728,PARAMETROS!A:A,PARAMETROS!C:C)=0,"",_xlfn.XLOOKUP(A1728,PARAMETROS!A:A,PARAMETROS!C:C))</f>
        <v/>
      </c>
      <c r="D1728" t="str">
        <f>IF(_xlfn.XLOOKUP(A1728,PARAMETROS!A:A,PARAMETROS!D:D)=0,"",_xlfn.XLOOKUP(A1728,PARAMETROS!A:A,PARAMETROS!D:D))</f>
        <v/>
      </c>
      <c r="E1728" t="str">
        <f>IF(_xlfn.XLOOKUP('PREENCHIMENTO|LETIVAS'!A1728,PARAMETROS!A:A,PARAMETROS!I:I)=0,"",_xlfn.XLOOKUP('PREENCHIMENTO|LETIVAS'!A1728,PARAMETROS!A:A,PARAMETROS!I:I))</f>
        <v/>
      </c>
      <c r="F1728" s="3"/>
      <c r="G1728" s="3"/>
      <c r="H1728" s="3"/>
      <c r="I1728" s="3"/>
      <c r="J1728" s="3"/>
      <c r="K1728" s="3"/>
    </row>
    <row r="1729" spans="1:11">
      <c r="A1729" s="3"/>
      <c r="B1729" t="str">
        <f>IF(_xlfn.XLOOKUP(A1729,PARAMETROS!A:A,PARAMETROS!B:B)=0,"",_xlfn.XLOOKUP(A1729,PARAMETROS!A:A,PARAMETROS!B:B))</f>
        <v/>
      </c>
      <c r="C1729" t="str">
        <f>IF(_xlfn.XLOOKUP(A1729,PARAMETROS!A:A,PARAMETROS!C:C)=0,"",_xlfn.XLOOKUP(A1729,PARAMETROS!A:A,PARAMETROS!C:C))</f>
        <v/>
      </c>
      <c r="D1729" t="str">
        <f>IF(_xlfn.XLOOKUP(A1729,PARAMETROS!A:A,PARAMETROS!D:D)=0,"",_xlfn.XLOOKUP(A1729,PARAMETROS!A:A,PARAMETROS!D:D))</f>
        <v/>
      </c>
      <c r="E1729" t="str">
        <f>IF(_xlfn.XLOOKUP('PREENCHIMENTO|LETIVAS'!A1729,PARAMETROS!A:A,PARAMETROS!I:I)=0,"",_xlfn.XLOOKUP('PREENCHIMENTO|LETIVAS'!A1729,PARAMETROS!A:A,PARAMETROS!I:I))</f>
        <v/>
      </c>
      <c r="F1729" s="3"/>
      <c r="G1729" s="3"/>
      <c r="H1729" s="3"/>
      <c r="I1729" s="3"/>
      <c r="J1729" s="3"/>
      <c r="K1729" s="3"/>
    </row>
    <row r="1730" spans="1:11">
      <c r="A1730" s="3"/>
      <c r="B1730" t="str">
        <f>IF(_xlfn.XLOOKUP(A1730,PARAMETROS!A:A,PARAMETROS!B:B)=0,"",_xlfn.XLOOKUP(A1730,PARAMETROS!A:A,PARAMETROS!B:B))</f>
        <v/>
      </c>
      <c r="C1730" t="str">
        <f>IF(_xlfn.XLOOKUP(A1730,PARAMETROS!A:A,PARAMETROS!C:C)=0,"",_xlfn.XLOOKUP(A1730,PARAMETROS!A:A,PARAMETROS!C:C))</f>
        <v/>
      </c>
      <c r="D1730" t="str">
        <f>IF(_xlfn.XLOOKUP(A1730,PARAMETROS!A:A,PARAMETROS!D:D)=0,"",_xlfn.XLOOKUP(A1730,PARAMETROS!A:A,PARAMETROS!D:D))</f>
        <v/>
      </c>
      <c r="E1730" t="str">
        <f>IF(_xlfn.XLOOKUP('PREENCHIMENTO|LETIVAS'!A1730,PARAMETROS!A:A,PARAMETROS!I:I)=0,"",_xlfn.XLOOKUP('PREENCHIMENTO|LETIVAS'!A1730,PARAMETROS!A:A,PARAMETROS!I:I))</f>
        <v/>
      </c>
      <c r="F1730" s="3"/>
      <c r="G1730" s="3"/>
      <c r="H1730" s="3"/>
      <c r="I1730" s="3"/>
      <c r="J1730" s="3"/>
      <c r="K1730" s="3"/>
    </row>
    <row r="1731" spans="1:11">
      <c r="A1731" s="3"/>
      <c r="B1731" t="str">
        <f>IF(_xlfn.XLOOKUP(A1731,PARAMETROS!A:A,PARAMETROS!B:B)=0,"",_xlfn.XLOOKUP(A1731,PARAMETROS!A:A,PARAMETROS!B:B))</f>
        <v/>
      </c>
      <c r="C1731" t="str">
        <f>IF(_xlfn.XLOOKUP(A1731,PARAMETROS!A:A,PARAMETROS!C:C)=0,"",_xlfn.XLOOKUP(A1731,PARAMETROS!A:A,PARAMETROS!C:C))</f>
        <v/>
      </c>
      <c r="D1731" t="str">
        <f>IF(_xlfn.XLOOKUP(A1731,PARAMETROS!A:A,PARAMETROS!D:D)=0,"",_xlfn.XLOOKUP(A1731,PARAMETROS!A:A,PARAMETROS!D:D))</f>
        <v/>
      </c>
      <c r="E1731" t="str">
        <f>IF(_xlfn.XLOOKUP('PREENCHIMENTO|LETIVAS'!A1731,PARAMETROS!A:A,PARAMETROS!I:I)=0,"",_xlfn.XLOOKUP('PREENCHIMENTO|LETIVAS'!A1731,PARAMETROS!A:A,PARAMETROS!I:I))</f>
        <v/>
      </c>
      <c r="F1731" s="3"/>
      <c r="G1731" s="3"/>
      <c r="H1731" s="3"/>
      <c r="I1731" s="3"/>
      <c r="J1731" s="3"/>
      <c r="K1731" s="3"/>
    </row>
    <row r="1732" spans="1:11">
      <c r="A1732" s="3"/>
      <c r="B1732" t="str">
        <f>IF(_xlfn.XLOOKUP(A1732,PARAMETROS!A:A,PARAMETROS!B:B)=0,"",_xlfn.XLOOKUP(A1732,PARAMETROS!A:A,PARAMETROS!B:B))</f>
        <v/>
      </c>
      <c r="C1732" t="str">
        <f>IF(_xlfn.XLOOKUP(A1732,PARAMETROS!A:A,PARAMETROS!C:C)=0,"",_xlfn.XLOOKUP(A1732,PARAMETROS!A:A,PARAMETROS!C:C))</f>
        <v/>
      </c>
      <c r="D1732" t="str">
        <f>IF(_xlfn.XLOOKUP(A1732,PARAMETROS!A:A,PARAMETROS!D:D)=0,"",_xlfn.XLOOKUP(A1732,PARAMETROS!A:A,PARAMETROS!D:D))</f>
        <v/>
      </c>
      <c r="E1732" t="str">
        <f>IF(_xlfn.XLOOKUP('PREENCHIMENTO|LETIVAS'!A1732,PARAMETROS!A:A,PARAMETROS!I:I)=0,"",_xlfn.XLOOKUP('PREENCHIMENTO|LETIVAS'!A1732,PARAMETROS!A:A,PARAMETROS!I:I))</f>
        <v/>
      </c>
      <c r="F1732" s="3"/>
      <c r="G1732" s="3"/>
      <c r="H1732" s="3"/>
      <c r="I1732" s="3"/>
      <c r="J1732" s="3"/>
      <c r="K1732" s="3"/>
    </row>
    <row r="1733" spans="1:11">
      <c r="A1733" s="3"/>
      <c r="B1733" t="str">
        <f>IF(_xlfn.XLOOKUP(A1733,PARAMETROS!A:A,PARAMETROS!B:B)=0,"",_xlfn.XLOOKUP(A1733,PARAMETROS!A:A,PARAMETROS!B:B))</f>
        <v/>
      </c>
      <c r="C1733" t="str">
        <f>IF(_xlfn.XLOOKUP(A1733,PARAMETROS!A:A,PARAMETROS!C:C)=0,"",_xlfn.XLOOKUP(A1733,PARAMETROS!A:A,PARAMETROS!C:C))</f>
        <v/>
      </c>
      <c r="D1733" t="str">
        <f>IF(_xlfn.XLOOKUP(A1733,PARAMETROS!A:A,PARAMETROS!D:D)=0,"",_xlfn.XLOOKUP(A1733,PARAMETROS!A:A,PARAMETROS!D:D))</f>
        <v/>
      </c>
      <c r="E1733" t="str">
        <f>IF(_xlfn.XLOOKUP('PREENCHIMENTO|LETIVAS'!A1733,PARAMETROS!A:A,PARAMETROS!I:I)=0,"",_xlfn.XLOOKUP('PREENCHIMENTO|LETIVAS'!A1733,PARAMETROS!A:A,PARAMETROS!I:I))</f>
        <v/>
      </c>
      <c r="F1733" s="3"/>
      <c r="G1733" s="3"/>
      <c r="H1733" s="3"/>
      <c r="I1733" s="3"/>
      <c r="J1733" s="3"/>
      <c r="K1733" s="3"/>
    </row>
    <row r="1734" spans="1:11">
      <c r="A1734" s="3"/>
      <c r="B1734" t="str">
        <f>IF(_xlfn.XLOOKUP(A1734,PARAMETROS!A:A,PARAMETROS!B:B)=0,"",_xlfn.XLOOKUP(A1734,PARAMETROS!A:A,PARAMETROS!B:B))</f>
        <v/>
      </c>
      <c r="C1734" t="str">
        <f>IF(_xlfn.XLOOKUP(A1734,PARAMETROS!A:A,PARAMETROS!C:C)=0,"",_xlfn.XLOOKUP(A1734,PARAMETROS!A:A,PARAMETROS!C:C))</f>
        <v/>
      </c>
      <c r="D1734" t="str">
        <f>IF(_xlfn.XLOOKUP(A1734,PARAMETROS!A:A,PARAMETROS!D:D)=0,"",_xlfn.XLOOKUP(A1734,PARAMETROS!A:A,PARAMETROS!D:D))</f>
        <v/>
      </c>
      <c r="E1734" t="str">
        <f>IF(_xlfn.XLOOKUP('PREENCHIMENTO|LETIVAS'!A1734,PARAMETROS!A:A,PARAMETROS!I:I)=0,"",_xlfn.XLOOKUP('PREENCHIMENTO|LETIVAS'!A1734,PARAMETROS!A:A,PARAMETROS!I:I))</f>
        <v/>
      </c>
      <c r="F1734" s="3"/>
      <c r="G1734" s="3"/>
      <c r="H1734" s="3"/>
      <c r="I1734" s="3"/>
      <c r="J1734" s="3"/>
      <c r="K1734" s="3"/>
    </row>
    <row r="1735" spans="1:11">
      <c r="A1735" s="3"/>
      <c r="B1735" t="str">
        <f>IF(_xlfn.XLOOKUP(A1735,PARAMETROS!A:A,PARAMETROS!B:B)=0,"",_xlfn.XLOOKUP(A1735,PARAMETROS!A:A,PARAMETROS!B:B))</f>
        <v/>
      </c>
      <c r="C1735" t="str">
        <f>IF(_xlfn.XLOOKUP(A1735,PARAMETROS!A:A,PARAMETROS!C:C)=0,"",_xlfn.XLOOKUP(A1735,PARAMETROS!A:A,PARAMETROS!C:C))</f>
        <v/>
      </c>
      <c r="D1735" t="str">
        <f>IF(_xlfn.XLOOKUP(A1735,PARAMETROS!A:A,PARAMETROS!D:D)=0,"",_xlfn.XLOOKUP(A1735,PARAMETROS!A:A,PARAMETROS!D:D))</f>
        <v/>
      </c>
      <c r="E1735" t="str">
        <f>IF(_xlfn.XLOOKUP('PREENCHIMENTO|LETIVAS'!A1735,PARAMETROS!A:A,PARAMETROS!I:I)=0,"",_xlfn.XLOOKUP('PREENCHIMENTO|LETIVAS'!A1735,PARAMETROS!A:A,PARAMETROS!I:I))</f>
        <v/>
      </c>
      <c r="F1735" s="3"/>
      <c r="G1735" s="3"/>
      <c r="H1735" s="3"/>
      <c r="I1735" s="3"/>
      <c r="J1735" s="3"/>
      <c r="K1735" s="3"/>
    </row>
    <row r="1736" spans="1:11">
      <c r="A1736" s="3"/>
      <c r="B1736" t="str">
        <f>IF(_xlfn.XLOOKUP(A1736,PARAMETROS!A:A,PARAMETROS!B:B)=0,"",_xlfn.XLOOKUP(A1736,PARAMETROS!A:A,PARAMETROS!B:B))</f>
        <v/>
      </c>
      <c r="C1736" t="str">
        <f>IF(_xlfn.XLOOKUP(A1736,PARAMETROS!A:A,PARAMETROS!C:C)=0,"",_xlfn.XLOOKUP(A1736,PARAMETROS!A:A,PARAMETROS!C:C))</f>
        <v/>
      </c>
      <c r="D1736" t="str">
        <f>IF(_xlfn.XLOOKUP(A1736,PARAMETROS!A:A,PARAMETROS!D:D)=0,"",_xlfn.XLOOKUP(A1736,PARAMETROS!A:A,PARAMETROS!D:D))</f>
        <v/>
      </c>
      <c r="E1736" t="str">
        <f>IF(_xlfn.XLOOKUP('PREENCHIMENTO|LETIVAS'!A1736,PARAMETROS!A:A,PARAMETROS!I:I)=0,"",_xlfn.XLOOKUP('PREENCHIMENTO|LETIVAS'!A1736,PARAMETROS!A:A,PARAMETROS!I:I))</f>
        <v/>
      </c>
      <c r="F1736" s="3"/>
      <c r="G1736" s="3"/>
      <c r="H1736" s="3"/>
      <c r="I1736" s="3"/>
      <c r="J1736" s="3"/>
      <c r="K1736" s="3"/>
    </row>
    <row r="1737" spans="1:11">
      <c r="A1737" s="3"/>
      <c r="B1737" t="str">
        <f>IF(_xlfn.XLOOKUP(A1737,PARAMETROS!A:A,PARAMETROS!B:B)=0,"",_xlfn.XLOOKUP(A1737,PARAMETROS!A:A,PARAMETROS!B:B))</f>
        <v/>
      </c>
      <c r="C1737" t="str">
        <f>IF(_xlfn.XLOOKUP(A1737,PARAMETROS!A:A,PARAMETROS!C:C)=0,"",_xlfn.XLOOKUP(A1737,PARAMETROS!A:A,PARAMETROS!C:C))</f>
        <v/>
      </c>
      <c r="D1737" t="str">
        <f>IF(_xlfn.XLOOKUP(A1737,PARAMETROS!A:A,PARAMETROS!D:D)=0,"",_xlfn.XLOOKUP(A1737,PARAMETROS!A:A,PARAMETROS!D:D))</f>
        <v/>
      </c>
      <c r="E1737" t="str">
        <f>IF(_xlfn.XLOOKUP('PREENCHIMENTO|LETIVAS'!A1737,PARAMETROS!A:A,PARAMETROS!I:I)=0,"",_xlfn.XLOOKUP('PREENCHIMENTO|LETIVAS'!A1737,PARAMETROS!A:A,PARAMETROS!I:I))</f>
        <v/>
      </c>
      <c r="F1737" s="3"/>
      <c r="G1737" s="3"/>
      <c r="H1737" s="3"/>
      <c r="I1737" s="3"/>
      <c r="J1737" s="3"/>
      <c r="K1737" s="3"/>
    </row>
    <row r="1738" spans="1:11">
      <c r="A1738" s="3"/>
      <c r="B1738" t="str">
        <f>IF(_xlfn.XLOOKUP(A1738,PARAMETROS!A:A,PARAMETROS!B:B)=0,"",_xlfn.XLOOKUP(A1738,PARAMETROS!A:A,PARAMETROS!B:B))</f>
        <v/>
      </c>
      <c r="C1738" t="str">
        <f>IF(_xlfn.XLOOKUP(A1738,PARAMETROS!A:A,PARAMETROS!C:C)=0,"",_xlfn.XLOOKUP(A1738,PARAMETROS!A:A,PARAMETROS!C:C))</f>
        <v/>
      </c>
      <c r="D1738" t="str">
        <f>IF(_xlfn.XLOOKUP(A1738,PARAMETROS!A:A,PARAMETROS!D:D)=0,"",_xlfn.XLOOKUP(A1738,PARAMETROS!A:A,PARAMETROS!D:D))</f>
        <v/>
      </c>
      <c r="E1738" t="str">
        <f>IF(_xlfn.XLOOKUP('PREENCHIMENTO|LETIVAS'!A1738,PARAMETROS!A:A,PARAMETROS!I:I)=0,"",_xlfn.XLOOKUP('PREENCHIMENTO|LETIVAS'!A1738,PARAMETROS!A:A,PARAMETROS!I:I))</f>
        <v/>
      </c>
      <c r="F1738" s="3"/>
      <c r="G1738" s="3"/>
      <c r="H1738" s="3"/>
      <c r="I1738" s="3"/>
      <c r="J1738" s="3"/>
      <c r="K1738" s="3"/>
    </row>
    <row r="1739" spans="1:11">
      <c r="A1739" s="3"/>
      <c r="B1739" t="str">
        <f>IF(_xlfn.XLOOKUP(A1739,PARAMETROS!A:A,PARAMETROS!B:B)=0,"",_xlfn.XLOOKUP(A1739,PARAMETROS!A:A,PARAMETROS!B:B))</f>
        <v/>
      </c>
      <c r="C1739" t="str">
        <f>IF(_xlfn.XLOOKUP(A1739,PARAMETROS!A:A,PARAMETROS!C:C)=0,"",_xlfn.XLOOKUP(A1739,PARAMETROS!A:A,PARAMETROS!C:C))</f>
        <v/>
      </c>
      <c r="D1739" t="str">
        <f>IF(_xlfn.XLOOKUP(A1739,PARAMETROS!A:A,PARAMETROS!D:D)=0,"",_xlfn.XLOOKUP(A1739,PARAMETROS!A:A,PARAMETROS!D:D))</f>
        <v/>
      </c>
      <c r="E1739" t="str">
        <f>IF(_xlfn.XLOOKUP('PREENCHIMENTO|LETIVAS'!A1739,PARAMETROS!A:A,PARAMETROS!I:I)=0,"",_xlfn.XLOOKUP('PREENCHIMENTO|LETIVAS'!A1739,PARAMETROS!A:A,PARAMETROS!I:I))</f>
        <v/>
      </c>
      <c r="F1739" s="3"/>
      <c r="G1739" s="3"/>
      <c r="H1739" s="3"/>
      <c r="I1739" s="3"/>
      <c r="J1739" s="3"/>
      <c r="K1739" s="3"/>
    </row>
    <row r="1740" spans="1:11">
      <c r="A1740" s="3"/>
      <c r="B1740" t="str">
        <f>IF(_xlfn.XLOOKUP(A1740,PARAMETROS!A:A,PARAMETROS!B:B)=0,"",_xlfn.XLOOKUP(A1740,PARAMETROS!A:A,PARAMETROS!B:B))</f>
        <v/>
      </c>
      <c r="C1740" t="str">
        <f>IF(_xlfn.XLOOKUP(A1740,PARAMETROS!A:A,PARAMETROS!C:C)=0,"",_xlfn.XLOOKUP(A1740,PARAMETROS!A:A,PARAMETROS!C:C))</f>
        <v/>
      </c>
      <c r="D1740" t="str">
        <f>IF(_xlfn.XLOOKUP(A1740,PARAMETROS!A:A,PARAMETROS!D:D)=0,"",_xlfn.XLOOKUP(A1740,PARAMETROS!A:A,PARAMETROS!D:D))</f>
        <v/>
      </c>
      <c r="E1740" t="str">
        <f>IF(_xlfn.XLOOKUP('PREENCHIMENTO|LETIVAS'!A1740,PARAMETROS!A:A,PARAMETROS!I:I)=0,"",_xlfn.XLOOKUP('PREENCHIMENTO|LETIVAS'!A1740,PARAMETROS!A:A,PARAMETROS!I:I))</f>
        <v/>
      </c>
      <c r="F1740" s="3"/>
      <c r="G1740" s="3"/>
      <c r="H1740" s="3"/>
      <c r="I1740" s="3"/>
      <c r="J1740" s="3"/>
      <c r="K1740" s="3"/>
    </row>
    <row r="1741" spans="1:11">
      <c r="A1741" s="3"/>
      <c r="B1741" t="str">
        <f>IF(_xlfn.XLOOKUP(A1741,PARAMETROS!A:A,PARAMETROS!B:B)=0,"",_xlfn.XLOOKUP(A1741,PARAMETROS!A:A,PARAMETROS!B:B))</f>
        <v/>
      </c>
      <c r="C1741" t="str">
        <f>IF(_xlfn.XLOOKUP(A1741,PARAMETROS!A:A,PARAMETROS!C:C)=0,"",_xlfn.XLOOKUP(A1741,PARAMETROS!A:A,PARAMETROS!C:C))</f>
        <v/>
      </c>
      <c r="D1741" t="str">
        <f>IF(_xlfn.XLOOKUP(A1741,PARAMETROS!A:A,PARAMETROS!D:D)=0,"",_xlfn.XLOOKUP(A1741,PARAMETROS!A:A,PARAMETROS!D:D))</f>
        <v/>
      </c>
      <c r="E1741" t="str">
        <f>IF(_xlfn.XLOOKUP('PREENCHIMENTO|LETIVAS'!A1741,PARAMETROS!A:A,PARAMETROS!I:I)=0,"",_xlfn.XLOOKUP('PREENCHIMENTO|LETIVAS'!A1741,PARAMETROS!A:A,PARAMETROS!I:I))</f>
        <v/>
      </c>
      <c r="F1741" s="3"/>
      <c r="G1741" s="3"/>
      <c r="H1741" s="3"/>
      <c r="I1741" s="3"/>
      <c r="J1741" s="3"/>
      <c r="K1741" s="3"/>
    </row>
    <row r="1742" spans="1:11">
      <c r="A1742" s="3"/>
      <c r="B1742" t="str">
        <f>IF(_xlfn.XLOOKUP(A1742,PARAMETROS!A:A,PARAMETROS!B:B)=0,"",_xlfn.XLOOKUP(A1742,PARAMETROS!A:A,PARAMETROS!B:B))</f>
        <v/>
      </c>
      <c r="C1742" t="str">
        <f>IF(_xlfn.XLOOKUP(A1742,PARAMETROS!A:A,PARAMETROS!C:C)=0,"",_xlfn.XLOOKUP(A1742,PARAMETROS!A:A,PARAMETROS!C:C))</f>
        <v/>
      </c>
      <c r="D1742" t="str">
        <f>IF(_xlfn.XLOOKUP(A1742,PARAMETROS!A:A,PARAMETROS!D:D)=0,"",_xlfn.XLOOKUP(A1742,PARAMETROS!A:A,PARAMETROS!D:D))</f>
        <v/>
      </c>
      <c r="E1742" t="str">
        <f>IF(_xlfn.XLOOKUP('PREENCHIMENTO|LETIVAS'!A1742,PARAMETROS!A:A,PARAMETROS!I:I)=0,"",_xlfn.XLOOKUP('PREENCHIMENTO|LETIVAS'!A1742,PARAMETROS!A:A,PARAMETROS!I:I))</f>
        <v/>
      </c>
      <c r="F1742" s="3"/>
      <c r="G1742" s="3"/>
      <c r="H1742" s="3"/>
      <c r="I1742" s="3"/>
      <c r="J1742" s="3"/>
      <c r="K1742" s="3"/>
    </row>
    <row r="1743" spans="1:11">
      <c r="A1743" s="3"/>
      <c r="B1743" t="str">
        <f>IF(_xlfn.XLOOKUP(A1743,PARAMETROS!A:A,PARAMETROS!B:B)=0,"",_xlfn.XLOOKUP(A1743,PARAMETROS!A:A,PARAMETROS!B:B))</f>
        <v/>
      </c>
      <c r="C1743" t="str">
        <f>IF(_xlfn.XLOOKUP(A1743,PARAMETROS!A:A,PARAMETROS!C:C)=0,"",_xlfn.XLOOKUP(A1743,PARAMETROS!A:A,PARAMETROS!C:C))</f>
        <v/>
      </c>
      <c r="D1743" t="str">
        <f>IF(_xlfn.XLOOKUP(A1743,PARAMETROS!A:A,PARAMETROS!D:D)=0,"",_xlfn.XLOOKUP(A1743,PARAMETROS!A:A,PARAMETROS!D:D))</f>
        <v/>
      </c>
      <c r="E1743" t="str">
        <f>IF(_xlfn.XLOOKUP('PREENCHIMENTO|LETIVAS'!A1743,PARAMETROS!A:A,PARAMETROS!I:I)=0,"",_xlfn.XLOOKUP('PREENCHIMENTO|LETIVAS'!A1743,PARAMETROS!A:A,PARAMETROS!I:I))</f>
        <v/>
      </c>
      <c r="F1743" s="3"/>
      <c r="G1743" s="3"/>
      <c r="H1743" s="3"/>
      <c r="I1743" s="3"/>
      <c r="J1743" s="3"/>
      <c r="K1743" s="3"/>
    </row>
    <row r="1744" spans="1:11">
      <c r="A1744" s="3"/>
      <c r="B1744" t="str">
        <f>IF(_xlfn.XLOOKUP(A1744,PARAMETROS!A:A,PARAMETROS!B:B)=0,"",_xlfn.XLOOKUP(A1744,PARAMETROS!A:A,PARAMETROS!B:B))</f>
        <v/>
      </c>
      <c r="C1744" t="str">
        <f>IF(_xlfn.XLOOKUP(A1744,PARAMETROS!A:A,PARAMETROS!C:C)=0,"",_xlfn.XLOOKUP(A1744,PARAMETROS!A:A,PARAMETROS!C:C))</f>
        <v/>
      </c>
      <c r="D1744" t="str">
        <f>IF(_xlfn.XLOOKUP(A1744,PARAMETROS!A:A,PARAMETROS!D:D)=0,"",_xlfn.XLOOKUP(A1744,PARAMETROS!A:A,PARAMETROS!D:D))</f>
        <v/>
      </c>
      <c r="E1744" t="str">
        <f>IF(_xlfn.XLOOKUP('PREENCHIMENTO|LETIVAS'!A1744,PARAMETROS!A:A,PARAMETROS!I:I)=0,"",_xlfn.XLOOKUP('PREENCHIMENTO|LETIVAS'!A1744,PARAMETROS!A:A,PARAMETROS!I:I))</f>
        <v/>
      </c>
      <c r="F1744" s="3"/>
      <c r="G1744" s="3"/>
      <c r="H1744" s="3"/>
      <c r="I1744" s="3"/>
      <c r="J1744" s="3"/>
      <c r="K1744" s="3"/>
    </row>
    <row r="1745" spans="1:11">
      <c r="A1745" s="3"/>
      <c r="B1745" t="str">
        <f>IF(_xlfn.XLOOKUP(A1745,PARAMETROS!A:A,PARAMETROS!B:B)=0,"",_xlfn.XLOOKUP(A1745,PARAMETROS!A:A,PARAMETROS!B:B))</f>
        <v/>
      </c>
      <c r="C1745" t="str">
        <f>IF(_xlfn.XLOOKUP(A1745,PARAMETROS!A:A,PARAMETROS!C:C)=0,"",_xlfn.XLOOKUP(A1745,PARAMETROS!A:A,PARAMETROS!C:C))</f>
        <v/>
      </c>
      <c r="D1745" t="str">
        <f>IF(_xlfn.XLOOKUP(A1745,PARAMETROS!A:A,PARAMETROS!D:D)=0,"",_xlfn.XLOOKUP(A1745,PARAMETROS!A:A,PARAMETROS!D:D))</f>
        <v/>
      </c>
      <c r="E1745" t="str">
        <f>IF(_xlfn.XLOOKUP('PREENCHIMENTO|LETIVAS'!A1745,PARAMETROS!A:A,PARAMETROS!I:I)=0,"",_xlfn.XLOOKUP('PREENCHIMENTO|LETIVAS'!A1745,PARAMETROS!A:A,PARAMETROS!I:I))</f>
        <v/>
      </c>
      <c r="F1745" s="3"/>
      <c r="G1745" s="3"/>
      <c r="H1745" s="3"/>
      <c r="I1745" s="3"/>
      <c r="J1745" s="3"/>
      <c r="K1745" s="3"/>
    </row>
    <row r="1746" spans="1:11">
      <c r="A1746" s="3"/>
      <c r="B1746" t="str">
        <f>IF(_xlfn.XLOOKUP(A1746,PARAMETROS!A:A,PARAMETROS!B:B)=0,"",_xlfn.XLOOKUP(A1746,PARAMETROS!A:A,PARAMETROS!B:B))</f>
        <v/>
      </c>
      <c r="C1746" t="str">
        <f>IF(_xlfn.XLOOKUP(A1746,PARAMETROS!A:A,PARAMETROS!C:C)=0,"",_xlfn.XLOOKUP(A1746,PARAMETROS!A:A,PARAMETROS!C:C))</f>
        <v/>
      </c>
      <c r="D1746" t="str">
        <f>IF(_xlfn.XLOOKUP(A1746,PARAMETROS!A:A,PARAMETROS!D:D)=0,"",_xlfn.XLOOKUP(A1746,PARAMETROS!A:A,PARAMETROS!D:D))</f>
        <v/>
      </c>
      <c r="E1746" t="str">
        <f>IF(_xlfn.XLOOKUP('PREENCHIMENTO|LETIVAS'!A1746,PARAMETROS!A:A,PARAMETROS!I:I)=0,"",_xlfn.XLOOKUP('PREENCHIMENTO|LETIVAS'!A1746,PARAMETROS!A:A,PARAMETROS!I:I))</f>
        <v/>
      </c>
      <c r="F1746" s="3"/>
      <c r="G1746" s="3"/>
      <c r="H1746" s="3"/>
      <c r="I1746" s="3"/>
      <c r="J1746" s="3"/>
      <c r="K1746" s="3"/>
    </row>
    <row r="1747" spans="1:11">
      <c r="A1747" s="3"/>
      <c r="B1747" t="str">
        <f>IF(_xlfn.XLOOKUP(A1747,PARAMETROS!A:A,PARAMETROS!B:B)=0,"",_xlfn.XLOOKUP(A1747,PARAMETROS!A:A,PARAMETROS!B:B))</f>
        <v/>
      </c>
      <c r="C1747" t="str">
        <f>IF(_xlfn.XLOOKUP(A1747,PARAMETROS!A:A,PARAMETROS!C:C)=0,"",_xlfn.XLOOKUP(A1747,PARAMETROS!A:A,PARAMETROS!C:C))</f>
        <v/>
      </c>
      <c r="D1747" t="str">
        <f>IF(_xlfn.XLOOKUP(A1747,PARAMETROS!A:A,PARAMETROS!D:D)=0,"",_xlfn.XLOOKUP(A1747,PARAMETROS!A:A,PARAMETROS!D:D))</f>
        <v/>
      </c>
      <c r="E1747" t="str">
        <f>IF(_xlfn.XLOOKUP('PREENCHIMENTO|LETIVAS'!A1747,PARAMETROS!A:A,PARAMETROS!I:I)=0,"",_xlfn.XLOOKUP('PREENCHIMENTO|LETIVAS'!A1747,PARAMETROS!A:A,PARAMETROS!I:I))</f>
        <v/>
      </c>
      <c r="F1747" s="3"/>
      <c r="G1747" s="3"/>
      <c r="H1747" s="3"/>
      <c r="I1747" s="3"/>
      <c r="J1747" s="3"/>
      <c r="K1747" s="3"/>
    </row>
    <row r="1748" spans="1:11">
      <c r="A1748" s="3"/>
      <c r="B1748" t="str">
        <f>IF(_xlfn.XLOOKUP(A1748,PARAMETROS!A:A,PARAMETROS!B:B)=0,"",_xlfn.XLOOKUP(A1748,PARAMETROS!A:A,PARAMETROS!B:B))</f>
        <v/>
      </c>
      <c r="C1748" t="str">
        <f>IF(_xlfn.XLOOKUP(A1748,PARAMETROS!A:A,PARAMETROS!C:C)=0,"",_xlfn.XLOOKUP(A1748,PARAMETROS!A:A,PARAMETROS!C:C))</f>
        <v/>
      </c>
      <c r="D1748" t="str">
        <f>IF(_xlfn.XLOOKUP(A1748,PARAMETROS!A:A,PARAMETROS!D:D)=0,"",_xlfn.XLOOKUP(A1748,PARAMETROS!A:A,PARAMETROS!D:D))</f>
        <v/>
      </c>
      <c r="E1748" t="str">
        <f>IF(_xlfn.XLOOKUP('PREENCHIMENTO|LETIVAS'!A1748,PARAMETROS!A:A,PARAMETROS!I:I)=0,"",_xlfn.XLOOKUP('PREENCHIMENTO|LETIVAS'!A1748,PARAMETROS!A:A,PARAMETROS!I:I))</f>
        <v/>
      </c>
      <c r="F1748" s="3"/>
      <c r="G1748" s="3"/>
      <c r="H1748" s="3"/>
      <c r="I1748" s="3"/>
      <c r="J1748" s="3"/>
      <c r="K1748" s="3"/>
    </row>
    <row r="1749" spans="1:11">
      <c r="A1749" s="3"/>
      <c r="B1749" t="str">
        <f>IF(_xlfn.XLOOKUP(A1749,PARAMETROS!A:A,PARAMETROS!B:B)=0,"",_xlfn.XLOOKUP(A1749,PARAMETROS!A:A,PARAMETROS!B:B))</f>
        <v/>
      </c>
      <c r="C1749" t="str">
        <f>IF(_xlfn.XLOOKUP(A1749,PARAMETROS!A:A,PARAMETROS!C:C)=0,"",_xlfn.XLOOKUP(A1749,PARAMETROS!A:A,PARAMETROS!C:C))</f>
        <v/>
      </c>
      <c r="D1749" t="str">
        <f>IF(_xlfn.XLOOKUP(A1749,PARAMETROS!A:A,PARAMETROS!D:D)=0,"",_xlfn.XLOOKUP(A1749,PARAMETROS!A:A,PARAMETROS!D:D))</f>
        <v/>
      </c>
      <c r="E1749" t="str">
        <f>IF(_xlfn.XLOOKUP('PREENCHIMENTO|LETIVAS'!A1749,PARAMETROS!A:A,PARAMETROS!I:I)=0,"",_xlfn.XLOOKUP('PREENCHIMENTO|LETIVAS'!A1749,PARAMETROS!A:A,PARAMETROS!I:I))</f>
        <v/>
      </c>
      <c r="F1749" s="3"/>
      <c r="G1749" s="3"/>
      <c r="H1749" s="3"/>
      <c r="I1749" s="3"/>
      <c r="J1749" s="3"/>
      <c r="K1749" s="3"/>
    </row>
    <row r="1750" spans="1:11">
      <c r="A1750" s="3"/>
      <c r="B1750" t="str">
        <f>IF(_xlfn.XLOOKUP(A1750,PARAMETROS!A:A,PARAMETROS!B:B)=0,"",_xlfn.XLOOKUP(A1750,PARAMETROS!A:A,PARAMETROS!B:B))</f>
        <v/>
      </c>
      <c r="C1750" t="str">
        <f>IF(_xlfn.XLOOKUP(A1750,PARAMETROS!A:A,PARAMETROS!C:C)=0,"",_xlfn.XLOOKUP(A1750,PARAMETROS!A:A,PARAMETROS!C:C))</f>
        <v/>
      </c>
      <c r="D1750" t="str">
        <f>IF(_xlfn.XLOOKUP(A1750,PARAMETROS!A:A,PARAMETROS!D:D)=0,"",_xlfn.XLOOKUP(A1750,PARAMETROS!A:A,PARAMETROS!D:D))</f>
        <v/>
      </c>
      <c r="E1750" t="str">
        <f>IF(_xlfn.XLOOKUP('PREENCHIMENTO|LETIVAS'!A1750,PARAMETROS!A:A,PARAMETROS!I:I)=0,"",_xlfn.XLOOKUP('PREENCHIMENTO|LETIVAS'!A1750,PARAMETROS!A:A,PARAMETROS!I:I))</f>
        <v/>
      </c>
      <c r="F1750" s="3"/>
      <c r="G1750" s="3"/>
      <c r="H1750" s="3"/>
      <c r="I1750" s="3"/>
      <c r="J1750" s="3"/>
      <c r="K1750" s="3"/>
    </row>
    <row r="1751" spans="1:11">
      <c r="A1751" s="3"/>
      <c r="B1751" t="str">
        <f>IF(_xlfn.XLOOKUP(A1751,PARAMETROS!A:A,PARAMETROS!B:B)=0,"",_xlfn.XLOOKUP(A1751,PARAMETROS!A:A,PARAMETROS!B:B))</f>
        <v/>
      </c>
      <c r="C1751" t="str">
        <f>IF(_xlfn.XLOOKUP(A1751,PARAMETROS!A:A,PARAMETROS!C:C)=0,"",_xlfn.XLOOKUP(A1751,PARAMETROS!A:A,PARAMETROS!C:C))</f>
        <v/>
      </c>
      <c r="D1751" t="str">
        <f>IF(_xlfn.XLOOKUP(A1751,PARAMETROS!A:A,PARAMETROS!D:D)=0,"",_xlfn.XLOOKUP(A1751,PARAMETROS!A:A,PARAMETROS!D:D))</f>
        <v/>
      </c>
      <c r="E1751" t="str">
        <f>IF(_xlfn.XLOOKUP('PREENCHIMENTO|LETIVAS'!A1751,PARAMETROS!A:A,PARAMETROS!I:I)=0,"",_xlfn.XLOOKUP('PREENCHIMENTO|LETIVAS'!A1751,PARAMETROS!A:A,PARAMETROS!I:I))</f>
        <v/>
      </c>
      <c r="F1751" s="3"/>
      <c r="G1751" s="3"/>
      <c r="H1751" s="3"/>
      <c r="I1751" s="3"/>
      <c r="J1751" s="3"/>
      <c r="K1751" s="3"/>
    </row>
    <row r="1752" spans="1:11">
      <c r="A1752" s="3"/>
      <c r="B1752" t="str">
        <f>IF(_xlfn.XLOOKUP(A1752,PARAMETROS!A:A,PARAMETROS!B:B)=0,"",_xlfn.XLOOKUP(A1752,PARAMETROS!A:A,PARAMETROS!B:B))</f>
        <v/>
      </c>
      <c r="C1752" t="str">
        <f>IF(_xlfn.XLOOKUP(A1752,PARAMETROS!A:A,PARAMETROS!C:C)=0,"",_xlfn.XLOOKUP(A1752,PARAMETROS!A:A,PARAMETROS!C:C))</f>
        <v/>
      </c>
      <c r="D1752" t="str">
        <f>IF(_xlfn.XLOOKUP(A1752,PARAMETROS!A:A,PARAMETROS!D:D)=0,"",_xlfn.XLOOKUP(A1752,PARAMETROS!A:A,PARAMETROS!D:D))</f>
        <v/>
      </c>
      <c r="E1752" t="str">
        <f>IF(_xlfn.XLOOKUP('PREENCHIMENTO|LETIVAS'!A1752,PARAMETROS!A:A,PARAMETROS!I:I)=0,"",_xlfn.XLOOKUP('PREENCHIMENTO|LETIVAS'!A1752,PARAMETROS!A:A,PARAMETROS!I:I))</f>
        <v/>
      </c>
      <c r="F1752" s="3"/>
      <c r="G1752" s="3"/>
      <c r="H1752" s="3"/>
      <c r="I1752" s="3"/>
      <c r="J1752" s="3"/>
      <c r="K1752" s="3"/>
    </row>
    <row r="1753" spans="1:11">
      <c r="A1753" s="3"/>
      <c r="B1753" t="str">
        <f>IF(_xlfn.XLOOKUP(A1753,PARAMETROS!A:A,PARAMETROS!B:B)=0,"",_xlfn.XLOOKUP(A1753,PARAMETROS!A:A,PARAMETROS!B:B))</f>
        <v/>
      </c>
      <c r="C1753" t="str">
        <f>IF(_xlfn.XLOOKUP(A1753,PARAMETROS!A:A,PARAMETROS!C:C)=0,"",_xlfn.XLOOKUP(A1753,PARAMETROS!A:A,PARAMETROS!C:C))</f>
        <v/>
      </c>
      <c r="D1753" t="str">
        <f>IF(_xlfn.XLOOKUP(A1753,PARAMETROS!A:A,PARAMETROS!D:D)=0,"",_xlfn.XLOOKUP(A1753,PARAMETROS!A:A,PARAMETROS!D:D))</f>
        <v/>
      </c>
      <c r="E1753" t="str">
        <f>IF(_xlfn.XLOOKUP('PREENCHIMENTO|LETIVAS'!A1753,PARAMETROS!A:A,PARAMETROS!I:I)=0,"",_xlfn.XLOOKUP('PREENCHIMENTO|LETIVAS'!A1753,PARAMETROS!A:A,PARAMETROS!I:I))</f>
        <v/>
      </c>
      <c r="F1753" s="3"/>
      <c r="G1753" s="3"/>
      <c r="H1753" s="3"/>
      <c r="I1753" s="3"/>
      <c r="J1753" s="3"/>
      <c r="K1753" s="3"/>
    </row>
    <row r="1754" spans="1:11">
      <c r="A1754" s="3"/>
      <c r="B1754" t="str">
        <f>IF(_xlfn.XLOOKUP(A1754,PARAMETROS!A:A,PARAMETROS!B:B)=0,"",_xlfn.XLOOKUP(A1754,PARAMETROS!A:A,PARAMETROS!B:B))</f>
        <v/>
      </c>
      <c r="C1754" t="str">
        <f>IF(_xlfn.XLOOKUP(A1754,PARAMETROS!A:A,PARAMETROS!C:C)=0,"",_xlfn.XLOOKUP(A1754,PARAMETROS!A:A,PARAMETROS!C:C))</f>
        <v/>
      </c>
      <c r="D1754" t="str">
        <f>IF(_xlfn.XLOOKUP(A1754,PARAMETROS!A:A,PARAMETROS!D:D)=0,"",_xlfn.XLOOKUP(A1754,PARAMETROS!A:A,PARAMETROS!D:D))</f>
        <v/>
      </c>
      <c r="E1754" t="str">
        <f>IF(_xlfn.XLOOKUP('PREENCHIMENTO|LETIVAS'!A1754,PARAMETROS!A:A,PARAMETROS!I:I)=0,"",_xlfn.XLOOKUP('PREENCHIMENTO|LETIVAS'!A1754,PARAMETROS!A:A,PARAMETROS!I:I))</f>
        <v/>
      </c>
      <c r="F1754" s="3"/>
      <c r="G1754" s="3"/>
      <c r="H1754" s="3"/>
      <c r="I1754" s="3"/>
      <c r="J1754" s="3"/>
      <c r="K1754" s="3"/>
    </row>
    <row r="1755" spans="1:11">
      <c r="A1755" s="3"/>
      <c r="B1755" t="str">
        <f>IF(_xlfn.XLOOKUP(A1755,PARAMETROS!A:A,PARAMETROS!B:B)=0,"",_xlfn.XLOOKUP(A1755,PARAMETROS!A:A,PARAMETROS!B:B))</f>
        <v/>
      </c>
      <c r="C1755" t="str">
        <f>IF(_xlfn.XLOOKUP(A1755,PARAMETROS!A:A,PARAMETROS!C:C)=0,"",_xlfn.XLOOKUP(A1755,PARAMETROS!A:A,PARAMETROS!C:C))</f>
        <v/>
      </c>
      <c r="D1755" t="str">
        <f>IF(_xlfn.XLOOKUP(A1755,PARAMETROS!A:A,PARAMETROS!D:D)=0,"",_xlfn.XLOOKUP(A1755,PARAMETROS!A:A,PARAMETROS!D:D))</f>
        <v/>
      </c>
      <c r="E1755" t="str">
        <f>IF(_xlfn.XLOOKUP('PREENCHIMENTO|LETIVAS'!A1755,PARAMETROS!A:A,PARAMETROS!I:I)=0,"",_xlfn.XLOOKUP('PREENCHIMENTO|LETIVAS'!A1755,PARAMETROS!A:A,PARAMETROS!I:I))</f>
        <v/>
      </c>
      <c r="F1755" s="3"/>
      <c r="G1755" s="3"/>
      <c r="H1755" s="3"/>
      <c r="I1755" s="3"/>
      <c r="J1755" s="3"/>
      <c r="K1755" s="3"/>
    </row>
    <row r="1756" spans="1:11">
      <c r="A1756" s="3"/>
      <c r="B1756" t="str">
        <f>IF(_xlfn.XLOOKUP(A1756,PARAMETROS!A:A,PARAMETROS!B:B)=0,"",_xlfn.XLOOKUP(A1756,PARAMETROS!A:A,PARAMETROS!B:B))</f>
        <v/>
      </c>
      <c r="C1756" t="str">
        <f>IF(_xlfn.XLOOKUP(A1756,PARAMETROS!A:A,PARAMETROS!C:C)=0,"",_xlfn.XLOOKUP(A1756,PARAMETROS!A:A,PARAMETROS!C:C))</f>
        <v/>
      </c>
      <c r="D1756" t="str">
        <f>IF(_xlfn.XLOOKUP(A1756,PARAMETROS!A:A,PARAMETROS!D:D)=0,"",_xlfn.XLOOKUP(A1756,PARAMETROS!A:A,PARAMETROS!D:D))</f>
        <v/>
      </c>
      <c r="E1756" t="str">
        <f>IF(_xlfn.XLOOKUP('PREENCHIMENTO|LETIVAS'!A1756,PARAMETROS!A:A,PARAMETROS!I:I)=0,"",_xlfn.XLOOKUP('PREENCHIMENTO|LETIVAS'!A1756,PARAMETROS!A:A,PARAMETROS!I:I))</f>
        <v/>
      </c>
      <c r="F1756" s="3"/>
      <c r="G1756" s="3"/>
      <c r="H1756" s="3"/>
      <c r="I1756" s="3"/>
      <c r="J1756" s="3"/>
      <c r="K1756" s="3"/>
    </row>
    <row r="1757" spans="1:11">
      <c r="A1757" s="3"/>
      <c r="B1757" t="str">
        <f>IF(_xlfn.XLOOKUP(A1757,PARAMETROS!A:A,PARAMETROS!B:B)=0,"",_xlfn.XLOOKUP(A1757,PARAMETROS!A:A,PARAMETROS!B:B))</f>
        <v/>
      </c>
      <c r="C1757" t="str">
        <f>IF(_xlfn.XLOOKUP(A1757,PARAMETROS!A:A,PARAMETROS!C:C)=0,"",_xlfn.XLOOKUP(A1757,PARAMETROS!A:A,PARAMETROS!C:C))</f>
        <v/>
      </c>
      <c r="D1757" t="str">
        <f>IF(_xlfn.XLOOKUP(A1757,PARAMETROS!A:A,PARAMETROS!D:D)=0,"",_xlfn.XLOOKUP(A1757,PARAMETROS!A:A,PARAMETROS!D:D))</f>
        <v/>
      </c>
      <c r="E1757" t="str">
        <f>IF(_xlfn.XLOOKUP('PREENCHIMENTO|LETIVAS'!A1757,PARAMETROS!A:A,PARAMETROS!I:I)=0,"",_xlfn.XLOOKUP('PREENCHIMENTO|LETIVAS'!A1757,PARAMETROS!A:A,PARAMETROS!I:I))</f>
        <v/>
      </c>
      <c r="F1757" s="3"/>
      <c r="G1757" s="3"/>
      <c r="H1757" s="3"/>
      <c r="I1757" s="3"/>
      <c r="J1757" s="3"/>
      <c r="K1757" s="3"/>
    </row>
    <row r="1758" spans="1:11">
      <c r="A1758" s="3"/>
      <c r="B1758" t="str">
        <f>IF(_xlfn.XLOOKUP(A1758,PARAMETROS!A:A,PARAMETROS!B:B)=0,"",_xlfn.XLOOKUP(A1758,PARAMETROS!A:A,PARAMETROS!B:B))</f>
        <v/>
      </c>
      <c r="C1758" t="str">
        <f>IF(_xlfn.XLOOKUP(A1758,PARAMETROS!A:A,PARAMETROS!C:C)=0,"",_xlfn.XLOOKUP(A1758,PARAMETROS!A:A,PARAMETROS!C:C))</f>
        <v/>
      </c>
      <c r="D1758" t="str">
        <f>IF(_xlfn.XLOOKUP(A1758,PARAMETROS!A:A,PARAMETROS!D:D)=0,"",_xlfn.XLOOKUP(A1758,PARAMETROS!A:A,PARAMETROS!D:D))</f>
        <v/>
      </c>
      <c r="E1758" t="str">
        <f>IF(_xlfn.XLOOKUP('PREENCHIMENTO|LETIVAS'!A1758,PARAMETROS!A:A,PARAMETROS!I:I)=0,"",_xlfn.XLOOKUP('PREENCHIMENTO|LETIVAS'!A1758,PARAMETROS!A:A,PARAMETROS!I:I))</f>
        <v/>
      </c>
      <c r="F1758" s="3"/>
      <c r="G1758" s="3"/>
      <c r="H1758" s="3"/>
      <c r="I1758" s="3"/>
      <c r="J1758" s="3"/>
      <c r="K1758" s="3"/>
    </row>
    <row r="1759" spans="1:11">
      <c r="A1759" s="3"/>
      <c r="B1759" t="str">
        <f>IF(_xlfn.XLOOKUP(A1759,PARAMETROS!A:A,PARAMETROS!B:B)=0,"",_xlfn.XLOOKUP(A1759,PARAMETROS!A:A,PARAMETROS!B:B))</f>
        <v/>
      </c>
      <c r="C1759" t="str">
        <f>IF(_xlfn.XLOOKUP(A1759,PARAMETROS!A:A,PARAMETROS!C:C)=0,"",_xlfn.XLOOKUP(A1759,PARAMETROS!A:A,PARAMETROS!C:C))</f>
        <v/>
      </c>
      <c r="D1759" t="str">
        <f>IF(_xlfn.XLOOKUP(A1759,PARAMETROS!A:A,PARAMETROS!D:D)=0,"",_xlfn.XLOOKUP(A1759,PARAMETROS!A:A,PARAMETROS!D:D))</f>
        <v/>
      </c>
      <c r="E1759" t="str">
        <f>IF(_xlfn.XLOOKUP('PREENCHIMENTO|LETIVAS'!A1759,PARAMETROS!A:A,PARAMETROS!I:I)=0,"",_xlfn.XLOOKUP('PREENCHIMENTO|LETIVAS'!A1759,PARAMETROS!A:A,PARAMETROS!I:I))</f>
        <v/>
      </c>
      <c r="F1759" s="3"/>
      <c r="G1759" s="3"/>
      <c r="H1759" s="3"/>
      <c r="I1759" s="3"/>
      <c r="J1759" s="3"/>
      <c r="K1759" s="3"/>
    </row>
    <row r="1760" spans="1:11">
      <c r="A1760" s="3"/>
      <c r="B1760" t="str">
        <f>IF(_xlfn.XLOOKUP(A1760,PARAMETROS!A:A,PARAMETROS!B:B)=0,"",_xlfn.XLOOKUP(A1760,PARAMETROS!A:A,PARAMETROS!B:B))</f>
        <v/>
      </c>
      <c r="C1760" t="str">
        <f>IF(_xlfn.XLOOKUP(A1760,PARAMETROS!A:A,PARAMETROS!C:C)=0,"",_xlfn.XLOOKUP(A1760,PARAMETROS!A:A,PARAMETROS!C:C))</f>
        <v/>
      </c>
      <c r="D1760" t="str">
        <f>IF(_xlfn.XLOOKUP(A1760,PARAMETROS!A:A,PARAMETROS!D:D)=0,"",_xlfn.XLOOKUP(A1760,PARAMETROS!A:A,PARAMETROS!D:D))</f>
        <v/>
      </c>
      <c r="E1760" t="str">
        <f>IF(_xlfn.XLOOKUP('PREENCHIMENTO|LETIVAS'!A1760,PARAMETROS!A:A,PARAMETROS!I:I)=0,"",_xlfn.XLOOKUP('PREENCHIMENTO|LETIVAS'!A1760,PARAMETROS!A:A,PARAMETROS!I:I))</f>
        <v/>
      </c>
      <c r="F1760" s="3"/>
      <c r="G1760" s="3"/>
      <c r="H1760" s="3"/>
      <c r="I1760" s="3"/>
      <c r="J1760" s="3"/>
      <c r="K1760" s="3"/>
    </row>
    <row r="1761" spans="1:11">
      <c r="A1761" s="3"/>
      <c r="B1761" t="str">
        <f>IF(_xlfn.XLOOKUP(A1761,PARAMETROS!A:A,PARAMETROS!B:B)=0,"",_xlfn.XLOOKUP(A1761,PARAMETROS!A:A,PARAMETROS!B:B))</f>
        <v/>
      </c>
      <c r="C1761" t="str">
        <f>IF(_xlfn.XLOOKUP(A1761,PARAMETROS!A:A,PARAMETROS!C:C)=0,"",_xlfn.XLOOKUP(A1761,PARAMETROS!A:A,PARAMETROS!C:C))</f>
        <v/>
      </c>
      <c r="D1761" t="str">
        <f>IF(_xlfn.XLOOKUP(A1761,PARAMETROS!A:A,PARAMETROS!D:D)=0,"",_xlfn.XLOOKUP(A1761,PARAMETROS!A:A,PARAMETROS!D:D))</f>
        <v/>
      </c>
      <c r="E1761" t="str">
        <f>IF(_xlfn.XLOOKUP('PREENCHIMENTO|LETIVAS'!A1761,PARAMETROS!A:A,PARAMETROS!I:I)=0,"",_xlfn.XLOOKUP('PREENCHIMENTO|LETIVAS'!A1761,PARAMETROS!A:A,PARAMETROS!I:I))</f>
        <v/>
      </c>
      <c r="F1761" s="3"/>
      <c r="G1761" s="3"/>
      <c r="H1761" s="3"/>
      <c r="I1761" s="3"/>
      <c r="J1761" s="3"/>
      <c r="K1761" s="3"/>
    </row>
    <row r="1762" spans="1:11">
      <c r="A1762" s="3"/>
      <c r="B1762" t="str">
        <f>IF(_xlfn.XLOOKUP(A1762,PARAMETROS!A:A,PARAMETROS!B:B)=0,"",_xlfn.XLOOKUP(A1762,PARAMETROS!A:A,PARAMETROS!B:B))</f>
        <v/>
      </c>
      <c r="C1762" t="str">
        <f>IF(_xlfn.XLOOKUP(A1762,PARAMETROS!A:A,PARAMETROS!C:C)=0,"",_xlfn.XLOOKUP(A1762,PARAMETROS!A:A,PARAMETROS!C:C))</f>
        <v/>
      </c>
      <c r="D1762" t="str">
        <f>IF(_xlfn.XLOOKUP(A1762,PARAMETROS!A:A,PARAMETROS!D:D)=0,"",_xlfn.XLOOKUP(A1762,PARAMETROS!A:A,PARAMETROS!D:D))</f>
        <v/>
      </c>
      <c r="E1762" t="str">
        <f>IF(_xlfn.XLOOKUP('PREENCHIMENTO|LETIVAS'!A1762,PARAMETROS!A:A,PARAMETROS!I:I)=0,"",_xlfn.XLOOKUP('PREENCHIMENTO|LETIVAS'!A1762,PARAMETROS!A:A,PARAMETROS!I:I))</f>
        <v/>
      </c>
      <c r="F1762" s="3"/>
      <c r="G1762" s="3"/>
      <c r="H1762" s="3"/>
      <c r="I1762" s="3"/>
      <c r="J1762" s="3"/>
      <c r="K1762" s="3"/>
    </row>
    <row r="1763" spans="1:11">
      <c r="A1763" s="3"/>
      <c r="B1763" t="str">
        <f>IF(_xlfn.XLOOKUP(A1763,PARAMETROS!A:A,PARAMETROS!B:B)=0,"",_xlfn.XLOOKUP(A1763,PARAMETROS!A:A,PARAMETROS!B:B))</f>
        <v/>
      </c>
      <c r="C1763" t="str">
        <f>IF(_xlfn.XLOOKUP(A1763,PARAMETROS!A:A,PARAMETROS!C:C)=0,"",_xlfn.XLOOKUP(A1763,PARAMETROS!A:A,PARAMETROS!C:C))</f>
        <v/>
      </c>
      <c r="D1763" t="str">
        <f>IF(_xlfn.XLOOKUP(A1763,PARAMETROS!A:A,PARAMETROS!D:D)=0,"",_xlfn.XLOOKUP(A1763,PARAMETROS!A:A,PARAMETROS!D:D))</f>
        <v/>
      </c>
      <c r="E1763" t="str">
        <f>IF(_xlfn.XLOOKUP('PREENCHIMENTO|LETIVAS'!A1763,PARAMETROS!A:A,PARAMETROS!I:I)=0,"",_xlfn.XLOOKUP('PREENCHIMENTO|LETIVAS'!A1763,PARAMETROS!A:A,PARAMETROS!I:I))</f>
        <v/>
      </c>
      <c r="F1763" s="3"/>
      <c r="G1763" s="3"/>
      <c r="H1763" s="3"/>
      <c r="I1763" s="3"/>
      <c r="J1763" s="3"/>
      <c r="K1763" s="3"/>
    </row>
    <row r="1764" spans="1:11">
      <c r="A1764" s="3"/>
      <c r="B1764" t="str">
        <f>IF(_xlfn.XLOOKUP(A1764,PARAMETROS!A:A,PARAMETROS!B:B)=0,"",_xlfn.XLOOKUP(A1764,PARAMETROS!A:A,PARAMETROS!B:B))</f>
        <v/>
      </c>
      <c r="C1764" t="str">
        <f>IF(_xlfn.XLOOKUP(A1764,PARAMETROS!A:A,PARAMETROS!C:C)=0,"",_xlfn.XLOOKUP(A1764,PARAMETROS!A:A,PARAMETROS!C:C))</f>
        <v/>
      </c>
      <c r="D1764" t="str">
        <f>IF(_xlfn.XLOOKUP(A1764,PARAMETROS!A:A,PARAMETROS!D:D)=0,"",_xlfn.XLOOKUP(A1764,PARAMETROS!A:A,PARAMETROS!D:D))</f>
        <v/>
      </c>
      <c r="E1764" t="str">
        <f>IF(_xlfn.XLOOKUP('PREENCHIMENTO|LETIVAS'!A1764,PARAMETROS!A:A,PARAMETROS!I:I)=0,"",_xlfn.XLOOKUP('PREENCHIMENTO|LETIVAS'!A1764,PARAMETROS!A:A,PARAMETROS!I:I))</f>
        <v/>
      </c>
      <c r="F1764" s="3"/>
      <c r="G1764" s="3"/>
      <c r="H1764" s="3"/>
      <c r="I1764" s="3"/>
      <c r="J1764" s="3"/>
      <c r="K1764" s="3"/>
    </row>
    <row r="1765" spans="1:11">
      <c r="A1765" s="3"/>
      <c r="B1765" t="str">
        <f>IF(_xlfn.XLOOKUP(A1765,PARAMETROS!A:A,PARAMETROS!B:B)=0,"",_xlfn.XLOOKUP(A1765,PARAMETROS!A:A,PARAMETROS!B:B))</f>
        <v/>
      </c>
      <c r="C1765" t="str">
        <f>IF(_xlfn.XLOOKUP(A1765,PARAMETROS!A:A,PARAMETROS!C:C)=0,"",_xlfn.XLOOKUP(A1765,PARAMETROS!A:A,PARAMETROS!C:C))</f>
        <v/>
      </c>
      <c r="D1765" t="str">
        <f>IF(_xlfn.XLOOKUP(A1765,PARAMETROS!A:A,PARAMETROS!D:D)=0,"",_xlfn.XLOOKUP(A1765,PARAMETROS!A:A,PARAMETROS!D:D))</f>
        <v/>
      </c>
      <c r="E1765" t="str">
        <f>IF(_xlfn.XLOOKUP('PREENCHIMENTO|LETIVAS'!A1765,PARAMETROS!A:A,PARAMETROS!I:I)=0,"",_xlfn.XLOOKUP('PREENCHIMENTO|LETIVAS'!A1765,PARAMETROS!A:A,PARAMETROS!I:I))</f>
        <v/>
      </c>
      <c r="F1765" s="3"/>
      <c r="G1765" s="3"/>
      <c r="H1765" s="3"/>
      <c r="I1765" s="3"/>
      <c r="J1765" s="3"/>
      <c r="K1765" s="3"/>
    </row>
    <row r="1766" spans="1:11">
      <c r="A1766" s="3"/>
      <c r="B1766" t="str">
        <f>IF(_xlfn.XLOOKUP(A1766,PARAMETROS!A:A,PARAMETROS!B:B)=0,"",_xlfn.XLOOKUP(A1766,PARAMETROS!A:A,PARAMETROS!B:B))</f>
        <v/>
      </c>
      <c r="C1766" t="str">
        <f>IF(_xlfn.XLOOKUP(A1766,PARAMETROS!A:A,PARAMETROS!C:C)=0,"",_xlfn.XLOOKUP(A1766,PARAMETROS!A:A,PARAMETROS!C:C))</f>
        <v/>
      </c>
      <c r="D1766" t="str">
        <f>IF(_xlfn.XLOOKUP(A1766,PARAMETROS!A:A,PARAMETROS!D:D)=0,"",_xlfn.XLOOKUP(A1766,PARAMETROS!A:A,PARAMETROS!D:D))</f>
        <v/>
      </c>
      <c r="E1766" t="str">
        <f>IF(_xlfn.XLOOKUP('PREENCHIMENTO|LETIVAS'!A1766,PARAMETROS!A:A,PARAMETROS!I:I)=0,"",_xlfn.XLOOKUP('PREENCHIMENTO|LETIVAS'!A1766,PARAMETROS!A:A,PARAMETROS!I:I))</f>
        <v/>
      </c>
      <c r="F1766" s="3"/>
      <c r="G1766" s="3"/>
      <c r="H1766" s="3"/>
      <c r="I1766" s="3"/>
      <c r="J1766" s="3"/>
      <c r="K1766" s="3"/>
    </row>
    <row r="1767" spans="1:11">
      <c r="A1767" s="3"/>
      <c r="B1767" t="str">
        <f>IF(_xlfn.XLOOKUP(A1767,PARAMETROS!A:A,PARAMETROS!B:B)=0,"",_xlfn.XLOOKUP(A1767,PARAMETROS!A:A,PARAMETROS!B:B))</f>
        <v/>
      </c>
      <c r="C1767" t="str">
        <f>IF(_xlfn.XLOOKUP(A1767,PARAMETROS!A:A,PARAMETROS!C:C)=0,"",_xlfn.XLOOKUP(A1767,PARAMETROS!A:A,PARAMETROS!C:C))</f>
        <v/>
      </c>
      <c r="D1767" t="str">
        <f>IF(_xlfn.XLOOKUP(A1767,PARAMETROS!A:A,PARAMETROS!D:D)=0,"",_xlfn.XLOOKUP(A1767,PARAMETROS!A:A,PARAMETROS!D:D))</f>
        <v/>
      </c>
      <c r="E1767" t="str">
        <f>IF(_xlfn.XLOOKUP('PREENCHIMENTO|LETIVAS'!A1767,PARAMETROS!A:A,PARAMETROS!I:I)=0,"",_xlfn.XLOOKUP('PREENCHIMENTO|LETIVAS'!A1767,PARAMETROS!A:A,PARAMETROS!I:I))</f>
        <v/>
      </c>
      <c r="F1767" s="3"/>
      <c r="G1767" s="3"/>
      <c r="H1767" s="3"/>
      <c r="I1767" s="3"/>
      <c r="J1767" s="3"/>
      <c r="K1767" s="3"/>
    </row>
    <row r="1768" spans="1:11">
      <c r="A1768" s="3"/>
      <c r="B1768" t="str">
        <f>IF(_xlfn.XLOOKUP(A1768,PARAMETROS!A:A,PARAMETROS!B:B)=0,"",_xlfn.XLOOKUP(A1768,PARAMETROS!A:A,PARAMETROS!B:B))</f>
        <v/>
      </c>
      <c r="C1768" t="str">
        <f>IF(_xlfn.XLOOKUP(A1768,PARAMETROS!A:A,PARAMETROS!C:C)=0,"",_xlfn.XLOOKUP(A1768,PARAMETROS!A:A,PARAMETROS!C:C))</f>
        <v/>
      </c>
      <c r="D1768" t="str">
        <f>IF(_xlfn.XLOOKUP(A1768,PARAMETROS!A:A,PARAMETROS!D:D)=0,"",_xlfn.XLOOKUP(A1768,PARAMETROS!A:A,PARAMETROS!D:D))</f>
        <v/>
      </c>
      <c r="E1768" t="str">
        <f>IF(_xlfn.XLOOKUP('PREENCHIMENTO|LETIVAS'!A1768,PARAMETROS!A:A,PARAMETROS!I:I)=0,"",_xlfn.XLOOKUP('PREENCHIMENTO|LETIVAS'!A1768,PARAMETROS!A:A,PARAMETROS!I:I))</f>
        <v/>
      </c>
      <c r="F1768" s="3"/>
      <c r="G1768" s="3"/>
      <c r="H1768" s="3"/>
      <c r="I1768" s="3"/>
      <c r="J1768" s="3"/>
      <c r="K1768" s="3"/>
    </row>
    <row r="1769" spans="1:11">
      <c r="A1769" s="3"/>
      <c r="B1769" t="str">
        <f>IF(_xlfn.XLOOKUP(A1769,PARAMETROS!A:A,PARAMETROS!B:B)=0,"",_xlfn.XLOOKUP(A1769,PARAMETROS!A:A,PARAMETROS!B:B))</f>
        <v/>
      </c>
      <c r="C1769" t="str">
        <f>IF(_xlfn.XLOOKUP(A1769,PARAMETROS!A:A,PARAMETROS!C:C)=0,"",_xlfn.XLOOKUP(A1769,PARAMETROS!A:A,PARAMETROS!C:C))</f>
        <v/>
      </c>
      <c r="D1769" t="str">
        <f>IF(_xlfn.XLOOKUP(A1769,PARAMETROS!A:A,PARAMETROS!D:D)=0,"",_xlfn.XLOOKUP(A1769,PARAMETROS!A:A,PARAMETROS!D:D))</f>
        <v/>
      </c>
      <c r="E1769" t="str">
        <f>IF(_xlfn.XLOOKUP('PREENCHIMENTO|LETIVAS'!A1769,PARAMETROS!A:A,PARAMETROS!I:I)=0,"",_xlfn.XLOOKUP('PREENCHIMENTO|LETIVAS'!A1769,PARAMETROS!A:A,PARAMETROS!I:I))</f>
        <v/>
      </c>
      <c r="F1769" s="3"/>
      <c r="G1769" s="3"/>
      <c r="H1769" s="3"/>
      <c r="I1769" s="3"/>
      <c r="J1769" s="3"/>
      <c r="K1769" s="3"/>
    </row>
    <row r="1770" spans="1:11">
      <c r="A1770" s="3"/>
      <c r="B1770" t="str">
        <f>IF(_xlfn.XLOOKUP(A1770,PARAMETROS!A:A,PARAMETROS!B:B)=0,"",_xlfn.XLOOKUP(A1770,PARAMETROS!A:A,PARAMETROS!B:B))</f>
        <v/>
      </c>
      <c r="C1770" t="str">
        <f>IF(_xlfn.XLOOKUP(A1770,PARAMETROS!A:A,PARAMETROS!C:C)=0,"",_xlfn.XLOOKUP(A1770,PARAMETROS!A:A,PARAMETROS!C:C))</f>
        <v/>
      </c>
      <c r="D1770" t="str">
        <f>IF(_xlfn.XLOOKUP(A1770,PARAMETROS!A:A,PARAMETROS!D:D)=0,"",_xlfn.XLOOKUP(A1770,PARAMETROS!A:A,PARAMETROS!D:D))</f>
        <v/>
      </c>
      <c r="E1770" t="str">
        <f>IF(_xlfn.XLOOKUP('PREENCHIMENTO|LETIVAS'!A1770,PARAMETROS!A:A,PARAMETROS!I:I)=0,"",_xlfn.XLOOKUP('PREENCHIMENTO|LETIVAS'!A1770,PARAMETROS!A:A,PARAMETROS!I:I))</f>
        <v/>
      </c>
      <c r="F1770" s="3"/>
      <c r="G1770" s="3"/>
      <c r="H1770" s="3"/>
      <c r="I1770" s="3"/>
      <c r="J1770" s="3"/>
      <c r="K1770" s="3"/>
    </row>
    <row r="1771" spans="1:11">
      <c r="A1771" s="3"/>
      <c r="B1771" t="str">
        <f>IF(_xlfn.XLOOKUP(A1771,PARAMETROS!A:A,PARAMETROS!B:B)=0,"",_xlfn.XLOOKUP(A1771,PARAMETROS!A:A,PARAMETROS!B:B))</f>
        <v/>
      </c>
      <c r="C1771" t="str">
        <f>IF(_xlfn.XLOOKUP(A1771,PARAMETROS!A:A,PARAMETROS!C:C)=0,"",_xlfn.XLOOKUP(A1771,PARAMETROS!A:A,PARAMETROS!C:C))</f>
        <v/>
      </c>
      <c r="D1771" t="str">
        <f>IF(_xlfn.XLOOKUP(A1771,PARAMETROS!A:A,PARAMETROS!D:D)=0,"",_xlfn.XLOOKUP(A1771,PARAMETROS!A:A,PARAMETROS!D:D))</f>
        <v/>
      </c>
      <c r="E1771" t="str">
        <f>IF(_xlfn.XLOOKUP('PREENCHIMENTO|LETIVAS'!A1771,PARAMETROS!A:A,PARAMETROS!I:I)=0,"",_xlfn.XLOOKUP('PREENCHIMENTO|LETIVAS'!A1771,PARAMETROS!A:A,PARAMETROS!I:I))</f>
        <v/>
      </c>
      <c r="F1771" s="3"/>
      <c r="G1771" s="3"/>
      <c r="H1771" s="3"/>
      <c r="I1771" s="3"/>
      <c r="J1771" s="3"/>
      <c r="K1771" s="3"/>
    </row>
    <row r="1772" spans="1:11">
      <c r="A1772" s="3"/>
      <c r="B1772" t="str">
        <f>IF(_xlfn.XLOOKUP(A1772,PARAMETROS!A:A,PARAMETROS!B:B)=0,"",_xlfn.XLOOKUP(A1772,PARAMETROS!A:A,PARAMETROS!B:B))</f>
        <v/>
      </c>
      <c r="C1772" t="str">
        <f>IF(_xlfn.XLOOKUP(A1772,PARAMETROS!A:A,PARAMETROS!C:C)=0,"",_xlfn.XLOOKUP(A1772,PARAMETROS!A:A,PARAMETROS!C:C))</f>
        <v/>
      </c>
      <c r="D1772" t="str">
        <f>IF(_xlfn.XLOOKUP(A1772,PARAMETROS!A:A,PARAMETROS!D:D)=0,"",_xlfn.XLOOKUP(A1772,PARAMETROS!A:A,PARAMETROS!D:D))</f>
        <v/>
      </c>
      <c r="E1772" t="str">
        <f>IF(_xlfn.XLOOKUP('PREENCHIMENTO|LETIVAS'!A1772,PARAMETROS!A:A,PARAMETROS!I:I)=0,"",_xlfn.XLOOKUP('PREENCHIMENTO|LETIVAS'!A1772,PARAMETROS!A:A,PARAMETROS!I:I))</f>
        <v/>
      </c>
      <c r="F1772" s="3"/>
      <c r="G1772" s="3"/>
      <c r="H1772" s="3"/>
      <c r="I1772" s="3"/>
      <c r="J1772" s="3"/>
      <c r="K1772" s="3"/>
    </row>
    <row r="1773" spans="1:11">
      <c r="A1773" s="3"/>
      <c r="B1773" t="str">
        <f>IF(_xlfn.XLOOKUP(A1773,PARAMETROS!A:A,PARAMETROS!B:B)=0,"",_xlfn.XLOOKUP(A1773,PARAMETROS!A:A,PARAMETROS!B:B))</f>
        <v/>
      </c>
      <c r="C1773" t="str">
        <f>IF(_xlfn.XLOOKUP(A1773,PARAMETROS!A:A,PARAMETROS!C:C)=0,"",_xlfn.XLOOKUP(A1773,PARAMETROS!A:A,PARAMETROS!C:C))</f>
        <v/>
      </c>
      <c r="D1773" t="str">
        <f>IF(_xlfn.XLOOKUP(A1773,PARAMETROS!A:A,PARAMETROS!D:D)=0,"",_xlfn.XLOOKUP(A1773,PARAMETROS!A:A,PARAMETROS!D:D))</f>
        <v/>
      </c>
      <c r="E1773" t="str">
        <f>IF(_xlfn.XLOOKUP('PREENCHIMENTO|LETIVAS'!A1773,PARAMETROS!A:A,PARAMETROS!I:I)=0,"",_xlfn.XLOOKUP('PREENCHIMENTO|LETIVAS'!A1773,PARAMETROS!A:A,PARAMETROS!I:I))</f>
        <v/>
      </c>
      <c r="F1773" s="3"/>
      <c r="G1773" s="3"/>
      <c r="H1773" s="3"/>
      <c r="I1773" s="3"/>
      <c r="J1773" s="3"/>
      <c r="K1773" s="3"/>
    </row>
    <row r="1774" spans="1:11">
      <c r="A1774" s="3"/>
      <c r="B1774" t="str">
        <f>IF(_xlfn.XLOOKUP(A1774,PARAMETROS!A:A,PARAMETROS!B:B)=0,"",_xlfn.XLOOKUP(A1774,PARAMETROS!A:A,PARAMETROS!B:B))</f>
        <v/>
      </c>
      <c r="C1774" t="str">
        <f>IF(_xlfn.XLOOKUP(A1774,PARAMETROS!A:A,PARAMETROS!C:C)=0,"",_xlfn.XLOOKUP(A1774,PARAMETROS!A:A,PARAMETROS!C:C))</f>
        <v/>
      </c>
      <c r="D1774" t="str">
        <f>IF(_xlfn.XLOOKUP(A1774,PARAMETROS!A:A,PARAMETROS!D:D)=0,"",_xlfn.XLOOKUP(A1774,PARAMETROS!A:A,PARAMETROS!D:D))</f>
        <v/>
      </c>
      <c r="E1774" t="str">
        <f>IF(_xlfn.XLOOKUP('PREENCHIMENTO|LETIVAS'!A1774,PARAMETROS!A:A,PARAMETROS!I:I)=0,"",_xlfn.XLOOKUP('PREENCHIMENTO|LETIVAS'!A1774,PARAMETROS!A:A,PARAMETROS!I:I))</f>
        <v/>
      </c>
      <c r="F1774" s="3"/>
      <c r="G1774" s="3"/>
      <c r="H1774" s="3"/>
      <c r="I1774" s="3"/>
      <c r="J1774" s="3"/>
      <c r="K1774" s="3"/>
    </row>
    <row r="1775" spans="1:11">
      <c r="A1775" s="3"/>
      <c r="B1775" t="str">
        <f>IF(_xlfn.XLOOKUP(A1775,PARAMETROS!A:A,PARAMETROS!B:B)=0,"",_xlfn.XLOOKUP(A1775,PARAMETROS!A:A,PARAMETROS!B:B))</f>
        <v/>
      </c>
      <c r="C1775" t="str">
        <f>IF(_xlfn.XLOOKUP(A1775,PARAMETROS!A:A,PARAMETROS!C:C)=0,"",_xlfn.XLOOKUP(A1775,PARAMETROS!A:A,PARAMETROS!C:C))</f>
        <v/>
      </c>
      <c r="D1775" t="str">
        <f>IF(_xlfn.XLOOKUP(A1775,PARAMETROS!A:A,PARAMETROS!D:D)=0,"",_xlfn.XLOOKUP(A1775,PARAMETROS!A:A,PARAMETROS!D:D))</f>
        <v/>
      </c>
      <c r="E1775" t="str">
        <f>IF(_xlfn.XLOOKUP('PREENCHIMENTO|LETIVAS'!A1775,PARAMETROS!A:A,PARAMETROS!I:I)=0,"",_xlfn.XLOOKUP('PREENCHIMENTO|LETIVAS'!A1775,PARAMETROS!A:A,PARAMETROS!I:I))</f>
        <v/>
      </c>
      <c r="F1775" s="3"/>
      <c r="G1775" s="3"/>
      <c r="H1775" s="3"/>
      <c r="I1775" s="3"/>
      <c r="J1775" s="3"/>
      <c r="K1775" s="3"/>
    </row>
    <row r="1776" spans="1:11">
      <c r="A1776" s="3"/>
      <c r="B1776" t="str">
        <f>IF(_xlfn.XLOOKUP(A1776,PARAMETROS!A:A,PARAMETROS!B:B)=0,"",_xlfn.XLOOKUP(A1776,PARAMETROS!A:A,PARAMETROS!B:B))</f>
        <v/>
      </c>
      <c r="C1776" t="str">
        <f>IF(_xlfn.XLOOKUP(A1776,PARAMETROS!A:A,PARAMETROS!C:C)=0,"",_xlfn.XLOOKUP(A1776,PARAMETROS!A:A,PARAMETROS!C:C))</f>
        <v/>
      </c>
      <c r="D1776" t="str">
        <f>IF(_xlfn.XLOOKUP(A1776,PARAMETROS!A:A,PARAMETROS!D:D)=0,"",_xlfn.XLOOKUP(A1776,PARAMETROS!A:A,PARAMETROS!D:D))</f>
        <v/>
      </c>
      <c r="E1776" t="str">
        <f>IF(_xlfn.XLOOKUP('PREENCHIMENTO|LETIVAS'!A1776,PARAMETROS!A:A,PARAMETROS!I:I)=0,"",_xlfn.XLOOKUP('PREENCHIMENTO|LETIVAS'!A1776,PARAMETROS!A:A,PARAMETROS!I:I))</f>
        <v/>
      </c>
      <c r="F1776" s="3"/>
      <c r="G1776" s="3"/>
      <c r="H1776" s="3"/>
      <c r="I1776" s="3"/>
      <c r="J1776" s="3"/>
      <c r="K1776" s="3"/>
    </row>
    <row r="1777" spans="1:11">
      <c r="A1777" s="3"/>
      <c r="B1777" t="str">
        <f>IF(_xlfn.XLOOKUP(A1777,PARAMETROS!A:A,PARAMETROS!B:B)=0,"",_xlfn.XLOOKUP(A1777,PARAMETROS!A:A,PARAMETROS!B:B))</f>
        <v/>
      </c>
      <c r="C1777" t="str">
        <f>IF(_xlfn.XLOOKUP(A1777,PARAMETROS!A:A,PARAMETROS!C:C)=0,"",_xlfn.XLOOKUP(A1777,PARAMETROS!A:A,PARAMETROS!C:C))</f>
        <v/>
      </c>
      <c r="D1777" t="str">
        <f>IF(_xlfn.XLOOKUP(A1777,PARAMETROS!A:A,PARAMETROS!D:D)=0,"",_xlfn.XLOOKUP(A1777,PARAMETROS!A:A,PARAMETROS!D:D))</f>
        <v/>
      </c>
      <c r="E1777" t="str">
        <f>IF(_xlfn.XLOOKUP('PREENCHIMENTO|LETIVAS'!A1777,PARAMETROS!A:A,PARAMETROS!I:I)=0,"",_xlfn.XLOOKUP('PREENCHIMENTO|LETIVAS'!A1777,PARAMETROS!A:A,PARAMETROS!I:I))</f>
        <v/>
      </c>
      <c r="F1777" s="3"/>
      <c r="G1777" s="3"/>
      <c r="H1777" s="3"/>
      <c r="I1777" s="3"/>
      <c r="J1777" s="3"/>
      <c r="K1777" s="3"/>
    </row>
    <row r="1778" spans="1:11">
      <c r="A1778" s="3"/>
      <c r="B1778" t="str">
        <f>IF(_xlfn.XLOOKUP(A1778,PARAMETROS!A:A,PARAMETROS!B:B)=0,"",_xlfn.XLOOKUP(A1778,PARAMETROS!A:A,PARAMETROS!B:B))</f>
        <v/>
      </c>
      <c r="C1778" t="str">
        <f>IF(_xlfn.XLOOKUP(A1778,PARAMETROS!A:A,PARAMETROS!C:C)=0,"",_xlfn.XLOOKUP(A1778,PARAMETROS!A:A,PARAMETROS!C:C))</f>
        <v/>
      </c>
      <c r="D1778" t="str">
        <f>IF(_xlfn.XLOOKUP(A1778,PARAMETROS!A:A,PARAMETROS!D:D)=0,"",_xlfn.XLOOKUP(A1778,PARAMETROS!A:A,PARAMETROS!D:D))</f>
        <v/>
      </c>
      <c r="E1778" t="str">
        <f>IF(_xlfn.XLOOKUP('PREENCHIMENTO|LETIVAS'!A1778,PARAMETROS!A:A,PARAMETROS!I:I)=0,"",_xlfn.XLOOKUP('PREENCHIMENTO|LETIVAS'!A1778,PARAMETROS!A:A,PARAMETROS!I:I))</f>
        <v/>
      </c>
      <c r="F1778" s="3"/>
      <c r="G1778" s="3"/>
      <c r="H1778" s="3"/>
      <c r="I1778" s="3"/>
      <c r="J1778" s="3"/>
      <c r="K1778" s="3"/>
    </row>
    <row r="1779" spans="1:11">
      <c r="A1779" s="3"/>
      <c r="B1779" t="str">
        <f>IF(_xlfn.XLOOKUP(A1779,PARAMETROS!A:A,PARAMETROS!B:B)=0,"",_xlfn.XLOOKUP(A1779,PARAMETROS!A:A,PARAMETROS!B:B))</f>
        <v/>
      </c>
      <c r="C1779" t="str">
        <f>IF(_xlfn.XLOOKUP(A1779,PARAMETROS!A:A,PARAMETROS!C:C)=0,"",_xlfn.XLOOKUP(A1779,PARAMETROS!A:A,PARAMETROS!C:C))</f>
        <v/>
      </c>
      <c r="D1779" t="str">
        <f>IF(_xlfn.XLOOKUP(A1779,PARAMETROS!A:A,PARAMETROS!D:D)=0,"",_xlfn.XLOOKUP(A1779,PARAMETROS!A:A,PARAMETROS!D:D))</f>
        <v/>
      </c>
      <c r="E1779" t="str">
        <f>IF(_xlfn.XLOOKUP('PREENCHIMENTO|LETIVAS'!A1779,PARAMETROS!A:A,PARAMETROS!I:I)=0,"",_xlfn.XLOOKUP('PREENCHIMENTO|LETIVAS'!A1779,PARAMETROS!A:A,PARAMETROS!I:I))</f>
        <v/>
      </c>
      <c r="F1779" s="3"/>
      <c r="G1779" s="3"/>
      <c r="H1779" s="3"/>
      <c r="I1779" s="3"/>
      <c r="J1779" s="3"/>
      <c r="K1779" s="3"/>
    </row>
    <row r="1780" spans="1:11">
      <c r="A1780" s="3"/>
      <c r="B1780" t="str">
        <f>IF(_xlfn.XLOOKUP(A1780,PARAMETROS!A:A,PARAMETROS!B:B)=0,"",_xlfn.XLOOKUP(A1780,PARAMETROS!A:A,PARAMETROS!B:B))</f>
        <v/>
      </c>
      <c r="C1780" t="str">
        <f>IF(_xlfn.XLOOKUP(A1780,PARAMETROS!A:A,PARAMETROS!C:C)=0,"",_xlfn.XLOOKUP(A1780,PARAMETROS!A:A,PARAMETROS!C:C))</f>
        <v/>
      </c>
      <c r="D1780" t="str">
        <f>IF(_xlfn.XLOOKUP(A1780,PARAMETROS!A:A,PARAMETROS!D:D)=0,"",_xlfn.XLOOKUP(A1780,PARAMETROS!A:A,PARAMETROS!D:D))</f>
        <v/>
      </c>
      <c r="E1780" t="str">
        <f>IF(_xlfn.XLOOKUP('PREENCHIMENTO|LETIVAS'!A1780,PARAMETROS!A:A,PARAMETROS!I:I)=0,"",_xlfn.XLOOKUP('PREENCHIMENTO|LETIVAS'!A1780,PARAMETROS!A:A,PARAMETROS!I:I))</f>
        <v/>
      </c>
      <c r="F1780" s="3"/>
      <c r="G1780" s="3"/>
      <c r="H1780" s="3"/>
      <c r="I1780" s="3"/>
      <c r="J1780" s="3"/>
      <c r="K1780" s="3"/>
    </row>
    <row r="1781" spans="1:11">
      <c r="A1781" s="3"/>
      <c r="B1781" t="str">
        <f>IF(_xlfn.XLOOKUP(A1781,PARAMETROS!A:A,PARAMETROS!B:B)=0,"",_xlfn.XLOOKUP(A1781,PARAMETROS!A:A,PARAMETROS!B:B))</f>
        <v/>
      </c>
      <c r="C1781" t="str">
        <f>IF(_xlfn.XLOOKUP(A1781,PARAMETROS!A:A,PARAMETROS!C:C)=0,"",_xlfn.XLOOKUP(A1781,PARAMETROS!A:A,PARAMETROS!C:C))</f>
        <v/>
      </c>
      <c r="D1781" t="str">
        <f>IF(_xlfn.XLOOKUP(A1781,PARAMETROS!A:A,PARAMETROS!D:D)=0,"",_xlfn.XLOOKUP(A1781,PARAMETROS!A:A,PARAMETROS!D:D))</f>
        <v/>
      </c>
      <c r="E1781" t="str">
        <f>IF(_xlfn.XLOOKUP('PREENCHIMENTO|LETIVAS'!A1781,PARAMETROS!A:A,PARAMETROS!I:I)=0,"",_xlfn.XLOOKUP('PREENCHIMENTO|LETIVAS'!A1781,PARAMETROS!A:A,PARAMETROS!I:I))</f>
        <v/>
      </c>
      <c r="F1781" s="3"/>
      <c r="G1781" s="3"/>
      <c r="H1781" s="3"/>
      <c r="I1781" s="3"/>
      <c r="J1781" s="3"/>
      <c r="K1781" s="3"/>
    </row>
    <row r="1782" spans="1:11">
      <c r="A1782" s="3"/>
      <c r="B1782" t="str">
        <f>IF(_xlfn.XLOOKUP(A1782,PARAMETROS!A:A,PARAMETROS!B:B)=0,"",_xlfn.XLOOKUP(A1782,PARAMETROS!A:A,PARAMETROS!B:B))</f>
        <v/>
      </c>
      <c r="C1782" t="str">
        <f>IF(_xlfn.XLOOKUP(A1782,PARAMETROS!A:A,PARAMETROS!C:C)=0,"",_xlfn.XLOOKUP(A1782,PARAMETROS!A:A,PARAMETROS!C:C))</f>
        <v/>
      </c>
      <c r="D1782" t="str">
        <f>IF(_xlfn.XLOOKUP(A1782,PARAMETROS!A:A,PARAMETROS!D:D)=0,"",_xlfn.XLOOKUP(A1782,PARAMETROS!A:A,PARAMETROS!D:D))</f>
        <v/>
      </c>
      <c r="E1782" t="str">
        <f>IF(_xlfn.XLOOKUP('PREENCHIMENTO|LETIVAS'!A1782,PARAMETROS!A:A,PARAMETROS!I:I)=0,"",_xlfn.XLOOKUP('PREENCHIMENTO|LETIVAS'!A1782,PARAMETROS!A:A,PARAMETROS!I:I))</f>
        <v/>
      </c>
      <c r="F1782" s="3"/>
      <c r="G1782" s="3"/>
      <c r="H1782" s="3"/>
      <c r="I1782" s="3"/>
      <c r="J1782" s="3"/>
      <c r="K1782" s="3"/>
    </row>
    <row r="1783" spans="1:11">
      <c r="A1783" s="3"/>
      <c r="B1783" t="str">
        <f>IF(_xlfn.XLOOKUP(A1783,PARAMETROS!A:A,PARAMETROS!B:B)=0,"",_xlfn.XLOOKUP(A1783,PARAMETROS!A:A,PARAMETROS!B:B))</f>
        <v/>
      </c>
      <c r="C1783" t="str">
        <f>IF(_xlfn.XLOOKUP(A1783,PARAMETROS!A:A,PARAMETROS!C:C)=0,"",_xlfn.XLOOKUP(A1783,PARAMETROS!A:A,PARAMETROS!C:C))</f>
        <v/>
      </c>
      <c r="D1783" t="str">
        <f>IF(_xlfn.XLOOKUP(A1783,PARAMETROS!A:A,PARAMETROS!D:D)=0,"",_xlfn.XLOOKUP(A1783,PARAMETROS!A:A,PARAMETROS!D:D))</f>
        <v/>
      </c>
      <c r="E1783" t="str">
        <f>IF(_xlfn.XLOOKUP('PREENCHIMENTO|LETIVAS'!A1783,PARAMETROS!A:A,PARAMETROS!I:I)=0,"",_xlfn.XLOOKUP('PREENCHIMENTO|LETIVAS'!A1783,PARAMETROS!A:A,PARAMETROS!I:I))</f>
        <v/>
      </c>
      <c r="F1783" s="3"/>
      <c r="G1783" s="3"/>
      <c r="H1783" s="3"/>
      <c r="I1783" s="3"/>
      <c r="J1783" s="3"/>
      <c r="K1783" s="3"/>
    </row>
    <row r="1784" spans="1:11">
      <c r="A1784" s="3"/>
      <c r="B1784" t="str">
        <f>IF(_xlfn.XLOOKUP(A1784,PARAMETROS!A:A,PARAMETROS!B:B)=0,"",_xlfn.XLOOKUP(A1784,PARAMETROS!A:A,PARAMETROS!B:B))</f>
        <v/>
      </c>
      <c r="C1784" t="str">
        <f>IF(_xlfn.XLOOKUP(A1784,PARAMETROS!A:A,PARAMETROS!C:C)=0,"",_xlfn.XLOOKUP(A1784,PARAMETROS!A:A,PARAMETROS!C:C))</f>
        <v/>
      </c>
      <c r="D1784" t="str">
        <f>IF(_xlfn.XLOOKUP(A1784,PARAMETROS!A:A,PARAMETROS!D:D)=0,"",_xlfn.XLOOKUP(A1784,PARAMETROS!A:A,PARAMETROS!D:D))</f>
        <v/>
      </c>
      <c r="E1784" t="str">
        <f>IF(_xlfn.XLOOKUP('PREENCHIMENTO|LETIVAS'!A1784,PARAMETROS!A:A,PARAMETROS!I:I)=0,"",_xlfn.XLOOKUP('PREENCHIMENTO|LETIVAS'!A1784,PARAMETROS!A:A,PARAMETROS!I:I))</f>
        <v/>
      </c>
      <c r="F1784" s="3"/>
      <c r="G1784" s="3"/>
      <c r="H1784" s="3"/>
      <c r="I1784" s="3"/>
      <c r="J1784" s="3"/>
      <c r="K1784" s="3"/>
    </row>
    <row r="1785" spans="1:11">
      <c r="A1785" s="3"/>
      <c r="B1785" t="str">
        <f>IF(_xlfn.XLOOKUP(A1785,PARAMETROS!A:A,PARAMETROS!B:B)=0,"",_xlfn.XLOOKUP(A1785,PARAMETROS!A:A,PARAMETROS!B:B))</f>
        <v/>
      </c>
      <c r="C1785" t="str">
        <f>IF(_xlfn.XLOOKUP(A1785,PARAMETROS!A:A,PARAMETROS!C:C)=0,"",_xlfn.XLOOKUP(A1785,PARAMETROS!A:A,PARAMETROS!C:C))</f>
        <v/>
      </c>
      <c r="D1785" t="str">
        <f>IF(_xlfn.XLOOKUP(A1785,PARAMETROS!A:A,PARAMETROS!D:D)=0,"",_xlfn.XLOOKUP(A1785,PARAMETROS!A:A,PARAMETROS!D:D))</f>
        <v/>
      </c>
      <c r="E1785" t="str">
        <f>IF(_xlfn.XLOOKUP('PREENCHIMENTO|LETIVAS'!A1785,PARAMETROS!A:A,PARAMETROS!I:I)=0,"",_xlfn.XLOOKUP('PREENCHIMENTO|LETIVAS'!A1785,PARAMETROS!A:A,PARAMETROS!I:I))</f>
        <v/>
      </c>
      <c r="F1785" s="3"/>
      <c r="G1785" s="3"/>
      <c r="H1785" s="3"/>
      <c r="I1785" s="3"/>
      <c r="J1785" s="3"/>
      <c r="K1785" s="3"/>
    </row>
    <row r="1786" spans="1:11">
      <c r="A1786" s="3"/>
      <c r="B1786" t="str">
        <f>IF(_xlfn.XLOOKUP(A1786,PARAMETROS!A:A,PARAMETROS!B:B)=0,"",_xlfn.XLOOKUP(A1786,PARAMETROS!A:A,PARAMETROS!B:B))</f>
        <v/>
      </c>
      <c r="C1786" t="str">
        <f>IF(_xlfn.XLOOKUP(A1786,PARAMETROS!A:A,PARAMETROS!C:C)=0,"",_xlfn.XLOOKUP(A1786,PARAMETROS!A:A,PARAMETROS!C:C))</f>
        <v/>
      </c>
      <c r="D1786" t="str">
        <f>IF(_xlfn.XLOOKUP(A1786,PARAMETROS!A:A,PARAMETROS!D:D)=0,"",_xlfn.XLOOKUP(A1786,PARAMETROS!A:A,PARAMETROS!D:D))</f>
        <v/>
      </c>
      <c r="E1786" t="str">
        <f>IF(_xlfn.XLOOKUP('PREENCHIMENTO|LETIVAS'!A1786,PARAMETROS!A:A,PARAMETROS!I:I)=0,"",_xlfn.XLOOKUP('PREENCHIMENTO|LETIVAS'!A1786,PARAMETROS!A:A,PARAMETROS!I:I))</f>
        <v/>
      </c>
      <c r="F1786" s="3"/>
      <c r="G1786" s="3"/>
      <c r="H1786" s="3"/>
      <c r="I1786" s="3"/>
      <c r="J1786" s="3"/>
      <c r="K1786" s="3"/>
    </row>
    <row r="1787" spans="1:11">
      <c r="A1787" s="3"/>
      <c r="B1787" t="str">
        <f>IF(_xlfn.XLOOKUP(A1787,PARAMETROS!A:A,PARAMETROS!B:B)=0,"",_xlfn.XLOOKUP(A1787,PARAMETROS!A:A,PARAMETROS!B:B))</f>
        <v/>
      </c>
      <c r="C1787" t="str">
        <f>IF(_xlfn.XLOOKUP(A1787,PARAMETROS!A:A,PARAMETROS!C:C)=0,"",_xlfn.XLOOKUP(A1787,PARAMETROS!A:A,PARAMETROS!C:C))</f>
        <v/>
      </c>
      <c r="D1787" t="str">
        <f>IF(_xlfn.XLOOKUP(A1787,PARAMETROS!A:A,PARAMETROS!D:D)=0,"",_xlfn.XLOOKUP(A1787,PARAMETROS!A:A,PARAMETROS!D:D))</f>
        <v/>
      </c>
      <c r="E1787" t="str">
        <f>IF(_xlfn.XLOOKUP('PREENCHIMENTO|LETIVAS'!A1787,PARAMETROS!A:A,PARAMETROS!I:I)=0,"",_xlfn.XLOOKUP('PREENCHIMENTO|LETIVAS'!A1787,PARAMETROS!A:A,PARAMETROS!I:I))</f>
        <v/>
      </c>
      <c r="F1787" s="3"/>
      <c r="G1787" s="3"/>
      <c r="H1787" s="3"/>
      <c r="I1787" s="3"/>
      <c r="J1787" s="3"/>
      <c r="K1787" s="3"/>
    </row>
    <row r="1788" spans="1:11">
      <c r="A1788" s="3"/>
      <c r="B1788" t="str">
        <f>IF(_xlfn.XLOOKUP(A1788,PARAMETROS!A:A,PARAMETROS!B:B)=0,"",_xlfn.XLOOKUP(A1788,PARAMETROS!A:A,PARAMETROS!B:B))</f>
        <v/>
      </c>
      <c r="C1788" t="str">
        <f>IF(_xlfn.XLOOKUP(A1788,PARAMETROS!A:A,PARAMETROS!C:C)=0,"",_xlfn.XLOOKUP(A1788,PARAMETROS!A:A,PARAMETROS!C:C))</f>
        <v/>
      </c>
      <c r="D1788" t="str">
        <f>IF(_xlfn.XLOOKUP(A1788,PARAMETROS!A:A,PARAMETROS!D:D)=0,"",_xlfn.XLOOKUP(A1788,PARAMETROS!A:A,PARAMETROS!D:D))</f>
        <v/>
      </c>
      <c r="E1788" t="str">
        <f>IF(_xlfn.XLOOKUP('PREENCHIMENTO|LETIVAS'!A1788,PARAMETROS!A:A,PARAMETROS!I:I)=0,"",_xlfn.XLOOKUP('PREENCHIMENTO|LETIVAS'!A1788,PARAMETROS!A:A,PARAMETROS!I:I))</f>
        <v/>
      </c>
      <c r="F1788" s="3"/>
      <c r="G1788" s="3"/>
      <c r="H1788" s="3"/>
      <c r="I1788" s="3"/>
      <c r="J1788" s="3"/>
      <c r="K1788" s="3"/>
    </row>
    <row r="1789" spans="1:11">
      <c r="A1789" s="3"/>
      <c r="B1789" t="str">
        <f>IF(_xlfn.XLOOKUP(A1789,PARAMETROS!A:A,PARAMETROS!B:B)=0,"",_xlfn.XLOOKUP(A1789,PARAMETROS!A:A,PARAMETROS!B:B))</f>
        <v/>
      </c>
      <c r="C1789" t="str">
        <f>IF(_xlfn.XLOOKUP(A1789,PARAMETROS!A:A,PARAMETROS!C:C)=0,"",_xlfn.XLOOKUP(A1789,PARAMETROS!A:A,PARAMETROS!C:C))</f>
        <v/>
      </c>
      <c r="D1789" t="str">
        <f>IF(_xlfn.XLOOKUP(A1789,PARAMETROS!A:A,PARAMETROS!D:D)=0,"",_xlfn.XLOOKUP(A1789,PARAMETROS!A:A,PARAMETROS!D:D))</f>
        <v/>
      </c>
      <c r="E1789" t="str">
        <f>IF(_xlfn.XLOOKUP('PREENCHIMENTO|LETIVAS'!A1789,PARAMETROS!A:A,PARAMETROS!I:I)=0,"",_xlfn.XLOOKUP('PREENCHIMENTO|LETIVAS'!A1789,PARAMETROS!A:A,PARAMETROS!I:I))</f>
        <v/>
      </c>
      <c r="F1789" s="3"/>
      <c r="G1789" s="3"/>
      <c r="H1789" s="3"/>
      <c r="I1789" s="3"/>
      <c r="J1789" s="3"/>
      <c r="K1789" s="3"/>
    </row>
    <row r="1790" spans="1:11">
      <c r="A1790" s="3"/>
      <c r="B1790" t="str">
        <f>IF(_xlfn.XLOOKUP(A1790,PARAMETROS!A:A,PARAMETROS!B:B)=0,"",_xlfn.XLOOKUP(A1790,PARAMETROS!A:A,PARAMETROS!B:B))</f>
        <v/>
      </c>
      <c r="C1790" t="str">
        <f>IF(_xlfn.XLOOKUP(A1790,PARAMETROS!A:A,PARAMETROS!C:C)=0,"",_xlfn.XLOOKUP(A1790,PARAMETROS!A:A,PARAMETROS!C:C))</f>
        <v/>
      </c>
      <c r="D1790" t="str">
        <f>IF(_xlfn.XLOOKUP(A1790,PARAMETROS!A:A,PARAMETROS!D:D)=0,"",_xlfn.XLOOKUP(A1790,PARAMETROS!A:A,PARAMETROS!D:D))</f>
        <v/>
      </c>
      <c r="E1790" t="str">
        <f>IF(_xlfn.XLOOKUP('PREENCHIMENTO|LETIVAS'!A1790,PARAMETROS!A:A,PARAMETROS!I:I)=0,"",_xlfn.XLOOKUP('PREENCHIMENTO|LETIVAS'!A1790,PARAMETROS!A:A,PARAMETROS!I:I))</f>
        <v/>
      </c>
      <c r="F1790" s="3"/>
      <c r="G1790" s="3"/>
      <c r="H1790" s="3"/>
      <c r="I1790" s="3"/>
      <c r="J1790" s="3"/>
      <c r="K1790" s="3"/>
    </row>
    <row r="1791" spans="1:11">
      <c r="A1791" s="3"/>
      <c r="B1791" t="str">
        <f>IF(_xlfn.XLOOKUP(A1791,PARAMETROS!A:A,PARAMETROS!B:B)=0,"",_xlfn.XLOOKUP(A1791,PARAMETROS!A:A,PARAMETROS!B:B))</f>
        <v/>
      </c>
      <c r="C1791" t="str">
        <f>IF(_xlfn.XLOOKUP(A1791,PARAMETROS!A:A,PARAMETROS!C:C)=0,"",_xlfn.XLOOKUP(A1791,PARAMETROS!A:A,PARAMETROS!C:C))</f>
        <v/>
      </c>
      <c r="D1791" t="str">
        <f>IF(_xlfn.XLOOKUP(A1791,PARAMETROS!A:A,PARAMETROS!D:D)=0,"",_xlfn.XLOOKUP(A1791,PARAMETROS!A:A,PARAMETROS!D:D))</f>
        <v/>
      </c>
      <c r="E1791" t="str">
        <f>IF(_xlfn.XLOOKUP('PREENCHIMENTO|LETIVAS'!A1791,PARAMETROS!A:A,PARAMETROS!I:I)=0,"",_xlfn.XLOOKUP('PREENCHIMENTO|LETIVAS'!A1791,PARAMETROS!A:A,PARAMETROS!I:I))</f>
        <v/>
      </c>
      <c r="F1791" s="3"/>
      <c r="G1791" s="3"/>
      <c r="H1791" s="3"/>
      <c r="I1791" s="3"/>
      <c r="J1791" s="3"/>
      <c r="K1791" s="3"/>
    </row>
    <row r="1792" spans="1:11">
      <c r="A1792" s="3"/>
      <c r="B1792" t="str">
        <f>IF(_xlfn.XLOOKUP(A1792,PARAMETROS!A:A,PARAMETROS!B:B)=0,"",_xlfn.XLOOKUP(A1792,PARAMETROS!A:A,PARAMETROS!B:B))</f>
        <v/>
      </c>
      <c r="C1792" t="str">
        <f>IF(_xlfn.XLOOKUP(A1792,PARAMETROS!A:A,PARAMETROS!C:C)=0,"",_xlfn.XLOOKUP(A1792,PARAMETROS!A:A,PARAMETROS!C:C))</f>
        <v/>
      </c>
      <c r="D1792" t="str">
        <f>IF(_xlfn.XLOOKUP(A1792,PARAMETROS!A:A,PARAMETROS!D:D)=0,"",_xlfn.XLOOKUP(A1792,PARAMETROS!A:A,PARAMETROS!D:D))</f>
        <v/>
      </c>
      <c r="E1792" t="str">
        <f>IF(_xlfn.XLOOKUP('PREENCHIMENTO|LETIVAS'!A1792,PARAMETROS!A:A,PARAMETROS!I:I)=0,"",_xlfn.XLOOKUP('PREENCHIMENTO|LETIVAS'!A1792,PARAMETROS!A:A,PARAMETROS!I:I))</f>
        <v/>
      </c>
      <c r="F1792" s="3"/>
      <c r="G1792" s="3"/>
      <c r="H1792" s="3"/>
      <c r="I1792" s="3"/>
      <c r="J1792" s="3"/>
      <c r="K1792" s="3"/>
    </row>
  </sheetData>
  <sheetProtection algorithmName="SHA-512" hashValue="8mPOHjzADXT6isUpr4wud5n2mdrUUPnVcPS0nyJuy/qDMmWbmvtNHfu7YDV+JqgoOJjTAkKOcDz92/CEwltM9w==" saltValue="tA6RSmR17p+fGrZXLbFjpQ==" spinCount="100000" sheet="1" autoFilter="0"/>
  <protectedRanges>
    <protectedRange algorithmName="SHA-512" hashValue="2CfYRgjTsqFj0YDK8ubwUhWa/Fnn6aansuovVs65EV53wbdmt6l7dlpu0kbj4P49Rb4M8GjY3TIH+m10zh4w5Q==" saltValue="O+Scp+Kd8RhyhmETxA7PTg==" spinCount="100000" sqref="A9:L9" name="Range1"/>
  </protectedRanges>
  <autoFilter ref="A9:L491" xr:uid="{43E65873-736C-486C-A92B-50824622F23C}"/>
  <mergeCells count="3">
    <mergeCell ref="A8:I8"/>
    <mergeCell ref="A1:K7"/>
    <mergeCell ref="J8:L8"/>
  </mergeCells>
  <phoneticPr fontId="4" type="noConversion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3D7ED94-0E70-4B39-B759-F4131136C4EC}">
          <x14:formula1>
            <xm:f>PARAMETROS!$A$2:$A$98</xm:f>
          </x14:formula1>
          <xm:sqref>A492:A494</xm:sqref>
        </x14:dataValidation>
        <x14:dataValidation type="list" allowBlank="1" showInputMessage="1" showErrorMessage="1" xr:uid="{104DF667-500A-4F02-8A6E-DBB332CC909E}">
          <x14:formula1>
            <xm:f>PARAMETROS!$N$2:$N$4</xm:f>
          </x14:formula1>
          <xm:sqref>I10:I120 I122:I1792</xm:sqref>
        </x14:dataValidation>
        <x14:dataValidation type="list" allowBlank="1" showInputMessage="1" showErrorMessage="1" xr:uid="{EFFC23CC-FE84-4630-A520-B4624117E697}">
          <x14:formula1>
            <xm:f>PARAMETROS!$M$2:$M$7</xm:f>
          </x14:formula1>
          <xm:sqref>H10:H120 H1098:H1792 H122:H1096</xm:sqref>
        </x14:dataValidation>
        <x14:dataValidation type="list" allowBlank="1" showInputMessage="1" showErrorMessage="1" xr:uid="{BF0AB8A5-658D-4E30-81E0-899697696BC3}">
          <x14:formula1>
            <xm:f>PARAMETROS!$K$2:$K$6</xm:f>
          </x14:formula1>
          <xm:sqref>F10:F120 F122:F1792</xm:sqref>
        </x14:dataValidation>
        <x14:dataValidation type="list" allowBlank="1" showInputMessage="1" showErrorMessage="1" xr:uid="{FD27FF76-DDF2-4670-9367-6064F528AF46}">
          <x14:formula1>
            <xm:f>PARAMETROS!$L$2:$L$5</xm:f>
          </x14:formula1>
          <xm:sqref>G10:G120 G122:G1792</xm:sqref>
        </x14:dataValidation>
        <x14:dataValidation type="list" showInputMessage="1" showErrorMessage="1" xr:uid="{E734F677-E755-4012-8E3D-E2EE7211EE90}">
          <x14:formula1>
            <xm:f>PARAMETROS!$A$2:$A$233</xm:f>
          </x14:formula1>
          <xm:sqref>A10:A403 A420:A491 A414:A418</xm:sqref>
        </x14:dataValidation>
        <x14:dataValidation type="list" allowBlank="1" showInputMessage="1" showErrorMessage="1" xr:uid="{FB95F825-110B-4DC9-8F63-0D7A8B29080E}">
          <x14:formula1>
            <xm:f>PARAMETROS!$A$2:$A$233</xm:f>
          </x14:formula1>
          <xm:sqref>A495:A1792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EDB1-D3FD-4A7C-B650-A56726D6CBD4}">
  <dimension ref="A1:Y508"/>
  <sheetViews>
    <sheetView zoomScaleNormal="100" workbookViewId="0">
      <pane ySplit="9" topLeftCell="A10" activePane="bottomLeft" state="frozen"/>
      <selection pane="bottomLeft" activeCell="E16" sqref="E16"/>
    </sheetView>
  </sheetViews>
  <sheetFormatPr defaultRowHeight="15"/>
  <cols>
    <col min="1" max="1" width="50.42578125" bestFit="1" customWidth="1"/>
    <col min="2" max="2" width="14.28515625" bestFit="1" customWidth="1"/>
    <col min="3" max="4" width="14.28515625" customWidth="1"/>
    <col min="5" max="5" width="35.7109375" bestFit="1" customWidth="1"/>
    <col min="6" max="6" width="14.7109375" bestFit="1" customWidth="1"/>
    <col min="7" max="7" width="49.7109375" customWidth="1"/>
    <col min="8" max="8" width="20" bestFit="1" customWidth="1"/>
    <col min="9" max="9" width="39.85546875" customWidth="1"/>
  </cols>
  <sheetData>
    <row r="1" spans="1:25" ht="15" customHeight="1">
      <c r="A1" s="25" t="s">
        <v>1876</v>
      </c>
      <c r="B1" s="23"/>
      <c r="C1" s="23"/>
      <c r="D1" s="23"/>
      <c r="E1" s="23"/>
      <c r="F1" s="23"/>
      <c r="G1" s="23"/>
      <c r="H1" s="23"/>
      <c r="I1" s="23"/>
    </row>
    <row r="2" spans="1:25">
      <c r="A2" s="23"/>
      <c r="B2" s="23"/>
      <c r="C2" s="23"/>
      <c r="D2" s="23"/>
      <c r="E2" s="23"/>
      <c r="F2" s="23"/>
      <c r="G2" s="23"/>
      <c r="H2" s="23"/>
      <c r="I2" s="23"/>
    </row>
    <row r="3" spans="1:25">
      <c r="A3" s="23"/>
      <c r="B3" s="23"/>
      <c r="C3" s="23"/>
      <c r="D3" s="23"/>
      <c r="E3" s="23"/>
      <c r="F3" s="23"/>
      <c r="G3" s="23"/>
      <c r="H3" s="23"/>
      <c r="I3" s="23"/>
    </row>
    <row r="4" spans="1:25">
      <c r="A4" s="23"/>
      <c r="B4" s="23"/>
      <c r="C4" s="23"/>
      <c r="D4" s="23"/>
      <c r="E4" s="23"/>
      <c r="F4" s="23"/>
      <c r="G4" s="23"/>
      <c r="H4" s="23"/>
      <c r="I4" s="23"/>
    </row>
    <row r="5" spans="1:25">
      <c r="A5" s="23"/>
      <c r="B5" s="23"/>
      <c r="C5" s="23"/>
      <c r="D5" s="23"/>
      <c r="E5" s="23"/>
      <c r="F5" s="23"/>
      <c r="G5" s="23"/>
      <c r="H5" s="23"/>
      <c r="I5" s="23"/>
    </row>
    <row r="6" spans="1:25">
      <c r="A6" s="23"/>
      <c r="B6" s="23"/>
      <c r="C6" s="23"/>
      <c r="D6" s="23"/>
      <c r="E6" s="23"/>
      <c r="F6" s="23"/>
      <c r="G6" s="23"/>
      <c r="H6" s="23"/>
      <c r="I6" s="23"/>
    </row>
    <row r="7" spans="1:25">
      <c r="A7" s="23"/>
      <c r="B7" s="23"/>
      <c r="C7" s="23"/>
      <c r="D7" s="23"/>
      <c r="E7" s="23"/>
      <c r="F7" s="23"/>
      <c r="G7" s="23"/>
      <c r="H7" s="23"/>
      <c r="I7" s="23"/>
    </row>
    <row r="8" spans="1:25">
      <c r="A8" s="22" t="s">
        <v>861</v>
      </c>
      <c r="B8" s="22"/>
      <c r="C8" s="22"/>
      <c r="D8" s="22"/>
      <c r="E8" s="22"/>
      <c r="F8" s="22"/>
      <c r="G8" s="22"/>
      <c r="H8" s="22"/>
      <c r="I8" s="5"/>
    </row>
    <row r="9" spans="1:25">
      <c r="A9" s="4" t="s">
        <v>863</v>
      </c>
      <c r="B9" s="4" t="s">
        <v>1</v>
      </c>
      <c r="C9" s="4" t="s">
        <v>2</v>
      </c>
      <c r="D9" s="4" t="s">
        <v>4</v>
      </c>
      <c r="E9" s="4" t="s">
        <v>8</v>
      </c>
      <c r="F9" s="4" t="s">
        <v>9</v>
      </c>
      <c r="G9" s="4" t="s">
        <v>17</v>
      </c>
      <c r="H9" s="4" t="s">
        <v>1877</v>
      </c>
      <c r="I9" s="2" t="s">
        <v>21</v>
      </c>
    </row>
    <row r="10" spans="1:25">
      <c r="A10" s="3"/>
      <c r="B10" t="str">
        <f>IF(_xlfn.XLOOKUP(A10,PARAMETROS!A:A,PARAMETROS!B:B)=0,"",_xlfn.XLOOKUP(A10,PARAMETROS!A:A,PARAMETROS!B:B))</f>
        <v/>
      </c>
      <c r="C10" t="str">
        <f>IF(_xlfn.XLOOKUP(A10,PARAMETROS!A:A,PARAMETROS!C:C)=0,"",_xlfn.XLOOKUP(A10,PARAMETROS!A:A,PARAMETROS!C:C))</f>
        <v/>
      </c>
      <c r="D10" t="str">
        <f>IF(_xlfn.XLOOKUP(A10,PARAMETROS!A:A,PARAMETROS!E:E)=0,"",_xlfn.XLOOKUP(A10,PARAMETROS!A:A,PARAMETROS!E:E))</f>
        <v/>
      </c>
      <c r="E10" t="str">
        <f>IF(_xlfn.XLOOKUP('PREENCHIMENTO|NÃO-LETIVAS'!A10,PARAMETROS!A:A,PARAMETROS!I:I)=0,"",_xlfn.XLOOKUP('PREENCHIMENTO|NÃO-LETIVAS'!A10,PARAMETROS!A:A,PARAMETROS!I:I))</f>
        <v/>
      </c>
      <c r="F10" s="3"/>
      <c r="G10" s="3"/>
      <c r="H10" s="3"/>
      <c r="I10" s="3"/>
      <c r="Y10" s="6">
        <f>_xlfn.XLOOKUP(G:G,PARAMETROS!Y:Y,PARAMETROS!AD:AD)</f>
        <v>0</v>
      </c>
    </row>
    <row r="11" spans="1:25">
      <c r="A11" s="3"/>
      <c r="B11" t="str">
        <f>IF(_xlfn.XLOOKUP(A11,PARAMETROS!A:A,PARAMETROS!B:B)=0,"",_xlfn.XLOOKUP(A11,PARAMETROS!A:A,PARAMETROS!B:B))</f>
        <v/>
      </c>
      <c r="C11" t="str">
        <f>IF(_xlfn.XLOOKUP(A11,PARAMETROS!A:A,PARAMETROS!C:C)=0,"",_xlfn.XLOOKUP(A11,PARAMETROS!A:A,PARAMETROS!C:C))</f>
        <v/>
      </c>
      <c r="D11" t="str">
        <f>IF(_xlfn.XLOOKUP(A11,PARAMETROS!A:A,PARAMETROS!E:E)=0,"",_xlfn.XLOOKUP(A11,PARAMETROS!A:A,PARAMETROS!E:E))</f>
        <v/>
      </c>
      <c r="E11" t="str">
        <f>IF(_xlfn.XLOOKUP('PREENCHIMENTO|NÃO-LETIVAS'!A11,PARAMETROS!A:A,PARAMETROS!I:I)=0,"",_xlfn.XLOOKUP('PREENCHIMENTO|NÃO-LETIVAS'!A11,PARAMETROS!A:A,PARAMETROS!I:I))</f>
        <v/>
      </c>
      <c r="F11" s="3"/>
      <c r="G11" s="3"/>
      <c r="H11" s="3"/>
      <c r="I11" s="3"/>
      <c r="Y11" s="6">
        <f>_xlfn.XLOOKUP(G:G,PARAMETROS!Y:Y,PARAMETROS!AD:AD)</f>
        <v>0</v>
      </c>
    </row>
    <row r="12" spans="1:25">
      <c r="A12" s="3"/>
      <c r="B12" t="str">
        <f>IF(_xlfn.XLOOKUP(A12,PARAMETROS!A:A,PARAMETROS!B:B)=0,"",_xlfn.XLOOKUP(A12,PARAMETROS!A:A,PARAMETROS!B:B))</f>
        <v/>
      </c>
      <c r="C12" t="str">
        <f>IF(_xlfn.XLOOKUP(A12,PARAMETROS!A:A,PARAMETROS!C:C)=0,"",_xlfn.XLOOKUP(A12,PARAMETROS!A:A,PARAMETROS!C:C))</f>
        <v/>
      </c>
      <c r="D12" t="str">
        <f>IF(_xlfn.XLOOKUP(A12,PARAMETROS!A:A,PARAMETROS!E:E)=0,"",_xlfn.XLOOKUP(A12,PARAMETROS!A:A,PARAMETROS!E:E))</f>
        <v/>
      </c>
      <c r="E12" t="str">
        <f>IF(_xlfn.XLOOKUP('PREENCHIMENTO|NÃO-LETIVAS'!A12,PARAMETROS!A:A,PARAMETROS!I:I)=0,"",_xlfn.XLOOKUP('PREENCHIMENTO|NÃO-LETIVAS'!A12,PARAMETROS!A:A,PARAMETROS!I:I))</f>
        <v/>
      </c>
      <c r="F12" s="3"/>
      <c r="G12" s="3"/>
      <c r="H12" s="3"/>
      <c r="I12" s="3"/>
      <c r="Y12" s="6">
        <f>_xlfn.XLOOKUP(G:G,PARAMETROS!Y:Y,PARAMETROS!AD:AD)</f>
        <v>0</v>
      </c>
    </row>
    <row r="13" spans="1:25">
      <c r="A13" s="3"/>
      <c r="B13" t="str">
        <f>IF(_xlfn.XLOOKUP(A13,PARAMETROS!A:A,PARAMETROS!B:B)=0,"",_xlfn.XLOOKUP(A13,PARAMETROS!A:A,PARAMETROS!B:B))</f>
        <v/>
      </c>
      <c r="C13" t="str">
        <f>IF(_xlfn.XLOOKUP(A13,PARAMETROS!A:A,PARAMETROS!C:C)=0,"",_xlfn.XLOOKUP(A13,PARAMETROS!A:A,PARAMETROS!C:C))</f>
        <v/>
      </c>
      <c r="D13" t="str">
        <f>IF(_xlfn.XLOOKUP(A13,PARAMETROS!A:A,PARAMETROS!E:E)=0,"",_xlfn.XLOOKUP(A13,PARAMETROS!A:A,PARAMETROS!E:E))</f>
        <v/>
      </c>
      <c r="E13" t="str">
        <f>IF(_xlfn.XLOOKUP('PREENCHIMENTO|NÃO-LETIVAS'!A13,PARAMETROS!A:A,PARAMETROS!I:I)=0,"",_xlfn.XLOOKUP('PREENCHIMENTO|NÃO-LETIVAS'!A13,PARAMETROS!A:A,PARAMETROS!I:I))</f>
        <v/>
      </c>
      <c r="F13" s="3"/>
      <c r="G13" s="3"/>
      <c r="H13" s="3"/>
      <c r="I13" s="3"/>
      <c r="Y13" s="6">
        <f>_xlfn.XLOOKUP(G:G,PARAMETROS!Y:Y,PARAMETROS!AD:AD)</f>
        <v>0</v>
      </c>
    </row>
    <row r="14" spans="1:25">
      <c r="A14" s="3"/>
      <c r="B14" t="str">
        <f>IF(_xlfn.XLOOKUP(A14,PARAMETROS!A:A,PARAMETROS!B:B)=0,"",_xlfn.XLOOKUP(A14,PARAMETROS!A:A,PARAMETROS!B:B))</f>
        <v/>
      </c>
      <c r="C14" t="str">
        <f>IF(_xlfn.XLOOKUP(A14,PARAMETROS!A:A,PARAMETROS!C:C)=0,"",_xlfn.XLOOKUP(A14,PARAMETROS!A:A,PARAMETROS!C:C))</f>
        <v/>
      </c>
      <c r="D14" t="str">
        <f>IF(_xlfn.XLOOKUP(A14,PARAMETROS!A:A,PARAMETROS!E:E)=0,"",_xlfn.XLOOKUP(A14,PARAMETROS!A:A,PARAMETROS!E:E))</f>
        <v/>
      </c>
      <c r="E14" t="str">
        <f>IF(_xlfn.XLOOKUP('PREENCHIMENTO|NÃO-LETIVAS'!A14,PARAMETROS!A:A,PARAMETROS!I:I)=0,"",_xlfn.XLOOKUP('PREENCHIMENTO|NÃO-LETIVAS'!A14,PARAMETROS!A:A,PARAMETROS!I:I))</f>
        <v/>
      </c>
      <c r="F14" s="3"/>
      <c r="G14" s="3"/>
      <c r="H14" s="3"/>
      <c r="I14" s="3"/>
      <c r="Y14" s="6">
        <f>_xlfn.XLOOKUP(G:G,PARAMETROS!Y:Y,PARAMETROS!AD:AD)</f>
        <v>0</v>
      </c>
    </row>
    <row r="15" spans="1:25">
      <c r="A15" s="3"/>
      <c r="B15" t="str">
        <f>IF(_xlfn.XLOOKUP(A15,PARAMETROS!A:A,PARAMETROS!B:B)=0,"",_xlfn.XLOOKUP(A15,PARAMETROS!A:A,PARAMETROS!B:B))</f>
        <v/>
      </c>
      <c r="C15" t="str">
        <f>IF(_xlfn.XLOOKUP(A15,PARAMETROS!A:A,PARAMETROS!C:C)=0,"",_xlfn.XLOOKUP(A15,PARAMETROS!A:A,PARAMETROS!C:C))</f>
        <v/>
      </c>
      <c r="D15" t="str">
        <f>IF(_xlfn.XLOOKUP(A15,PARAMETROS!A:A,PARAMETROS!E:E)=0,"",_xlfn.XLOOKUP(A15,PARAMETROS!A:A,PARAMETROS!E:E))</f>
        <v/>
      </c>
      <c r="E15" t="str">
        <f>IF(_xlfn.XLOOKUP('PREENCHIMENTO|NÃO-LETIVAS'!A15,PARAMETROS!A:A,PARAMETROS!I:I)=0,"",_xlfn.XLOOKUP('PREENCHIMENTO|NÃO-LETIVAS'!A15,PARAMETROS!A:A,PARAMETROS!I:I))</f>
        <v/>
      </c>
      <c r="F15" s="3"/>
      <c r="G15" s="3"/>
      <c r="H15" s="3"/>
      <c r="I15" s="3"/>
      <c r="Y15" s="6">
        <f>_xlfn.XLOOKUP(G:G,PARAMETROS!Y:Y,PARAMETROS!AD:AD)</f>
        <v>0</v>
      </c>
    </row>
    <row r="16" spans="1:25">
      <c r="A16" s="3"/>
      <c r="B16" t="str">
        <f>IF(_xlfn.XLOOKUP(A16,PARAMETROS!A:A,PARAMETROS!B:B)=0,"",_xlfn.XLOOKUP(A16,PARAMETROS!A:A,PARAMETROS!B:B))</f>
        <v/>
      </c>
      <c r="C16" t="str">
        <f>IF(_xlfn.XLOOKUP(A16,PARAMETROS!A:A,PARAMETROS!C:C)=0,"",_xlfn.XLOOKUP(A16,PARAMETROS!A:A,PARAMETROS!C:C))</f>
        <v/>
      </c>
      <c r="D16" t="str">
        <f>IF(_xlfn.XLOOKUP(A16,PARAMETROS!A:A,PARAMETROS!E:E)=0,"",_xlfn.XLOOKUP(A16,PARAMETROS!A:A,PARAMETROS!E:E))</f>
        <v/>
      </c>
      <c r="E16" t="str">
        <f>IF(_xlfn.XLOOKUP('PREENCHIMENTO|NÃO-LETIVAS'!A16,PARAMETROS!A:A,PARAMETROS!I:I)=0,"",_xlfn.XLOOKUP('PREENCHIMENTO|NÃO-LETIVAS'!A16,PARAMETROS!A:A,PARAMETROS!I:I))</f>
        <v/>
      </c>
      <c r="F16" s="3"/>
      <c r="G16" s="3"/>
      <c r="H16" s="3"/>
      <c r="I16" s="3"/>
      <c r="Y16" s="6">
        <f>_xlfn.XLOOKUP(G:G,PARAMETROS!Y:Y,PARAMETROS!AD:AD)</f>
        <v>0</v>
      </c>
    </row>
    <row r="17" spans="1:25">
      <c r="A17" s="3"/>
      <c r="B17" t="str">
        <f>IF(_xlfn.XLOOKUP(A17,PARAMETROS!A:A,PARAMETROS!B:B)=0,"",_xlfn.XLOOKUP(A17,PARAMETROS!A:A,PARAMETROS!B:B))</f>
        <v/>
      </c>
      <c r="C17" t="str">
        <f>IF(_xlfn.XLOOKUP(A17,PARAMETROS!A:A,PARAMETROS!C:C)=0,"",_xlfn.XLOOKUP(A17,PARAMETROS!A:A,PARAMETROS!C:C))</f>
        <v/>
      </c>
      <c r="D17" t="str">
        <f>IF(_xlfn.XLOOKUP(A17,PARAMETROS!A:A,PARAMETROS!E:E)=0,"",_xlfn.XLOOKUP(A17,PARAMETROS!A:A,PARAMETROS!E:E))</f>
        <v/>
      </c>
      <c r="E17" t="str">
        <f>IF(_xlfn.XLOOKUP('PREENCHIMENTO|NÃO-LETIVAS'!A17,PARAMETROS!A:A,PARAMETROS!I:I)=0,"",_xlfn.XLOOKUP('PREENCHIMENTO|NÃO-LETIVAS'!A17,PARAMETROS!A:A,PARAMETROS!I:I))</f>
        <v/>
      </c>
      <c r="F17" s="3"/>
      <c r="G17" s="3"/>
      <c r="H17" s="3"/>
      <c r="I17" s="3"/>
      <c r="Y17" s="6">
        <f>_xlfn.XLOOKUP(G:G,PARAMETROS!Y:Y,PARAMETROS!AD:AD)</f>
        <v>0</v>
      </c>
    </row>
    <row r="18" spans="1:25">
      <c r="A18" s="3"/>
      <c r="B18" t="str">
        <f>IF(_xlfn.XLOOKUP(A18,PARAMETROS!A:A,PARAMETROS!B:B)=0,"",_xlfn.XLOOKUP(A18,PARAMETROS!A:A,PARAMETROS!B:B))</f>
        <v/>
      </c>
      <c r="C18" t="str">
        <f>IF(_xlfn.XLOOKUP(A18,PARAMETROS!A:A,PARAMETROS!C:C)=0,"",_xlfn.XLOOKUP(A18,PARAMETROS!A:A,PARAMETROS!C:C))</f>
        <v/>
      </c>
      <c r="D18" t="str">
        <f>IF(_xlfn.XLOOKUP(A18,PARAMETROS!A:A,PARAMETROS!E:E)=0,"",_xlfn.XLOOKUP(A18,PARAMETROS!A:A,PARAMETROS!E:E))</f>
        <v/>
      </c>
      <c r="E18" t="str">
        <f>IF(_xlfn.XLOOKUP('PREENCHIMENTO|NÃO-LETIVAS'!A18,PARAMETROS!A:A,PARAMETROS!I:I)=0,"",_xlfn.XLOOKUP('PREENCHIMENTO|NÃO-LETIVAS'!A18,PARAMETROS!A:A,PARAMETROS!I:I))</f>
        <v/>
      </c>
      <c r="F18" s="3"/>
      <c r="G18" s="3"/>
      <c r="H18" s="3"/>
      <c r="I18" s="3"/>
      <c r="Y18" s="6">
        <f>_xlfn.XLOOKUP(G:G,PARAMETROS!Y:Y,PARAMETROS!AD:AD)</f>
        <v>0</v>
      </c>
    </row>
    <row r="19" spans="1:25">
      <c r="A19" s="3"/>
      <c r="B19" t="str">
        <f>IF(_xlfn.XLOOKUP(A19,PARAMETROS!A:A,PARAMETROS!B:B)=0,"",_xlfn.XLOOKUP(A19,PARAMETROS!A:A,PARAMETROS!B:B))</f>
        <v/>
      </c>
      <c r="C19" t="str">
        <f>IF(_xlfn.XLOOKUP(A19,PARAMETROS!A:A,PARAMETROS!C:C)=0,"",_xlfn.XLOOKUP(A19,PARAMETROS!A:A,PARAMETROS!C:C))</f>
        <v/>
      </c>
      <c r="D19" t="str">
        <f>IF(_xlfn.XLOOKUP(A19,PARAMETROS!A:A,PARAMETROS!E:E)=0,"",_xlfn.XLOOKUP(A19,PARAMETROS!A:A,PARAMETROS!E:E))</f>
        <v/>
      </c>
      <c r="E19" t="str">
        <f>IF(_xlfn.XLOOKUP('PREENCHIMENTO|NÃO-LETIVAS'!A19,PARAMETROS!A:A,PARAMETROS!I:I)=0,"",_xlfn.XLOOKUP('PREENCHIMENTO|NÃO-LETIVAS'!A19,PARAMETROS!A:A,PARAMETROS!I:I))</f>
        <v/>
      </c>
      <c r="F19" s="3"/>
      <c r="G19" s="3"/>
      <c r="H19" s="3"/>
      <c r="I19" s="3"/>
      <c r="Y19" s="6">
        <f>_xlfn.XLOOKUP(G:G,PARAMETROS!Y:Y,PARAMETROS!AD:AD)</f>
        <v>0</v>
      </c>
    </row>
    <row r="20" spans="1:25">
      <c r="A20" s="3"/>
      <c r="B20" t="str">
        <f>IF(_xlfn.XLOOKUP(A20,PARAMETROS!A:A,PARAMETROS!B:B)=0,"",_xlfn.XLOOKUP(A20,PARAMETROS!A:A,PARAMETROS!B:B))</f>
        <v/>
      </c>
      <c r="C20" t="str">
        <f>IF(_xlfn.XLOOKUP(A20,PARAMETROS!A:A,PARAMETROS!C:C)=0,"",_xlfn.XLOOKUP(A20,PARAMETROS!A:A,PARAMETROS!C:C))</f>
        <v/>
      </c>
      <c r="D20" t="str">
        <f>IF(_xlfn.XLOOKUP(A20,PARAMETROS!A:A,PARAMETROS!E:E)=0,"",_xlfn.XLOOKUP(A20,PARAMETROS!A:A,PARAMETROS!E:E))</f>
        <v/>
      </c>
      <c r="E20" t="str">
        <f>IF(_xlfn.XLOOKUP('PREENCHIMENTO|NÃO-LETIVAS'!A20,PARAMETROS!A:A,PARAMETROS!I:I)=0,"",_xlfn.XLOOKUP('PREENCHIMENTO|NÃO-LETIVAS'!A20,PARAMETROS!A:A,PARAMETROS!I:I))</f>
        <v/>
      </c>
      <c r="F20" s="3"/>
      <c r="G20" s="3"/>
      <c r="H20" s="3"/>
      <c r="I20" s="3"/>
      <c r="Y20" s="6">
        <f>_xlfn.XLOOKUP(G:G,PARAMETROS!Y:Y,PARAMETROS!AD:AD)</f>
        <v>0</v>
      </c>
    </row>
    <row r="21" spans="1:25">
      <c r="A21" s="3"/>
      <c r="B21" t="str">
        <f>IF(_xlfn.XLOOKUP(A21,PARAMETROS!A:A,PARAMETROS!B:B)=0,"",_xlfn.XLOOKUP(A21,PARAMETROS!A:A,PARAMETROS!B:B))</f>
        <v/>
      </c>
      <c r="C21" t="str">
        <f>IF(_xlfn.XLOOKUP(A21,PARAMETROS!A:A,PARAMETROS!C:C)=0,"",_xlfn.XLOOKUP(A21,PARAMETROS!A:A,PARAMETROS!C:C))</f>
        <v/>
      </c>
      <c r="D21" t="str">
        <f>IF(_xlfn.XLOOKUP(A21,PARAMETROS!A:A,PARAMETROS!E:E)=0,"",_xlfn.XLOOKUP(A21,PARAMETROS!A:A,PARAMETROS!E:E))</f>
        <v/>
      </c>
      <c r="E21" t="str">
        <f>IF(_xlfn.XLOOKUP('PREENCHIMENTO|NÃO-LETIVAS'!A21,PARAMETROS!A:A,PARAMETROS!I:I)=0,"",_xlfn.XLOOKUP('PREENCHIMENTO|NÃO-LETIVAS'!A21,PARAMETROS!A:A,PARAMETROS!I:I))</f>
        <v/>
      </c>
      <c r="F21" s="3"/>
      <c r="G21" s="3"/>
      <c r="H21" s="3"/>
      <c r="I21" s="3"/>
      <c r="Y21" s="6">
        <f>_xlfn.XLOOKUP(G:G,PARAMETROS!Y:Y,PARAMETROS!AD:AD)</f>
        <v>0</v>
      </c>
    </row>
    <row r="22" spans="1:25">
      <c r="A22" s="3"/>
      <c r="B22" t="str">
        <f>IF(_xlfn.XLOOKUP(A22,PARAMETROS!A:A,PARAMETROS!B:B)=0,"",_xlfn.XLOOKUP(A22,PARAMETROS!A:A,PARAMETROS!B:B))</f>
        <v/>
      </c>
      <c r="C22" t="str">
        <f>IF(_xlfn.XLOOKUP(A22,PARAMETROS!A:A,PARAMETROS!C:C)=0,"",_xlfn.XLOOKUP(A22,PARAMETROS!A:A,PARAMETROS!C:C))</f>
        <v/>
      </c>
      <c r="D22" t="str">
        <f>IF(_xlfn.XLOOKUP(A22,PARAMETROS!A:A,PARAMETROS!E:E)=0,"",_xlfn.XLOOKUP(A22,PARAMETROS!A:A,PARAMETROS!E:E))</f>
        <v/>
      </c>
      <c r="E22" t="str">
        <f>IF(_xlfn.XLOOKUP('PREENCHIMENTO|NÃO-LETIVAS'!A22,PARAMETROS!A:A,PARAMETROS!I:I)=0,"",_xlfn.XLOOKUP('PREENCHIMENTO|NÃO-LETIVAS'!A22,PARAMETROS!A:A,PARAMETROS!I:I))</f>
        <v/>
      </c>
      <c r="F22" s="3"/>
      <c r="G22" s="3"/>
      <c r="H22" s="3"/>
      <c r="I22" s="3"/>
      <c r="Y22" s="6">
        <f>_xlfn.XLOOKUP(G:G,PARAMETROS!Y:Y,PARAMETROS!AD:AD)</f>
        <v>0</v>
      </c>
    </row>
    <row r="23" spans="1:25">
      <c r="A23" s="3"/>
      <c r="B23" t="str">
        <f>IF(_xlfn.XLOOKUP(A23,PARAMETROS!A:A,PARAMETROS!B:B)=0,"",_xlfn.XLOOKUP(A23,PARAMETROS!A:A,PARAMETROS!B:B))</f>
        <v/>
      </c>
      <c r="C23" t="str">
        <f>IF(_xlfn.XLOOKUP(A23,PARAMETROS!A:A,PARAMETROS!C:C)=0,"",_xlfn.XLOOKUP(A23,PARAMETROS!A:A,PARAMETROS!C:C))</f>
        <v/>
      </c>
      <c r="D23" t="str">
        <f>IF(_xlfn.XLOOKUP(A23,PARAMETROS!A:A,PARAMETROS!E:E)=0,"",_xlfn.XLOOKUP(A23,PARAMETROS!A:A,PARAMETROS!E:E))</f>
        <v/>
      </c>
      <c r="E23" t="str">
        <f>IF(_xlfn.XLOOKUP('PREENCHIMENTO|NÃO-LETIVAS'!A23,PARAMETROS!A:A,PARAMETROS!I:I)=0,"",_xlfn.XLOOKUP('PREENCHIMENTO|NÃO-LETIVAS'!A23,PARAMETROS!A:A,PARAMETROS!I:I))</f>
        <v/>
      </c>
      <c r="F23" s="3"/>
      <c r="G23" s="3"/>
      <c r="H23" s="3"/>
      <c r="I23" s="3"/>
      <c r="Y23" s="6">
        <f>_xlfn.XLOOKUP(G:G,PARAMETROS!Y:Y,PARAMETROS!AD:AD)</f>
        <v>0</v>
      </c>
    </row>
    <row r="24" spans="1:25">
      <c r="A24" s="3"/>
      <c r="B24" t="str">
        <f>IF(_xlfn.XLOOKUP(A24,PARAMETROS!A:A,PARAMETROS!B:B)=0,"",_xlfn.XLOOKUP(A24,PARAMETROS!A:A,PARAMETROS!B:B))</f>
        <v/>
      </c>
      <c r="C24" t="str">
        <f>IF(_xlfn.XLOOKUP(A24,PARAMETROS!A:A,PARAMETROS!C:C)=0,"",_xlfn.XLOOKUP(A24,PARAMETROS!A:A,PARAMETROS!C:C))</f>
        <v/>
      </c>
      <c r="D24" t="str">
        <f>IF(_xlfn.XLOOKUP(A24,PARAMETROS!A:A,PARAMETROS!E:E)=0,"",_xlfn.XLOOKUP(A24,PARAMETROS!A:A,PARAMETROS!E:E))</f>
        <v/>
      </c>
      <c r="E24" t="str">
        <f>IF(_xlfn.XLOOKUP('PREENCHIMENTO|NÃO-LETIVAS'!A24,PARAMETROS!A:A,PARAMETROS!I:I)=0,"",_xlfn.XLOOKUP('PREENCHIMENTO|NÃO-LETIVAS'!A24,PARAMETROS!A:A,PARAMETROS!I:I))</f>
        <v/>
      </c>
      <c r="F24" s="3"/>
      <c r="G24" s="3"/>
      <c r="H24" s="3"/>
      <c r="I24" s="3"/>
      <c r="Y24" s="6">
        <f>_xlfn.XLOOKUP(G:G,PARAMETROS!Y:Y,PARAMETROS!AD:AD)</f>
        <v>0</v>
      </c>
    </row>
    <row r="25" spans="1:25">
      <c r="A25" s="3"/>
      <c r="B25" t="str">
        <f>IF(_xlfn.XLOOKUP(A25,PARAMETROS!A:A,PARAMETROS!B:B)=0,"",_xlfn.XLOOKUP(A25,PARAMETROS!A:A,PARAMETROS!B:B))</f>
        <v/>
      </c>
      <c r="C25" t="str">
        <f>IF(_xlfn.XLOOKUP(A25,PARAMETROS!A:A,PARAMETROS!C:C)=0,"",_xlfn.XLOOKUP(A25,PARAMETROS!A:A,PARAMETROS!C:C))</f>
        <v/>
      </c>
      <c r="D25" t="str">
        <f>IF(_xlfn.XLOOKUP(A25,PARAMETROS!A:A,PARAMETROS!E:E)=0,"",_xlfn.XLOOKUP(A25,PARAMETROS!A:A,PARAMETROS!E:E))</f>
        <v/>
      </c>
      <c r="E25" t="str">
        <f>IF(_xlfn.XLOOKUP('PREENCHIMENTO|NÃO-LETIVAS'!A25,PARAMETROS!A:A,PARAMETROS!I:I)=0,"",_xlfn.XLOOKUP('PREENCHIMENTO|NÃO-LETIVAS'!A25,PARAMETROS!A:A,PARAMETROS!I:I))</f>
        <v/>
      </c>
      <c r="F25" s="3"/>
      <c r="G25" s="3"/>
      <c r="H25" s="3"/>
      <c r="I25" s="3"/>
      <c r="Y25" s="6">
        <f>_xlfn.XLOOKUP(G:G,PARAMETROS!Y:Y,PARAMETROS!AD:AD)</f>
        <v>0</v>
      </c>
    </row>
    <row r="26" spans="1:25">
      <c r="A26" s="3"/>
      <c r="B26" t="str">
        <f>IF(_xlfn.XLOOKUP(A26,PARAMETROS!A:A,PARAMETROS!B:B)=0,"",_xlfn.XLOOKUP(A26,PARAMETROS!A:A,PARAMETROS!B:B))</f>
        <v/>
      </c>
      <c r="C26" t="str">
        <f>IF(_xlfn.XLOOKUP(A26,PARAMETROS!A:A,PARAMETROS!C:C)=0,"",_xlfn.XLOOKUP(A26,PARAMETROS!A:A,PARAMETROS!C:C))</f>
        <v/>
      </c>
      <c r="D26" t="str">
        <f>IF(_xlfn.XLOOKUP(A26,PARAMETROS!A:A,PARAMETROS!E:E)=0,"",_xlfn.XLOOKUP(A26,PARAMETROS!A:A,PARAMETROS!E:E))</f>
        <v/>
      </c>
      <c r="E26" t="str">
        <f>IF(_xlfn.XLOOKUP('PREENCHIMENTO|NÃO-LETIVAS'!A26,PARAMETROS!A:A,PARAMETROS!I:I)=0,"",_xlfn.XLOOKUP('PREENCHIMENTO|NÃO-LETIVAS'!A26,PARAMETROS!A:A,PARAMETROS!I:I))</f>
        <v/>
      </c>
      <c r="F26" s="3"/>
      <c r="G26" s="3"/>
      <c r="H26" s="3"/>
      <c r="I26" s="3"/>
      <c r="Y26" s="6">
        <f>_xlfn.XLOOKUP(G:G,PARAMETROS!Y:Y,PARAMETROS!AD:AD)</f>
        <v>0</v>
      </c>
    </row>
    <row r="27" spans="1:25">
      <c r="A27" s="3"/>
      <c r="B27" t="str">
        <f>IF(_xlfn.XLOOKUP(A27,PARAMETROS!A:A,PARAMETROS!B:B)=0,"",_xlfn.XLOOKUP(A27,PARAMETROS!A:A,PARAMETROS!B:B))</f>
        <v/>
      </c>
      <c r="C27" t="str">
        <f>IF(_xlfn.XLOOKUP(A27,PARAMETROS!A:A,PARAMETROS!C:C)=0,"",_xlfn.XLOOKUP(A27,PARAMETROS!A:A,PARAMETROS!C:C))</f>
        <v/>
      </c>
      <c r="D27" t="str">
        <f>IF(_xlfn.XLOOKUP(A27,PARAMETROS!A:A,PARAMETROS!E:E)=0,"",_xlfn.XLOOKUP(A27,PARAMETROS!A:A,PARAMETROS!E:E))</f>
        <v/>
      </c>
      <c r="E27" t="str">
        <f>IF(_xlfn.XLOOKUP('PREENCHIMENTO|NÃO-LETIVAS'!A27,PARAMETROS!A:A,PARAMETROS!I:I)=0,"",_xlfn.XLOOKUP('PREENCHIMENTO|NÃO-LETIVAS'!A27,PARAMETROS!A:A,PARAMETROS!I:I))</f>
        <v/>
      </c>
      <c r="F27" s="3"/>
      <c r="G27" s="3"/>
      <c r="H27" s="3"/>
      <c r="I27" s="3"/>
      <c r="Y27" s="6">
        <f>_xlfn.XLOOKUP(G:G,PARAMETROS!Y:Y,PARAMETROS!AD:AD)</f>
        <v>0</v>
      </c>
    </row>
    <row r="28" spans="1:25">
      <c r="A28" s="3"/>
      <c r="B28" t="str">
        <f>IF(_xlfn.XLOOKUP(A28,PARAMETROS!A:A,PARAMETROS!B:B)=0,"",_xlfn.XLOOKUP(A28,PARAMETROS!A:A,PARAMETROS!B:B))</f>
        <v/>
      </c>
      <c r="C28" t="str">
        <f>IF(_xlfn.XLOOKUP(A28,PARAMETROS!A:A,PARAMETROS!C:C)=0,"",_xlfn.XLOOKUP(A28,PARAMETROS!A:A,PARAMETROS!C:C))</f>
        <v/>
      </c>
      <c r="D28" t="str">
        <f>IF(_xlfn.XLOOKUP(A28,PARAMETROS!A:A,PARAMETROS!E:E)=0,"",_xlfn.XLOOKUP(A28,PARAMETROS!A:A,PARAMETROS!E:E))</f>
        <v/>
      </c>
      <c r="E28" t="str">
        <f>IF(_xlfn.XLOOKUP('PREENCHIMENTO|NÃO-LETIVAS'!A28,PARAMETROS!A:A,PARAMETROS!I:I)=0,"",_xlfn.XLOOKUP('PREENCHIMENTO|NÃO-LETIVAS'!A28,PARAMETROS!A:A,PARAMETROS!I:I))</f>
        <v/>
      </c>
      <c r="F28" s="3"/>
      <c r="G28" s="3"/>
      <c r="H28" s="3"/>
      <c r="I28" s="3"/>
      <c r="Y28" s="6">
        <f>_xlfn.XLOOKUP(G:G,PARAMETROS!Y:Y,PARAMETROS!AD:AD)</f>
        <v>0</v>
      </c>
    </row>
    <row r="29" spans="1:25">
      <c r="A29" s="3"/>
      <c r="B29" t="str">
        <f>IF(_xlfn.XLOOKUP(A29,PARAMETROS!A:A,PARAMETROS!B:B)=0,"",_xlfn.XLOOKUP(A29,PARAMETROS!A:A,PARAMETROS!B:B))</f>
        <v/>
      </c>
      <c r="C29" t="str">
        <f>IF(_xlfn.XLOOKUP(A29,PARAMETROS!A:A,PARAMETROS!C:C)=0,"",_xlfn.XLOOKUP(A29,PARAMETROS!A:A,PARAMETROS!C:C))</f>
        <v/>
      </c>
      <c r="D29" t="str">
        <f>IF(_xlfn.XLOOKUP(A29,PARAMETROS!A:A,PARAMETROS!E:E)=0,"",_xlfn.XLOOKUP(A29,PARAMETROS!A:A,PARAMETROS!E:E))</f>
        <v/>
      </c>
      <c r="E29" t="str">
        <f>IF(_xlfn.XLOOKUP('PREENCHIMENTO|NÃO-LETIVAS'!A29,PARAMETROS!A:A,PARAMETROS!I:I)=0,"",_xlfn.XLOOKUP('PREENCHIMENTO|NÃO-LETIVAS'!A29,PARAMETROS!A:A,PARAMETROS!I:I))</f>
        <v/>
      </c>
      <c r="F29" s="3"/>
      <c r="G29" s="3"/>
      <c r="H29" s="3"/>
      <c r="I29" s="3"/>
      <c r="Y29" s="6">
        <f>_xlfn.XLOOKUP(G:G,PARAMETROS!Y:Y,PARAMETROS!AD:AD)</f>
        <v>0</v>
      </c>
    </row>
    <row r="30" spans="1:25">
      <c r="A30" s="3"/>
      <c r="B30" t="str">
        <f>IF(_xlfn.XLOOKUP(A30,PARAMETROS!A:A,PARAMETROS!B:B)=0,"",_xlfn.XLOOKUP(A30,PARAMETROS!A:A,PARAMETROS!B:B))</f>
        <v/>
      </c>
      <c r="C30" t="str">
        <f>IF(_xlfn.XLOOKUP(A30,PARAMETROS!A:A,PARAMETROS!C:C)=0,"",_xlfn.XLOOKUP(A30,PARAMETROS!A:A,PARAMETROS!C:C))</f>
        <v/>
      </c>
      <c r="D30" t="str">
        <f>IF(_xlfn.XLOOKUP(A30,PARAMETROS!A:A,PARAMETROS!E:E)=0,"",_xlfn.XLOOKUP(A30,PARAMETROS!A:A,PARAMETROS!E:E))</f>
        <v/>
      </c>
      <c r="E30" t="str">
        <f>IF(_xlfn.XLOOKUP('PREENCHIMENTO|NÃO-LETIVAS'!A30,PARAMETROS!A:A,PARAMETROS!I:I)=0,"",_xlfn.XLOOKUP('PREENCHIMENTO|NÃO-LETIVAS'!A30,PARAMETROS!A:A,PARAMETROS!I:I))</f>
        <v/>
      </c>
      <c r="F30" s="3"/>
      <c r="G30" s="3"/>
      <c r="H30" s="3"/>
      <c r="I30" s="3"/>
      <c r="Y30" s="6">
        <f>_xlfn.XLOOKUP(G:G,PARAMETROS!Y:Y,PARAMETROS!AD:AD)</f>
        <v>0</v>
      </c>
    </row>
    <row r="31" spans="1:25">
      <c r="A31" s="3"/>
      <c r="B31" t="str">
        <f>IF(_xlfn.XLOOKUP(A31,PARAMETROS!A:A,PARAMETROS!B:B)=0,"",_xlfn.XLOOKUP(A31,PARAMETROS!A:A,PARAMETROS!B:B))</f>
        <v/>
      </c>
      <c r="C31" t="str">
        <f>IF(_xlfn.XLOOKUP(A31,PARAMETROS!A:A,PARAMETROS!C:C)=0,"",_xlfn.XLOOKUP(A31,PARAMETROS!A:A,PARAMETROS!C:C))</f>
        <v/>
      </c>
      <c r="D31" t="str">
        <f>IF(_xlfn.XLOOKUP(A31,PARAMETROS!A:A,PARAMETROS!E:E)=0,"",_xlfn.XLOOKUP(A31,PARAMETROS!A:A,PARAMETROS!E:E))</f>
        <v/>
      </c>
      <c r="E31" t="str">
        <f>IF(_xlfn.XLOOKUP('PREENCHIMENTO|NÃO-LETIVAS'!A31,PARAMETROS!A:A,PARAMETROS!I:I)=0,"",_xlfn.XLOOKUP('PREENCHIMENTO|NÃO-LETIVAS'!A31,PARAMETROS!A:A,PARAMETROS!I:I))</f>
        <v/>
      </c>
      <c r="F31" s="3"/>
      <c r="G31" s="3"/>
      <c r="H31" s="3"/>
      <c r="I31" s="3"/>
      <c r="Y31" s="6">
        <f>_xlfn.XLOOKUP(G:G,PARAMETROS!Y:Y,PARAMETROS!AD:AD)</f>
        <v>0</v>
      </c>
    </row>
    <row r="32" spans="1:25">
      <c r="A32" s="3"/>
      <c r="B32" t="str">
        <f>IF(_xlfn.XLOOKUP(A32,PARAMETROS!A:A,PARAMETROS!B:B)=0,"",_xlfn.XLOOKUP(A32,PARAMETROS!A:A,PARAMETROS!B:B))</f>
        <v/>
      </c>
      <c r="C32" t="str">
        <f>IF(_xlfn.XLOOKUP(A32,PARAMETROS!A:A,PARAMETROS!C:C)=0,"",_xlfn.XLOOKUP(A32,PARAMETROS!A:A,PARAMETROS!C:C))</f>
        <v/>
      </c>
      <c r="D32" t="str">
        <f>IF(_xlfn.XLOOKUP(A32,PARAMETROS!A:A,PARAMETROS!E:E)=0,"",_xlfn.XLOOKUP(A32,PARAMETROS!A:A,PARAMETROS!E:E))</f>
        <v/>
      </c>
      <c r="E32" t="str">
        <f>IF(_xlfn.XLOOKUP('PREENCHIMENTO|NÃO-LETIVAS'!A32,PARAMETROS!A:A,PARAMETROS!I:I)=0,"",_xlfn.XLOOKUP('PREENCHIMENTO|NÃO-LETIVAS'!A32,PARAMETROS!A:A,PARAMETROS!I:I))</f>
        <v/>
      </c>
      <c r="F32" s="3"/>
      <c r="G32" s="3"/>
      <c r="H32" s="3"/>
      <c r="I32" s="3"/>
      <c r="Y32" s="6">
        <f>_xlfn.XLOOKUP(G:G,PARAMETROS!Y:Y,PARAMETROS!AD:AD)</f>
        <v>0</v>
      </c>
    </row>
    <row r="33" spans="1:25">
      <c r="A33" s="3"/>
      <c r="B33" t="str">
        <f>IF(_xlfn.XLOOKUP(A33,PARAMETROS!A:A,PARAMETROS!B:B)=0,"",_xlfn.XLOOKUP(A33,PARAMETROS!A:A,PARAMETROS!B:B))</f>
        <v/>
      </c>
      <c r="C33" t="str">
        <f>IF(_xlfn.XLOOKUP(A33,PARAMETROS!A:A,PARAMETROS!C:C)=0,"",_xlfn.XLOOKUP(A33,PARAMETROS!A:A,PARAMETROS!C:C))</f>
        <v/>
      </c>
      <c r="D33" t="str">
        <f>IF(_xlfn.XLOOKUP(A33,PARAMETROS!A:A,PARAMETROS!E:E)=0,"",_xlfn.XLOOKUP(A33,PARAMETROS!A:A,PARAMETROS!E:E))</f>
        <v/>
      </c>
      <c r="E33" t="str">
        <f>IF(_xlfn.XLOOKUP('PREENCHIMENTO|NÃO-LETIVAS'!A33,PARAMETROS!A:A,PARAMETROS!I:I)=0,"",_xlfn.XLOOKUP('PREENCHIMENTO|NÃO-LETIVAS'!A33,PARAMETROS!A:A,PARAMETROS!I:I))</f>
        <v/>
      </c>
      <c r="F33" s="3"/>
      <c r="G33" s="3"/>
      <c r="H33" s="3"/>
      <c r="I33" s="3"/>
      <c r="Y33" s="6">
        <f>_xlfn.XLOOKUP(G:G,PARAMETROS!Y:Y,PARAMETROS!AD:AD)</f>
        <v>0</v>
      </c>
    </row>
    <row r="34" spans="1:25">
      <c r="A34" s="3"/>
      <c r="B34" t="str">
        <f>IF(_xlfn.XLOOKUP(A34,PARAMETROS!A:A,PARAMETROS!B:B)=0,"",_xlfn.XLOOKUP(A34,PARAMETROS!A:A,PARAMETROS!B:B))</f>
        <v/>
      </c>
      <c r="C34" t="str">
        <f>IF(_xlfn.XLOOKUP(A34,PARAMETROS!A:A,PARAMETROS!C:C)=0,"",_xlfn.XLOOKUP(A34,PARAMETROS!A:A,PARAMETROS!C:C))</f>
        <v/>
      </c>
      <c r="D34" t="str">
        <f>IF(_xlfn.XLOOKUP(A34,PARAMETROS!A:A,PARAMETROS!E:E)=0,"",_xlfn.XLOOKUP(A34,PARAMETROS!A:A,PARAMETROS!E:E))</f>
        <v/>
      </c>
      <c r="E34" t="str">
        <f>IF(_xlfn.XLOOKUP('PREENCHIMENTO|NÃO-LETIVAS'!A34,PARAMETROS!A:A,PARAMETROS!I:I)=0,"",_xlfn.XLOOKUP('PREENCHIMENTO|NÃO-LETIVAS'!A34,PARAMETROS!A:A,PARAMETROS!I:I))</f>
        <v/>
      </c>
      <c r="F34" s="3"/>
      <c r="G34" s="3"/>
      <c r="H34" s="3"/>
      <c r="I34" s="3"/>
      <c r="Y34" s="6">
        <f>_xlfn.XLOOKUP(G:G,PARAMETROS!Y:Y,PARAMETROS!AD:AD)</f>
        <v>0</v>
      </c>
    </row>
    <row r="35" spans="1:25">
      <c r="A35" s="3"/>
      <c r="B35" t="str">
        <f>IF(_xlfn.XLOOKUP(A35,PARAMETROS!A:A,PARAMETROS!B:B)=0,"",_xlfn.XLOOKUP(A35,PARAMETROS!A:A,PARAMETROS!B:B))</f>
        <v/>
      </c>
      <c r="C35" t="str">
        <f>IF(_xlfn.XLOOKUP(A35,PARAMETROS!A:A,PARAMETROS!C:C)=0,"",_xlfn.XLOOKUP(A35,PARAMETROS!A:A,PARAMETROS!C:C))</f>
        <v/>
      </c>
      <c r="D35" t="str">
        <f>IF(_xlfn.XLOOKUP(A35,PARAMETROS!A:A,PARAMETROS!E:E)=0,"",_xlfn.XLOOKUP(A35,PARAMETROS!A:A,PARAMETROS!E:E))</f>
        <v/>
      </c>
      <c r="E35" t="str">
        <f>IF(_xlfn.XLOOKUP('PREENCHIMENTO|NÃO-LETIVAS'!A35,PARAMETROS!A:A,PARAMETROS!I:I)=0,"",_xlfn.XLOOKUP('PREENCHIMENTO|NÃO-LETIVAS'!A35,PARAMETROS!A:A,PARAMETROS!I:I))</f>
        <v/>
      </c>
      <c r="F35" s="3"/>
      <c r="G35" s="3"/>
      <c r="H35" s="3"/>
      <c r="I35" s="3"/>
      <c r="Y35" s="6">
        <f>_xlfn.XLOOKUP(G:G,PARAMETROS!Y:Y,PARAMETROS!AD:AD)</f>
        <v>0</v>
      </c>
    </row>
    <row r="36" spans="1:25">
      <c r="A36" s="3"/>
      <c r="B36" t="str">
        <f>IF(_xlfn.XLOOKUP(A36,PARAMETROS!A:A,PARAMETROS!B:B)=0,"",_xlfn.XLOOKUP(A36,PARAMETROS!A:A,PARAMETROS!B:B))</f>
        <v/>
      </c>
      <c r="C36" t="str">
        <f>IF(_xlfn.XLOOKUP(A36,PARAMETROS!A:A,PARAMETROS!C:C)=0,"",_xlfn.XLOOKUP(A36,PARAMETROS!A:A,PARAMETROS!C:C))</f>
        <v/>
      </c>
      <c r="D36" t="str">
        <f>IF(_xlfn.XLOOKUP(A36,PARAMETROS!A:A,PARAMETROS!E:E)=0,"",_xlfn.XLOOKUP(A36,PARAMETROS!A:A,PARAMETROS!E:E))</f>
        <v/>
      </c>
      <c r="E36" t="str">
        <f>IF(_xlfn.XLOOKUP('PREENCHIMENTO|NÃO-LETIVAS'!A36,PARAMETROS!A:A,PARAMETROS!I:I)=0,"",_xlfn.XLOOKUP('PREENCHIMENTO|NÃO-LETIVAS'!A36,PARAMETROS!A:A,PARAMETROS!I:I))</f>
        <v/>
      </c>
      <c r="F36" s="3"/>
      <c r="G36" s="3"/>
      <c r="H36" s="3"/>
      <c r="I36" s="3"/>
      <c r="Y36" s="6">
        <f>_xlfn.XLOOKUP(G:G,PARAMETROS!Y:Y,PARAMETROS!AD:AD)</f>
        <v>0</v>
      </c>
    </row>
    <row r="37" spans="1:25">
      <c r="A37" s="3"/>
      <c r="B37" t="str">
        <f>IF(_xlfn.XLOOKUP(A37,PARAMETROS!A:A,PARAMETROS!B:B)=0,"",_xlfn.XLOOKUP(A37,PARAMETROS!A:A,PARAMETROS!B:B))</f>
        <v/>
      </c>
      <c r="C37" t="str">
        <f>IF(_xlfn.XLOOKUP(A37,PARAMETROS!A:A,PARAMETROS!C:C)=0,"",_xlfn.XLOOKUP(A37,PARAMETROS!A:A,PARAMETROS!C:C))</f>
        <v/>
      </c>
      <c r="D37" t="str">
        <f>IF(_xlfn.XLOOKUP(A37,PARAMETROS!A:A,PARAMETROS!E:E)=0,"",_xlfn.XLOOKUP(A37,PARAMETROS!A:A,PARAMETROS!E:E))</f>
        <v/>
      </c>
      <c r="E37" t="str">
        <f>IF(_xlfn.XLOOKUP('PREENCHIMENTO|NÃO-LETIVAS'!A37,PARAMETROS!A:A,PARAMETROS!I:I)=0,"",_xlfn.XLOOKUP('PREENCHIMENTO|NÃO-LETIVAS'!A37,PARAMETROS!A:A,PARAMETROS!I:I))</f>
        <v/>
      </c>
      <c r="F37" s="3"/>
      <c r="G37" s="3"/>
      <c r="H37" s="3"/>
      <c r="I37" s="3"/>
      <c r="Y37" s="6">
        <f>_xlfn.XLOOKUP(G:G,PARAMETROS!Y:Y,PARAMETROS!AD:AD)</f>
        <v>0</v>
      </c>
    </row>
    <row r="38" spans="1:25">
      <c r="A38" s="3"/>
      <c r="B38" t="str">
        <f>IF(_xlfn.XLOOKUP(A38,PARAMETROS!A:A,PARAMETROS!B:B)=0,"",_xlfn.XLOOKUP(A38,PARAMETROS!A:A,PARAMETROS!B:B))</f>
        <v/>
      </c>
      <c r="C38" t="str">
        <f>IF(_xlfn.XLOOKUP(A38,PARAMETROS!A:A,PARAMETROS!C:C)=0,"",_xlfn.XLOOKUP(A38,PARAMETROS!A:A,PARAMETROS!C:C))</f>
        <v/>
      </c>
      <c r="D38" t="str">
        <f>IF(_xlfn.XLOOKUP(A38,PARAMETROS!A:A,PARAMETROS!E:E)=0,"",_xlfn.XLOOKUP(A38,PARAMETROS!A:A,PARAMETROS!E:E))</f>
        <v/>
      </c>
      <c r="E38" t="str">
        <f>IF(_xlfn.XLOOKUP('PREENCHIMENTO|NÃO-LETIVAS'!A38,PARAMETROS!A:A,PARAMETROS!I:I)=0,"",_xlfn.XLOOKUP('PREENCHIMENTO|NÃO-LETIVAS'!A38,PARAMETROS!A:A,PARAMETROS!I:I))</f>
        <v/>
      </c>
      <c r="F38" s="3"/>
      <c r="G38" s="3"/>
      <c r="H38" s="3"/>
      <c r="I38" s="3"/>
      <c r="Y38" s="6">
        <f>_xlfn.XLOOKUP(G:G,PARAMETROS!Y:Y,PARAMETROS!AD:AD)</f>
        <v>0</v>
      </c>
    </row>
    <row r="39" spans="1:25">
      <c r="A39" s="3"/>
      <c r="B39" t="str">
        <f>IF(_xlfn.XLOOKUP(A39,PARAMETROS!A:A,PARAMETROS!B:B)=0,"",_xlfn.XLOOKUP(A39,PARAMETROS!A:A,PARAMETROS!B:B))</f>
        <v/>
      </c>
      <c r="C39" t="str">
        <f>IF(_xlfn.XLOOKUP(A39,PARAMETROS!A:A,PARAMETROS!C:C)=0,"",_xlfn.XLOOKUP(A39,PARAMETROS!A:A,PARAMETROS!C:C))</f>
        <v/>
      </c>
      <c r="D39" t="str">
        <f>IF(_xlfn.XLOOKUP(A39,PARAMETROS!A:A,PARAMETROS!E:E)=0,"",_xlfn.XLOOKUP(A39,PARAMETROS!A:A,PARAMETROS!E:E))</f>
        <v/>
      </c>
      <c r="E39" t="str">
        <f>IF(_xlfn.XLOOKUP('PREENCHIMENTO|NÃO-LETIVAS'!A39,PARAMETROS!A:A,PARAMETROS!I:I)=0,"",_xlfn.XLOOKUP('PREENCHIMENTO|NÃO-LETIVAS'!A39,PARAMETROS!A:A,PARAMETROS!I:I))</f>
        <v/>
      </c>
      <c r="F39" s="3"/>
      <c r="G39" s="3"/>
      <c r="H39" s="3"/>
      <c r="I39" s="3"/>
      <c r="Y39" s="6">
        <f>_xlfn.XLOOKUP(G:G,PARAMETROS!Y:Y,PARAMETROS!AD:AD)</f>
        <v>0</v>
      </c>
    </row>
    <row r="40" spans="1:25">
      <c r="A40" s="3"/>
      <c r="B40" t="str">
        <f>IF(_xlfn.XLOOKUP(A40,PARAMETROS!A:A,PARAMETROS!B:B)=0,"",_xlfn.XLOOKUP(A40,PARAMETROS!A:A,PARAMETROS!B:B))</f>
        <v/>
      </c>
      <c r="C40" t="str">
        <f>IF(_xlfn.XLOOKUP(A40,PARAMETROS!A:A,PARAMETROS!C:C)=0,"",_xlfn.XLOOKUP(A40,PARAMETROS!A:A,PARAMETROS!C:C))</f>
        <v/>
      </c>
      <c r="D40" t="str">
        <f>IF(_xlfn.XLOOKUP(A40,PARAMETROS!A:A,PARAMETROS!E:E)=0,"",_xlfn.XLOOKUP(A40,PARAMETROS!A:A,PARAMETROS!E:E))</f>
        <v/>
      </c>
      <c r="E40" t="str">
        <f>IF(_xlfn.XLOOKUP('PREENCHIMENTO|NÃO-LETIVAS'!A40,PARAMETROS!A:A,PARAMETROS!I:I)=0,"",_xlfn.XLOOKUP('PREENCHIMENTO|NÃO-LETIVAS'!A40,PARAMETROS!A:A,PARAMETROS!I:I))</f>
        <v/>
      </c>
      <c r="F40" s="3"/>
      <c r="G40" s="3"/>
      <c r="H40" s="3"/>
      <c r="I40" s="3"/>
      <c r="Y40" s="6">
        <f>_xlfn.XLOOKUP(G:G,PARAMETROS!Y:Y,PARAMETROS!AD:AD)</f>
        <v>0</v>
      </c>
    </row>
    <row r="41" spans="1:25">
      <c r="A41" s="3"/>
      <c r="B41" t="str">
        <f>IF(_xlfn.XLOOKUP(A41,PARAMETROS!A:A,PARAMETROS!B:B)=0,"",_xlfn.XLOOKUP(A41,PARAMETROS!A:A,PARAMETROS!B:B))</f>
        <v/>
      </c>
      <c r="C41" t="str">
        <f>IF(_xlfn.XLOOKUP(A41,PARAMETROS!A:A,PARAMETROS!C:C)=0,"",_xlfn.XLOOKUP(A41,PARAMETROS!A:A,PARAMETROS!C:C))</f>
        <v/>
      </c>
      <c r="D41" t="str">
        <f>IF(_xlfn.XLOOKUP(A41,PARAMETROS!A:A,PARAMETROS!E:E)=0,"",_xlfn.XLOOKUP(A41,PARAMETROS!A:A,PARAMETROS!E:E))</f>
        <v/>
      </c>
      <c r="E41" t="str">
        <f>IF(_xlfn.XLOOKUP('PREENCHIMENTO|NÃO-LETIVAS'!A41,PARAMETROS!A:A,PARAMETROS!I:I)=0,"",_xlfn.XLOOKUP('PREENCHIMENTO|NÃO-LETIVAS'!A41,PARAMETROS!A:A,PARAMETROS!I:I))</f>
        <v/>
      </c>
      <c r="F41" s="3"/>
      <c r="G41" s="3"/>
      <c r="H41" s="3"/>
      <c r="I41" s="3"/>
      <c r="Y41" s="6">
        <f>_xlfn.XLOOKUP(G:G,PARAMETROS!Y:Y,PARAMETROS!AD:AD)</f>
        <v>0</v>
      </c>
    </row>
    <row r="42" spans="1:25">
      <c r="A42" s="3"/>
      <c r="B42" t="str">
        <f>IF(_xlfn.XLOOKUP(A42,PARAMETROS!A:A,PARAMETROS!B:B)=0,"",_xlfn.XLOOKUP(A42,PARAMETROS!A:A,PARAMETROS!B:B))</f>
        <v/>
      </c>
      <c r="C42" t="str">
        <f>IF(_xlfn.XLOOKUP(A42,PARAMETROS!A:A,PARAMETROS!C:C)=0,"",_xlfn.XLOOKUP(A42,PARAMETROS!A:A,PARAMETROS!C:C))</f>
        <v/>
      </c>
      <c r="D42" t="str">
        <f>IF(_xlfn.XLOOKUP(A42,PARAMETROS!A:A,PARAMETROS!E:E)=0,"",_xlfn.XLOOKUP(A42,PARAMETROS!A:A,PARAMETROS!E:E))</f>
        <v/>
      </c>
      <c r="E42" t="str">
        <f>IF(_xlfn.XLOOKUP('PREENCHIMENTO|NÃO-LETIVAS'!A42,PARAMETROS!A:A,PARAMETROS!I:I)=0,"",_xlfn.XLOOKUP('PREENCHIMENTO|NÃO-LETIVAS'!A42,PARAMETROS!A:A,PARAMETROS!I:I))</f>
        <v/>
      </c>
      <c r="F42" s="3"/>
      <c r="G42" s="3"/>
      <c r="H42" s="3"/>
      <c r="I42" s="3"/>
      <c r="Y42" s="6">
        <f>_xlfn.XLOOKUP(G:G,PARAMETROS!Y:Y,PARAMETROS!AD:AD)</f>
        <v>0</v>
      </c>
    </row>
    <row r="43" spans="1:25">
      <c r="A43" s="3"/>
      <c r="B43" t="str">
        <f>IF(_xlfn.XLOOKUP(A43,PARAMETROS!A:A,PARAMETROS!B:B)=0,"",_xlfn.XLOOKUP(A43,PARAMETROS!A:A,PARAMETROS!B:B))</f>
        <v/>
      </c>
      <c r="C43" t="str">
        <f>IF(_xlfn.XLOOKUP(A43,PARAMETROS!A:A,PARAMETROS!C:C)=0,"",_xlfn.XLOOKUP(A43,PARAMETROS!A:A,PARAMETROS!C:C))</f>
        <v/>
      </c>
      <c r="D43" t="str">
        <f>IF(_xlfn.XLOOKUP(A43,PARAMETROS!A:A,PARAMETROS!E:E)=0,"",_xlfn.XLOOKUP(A43,PARAMETROS!A:A,PARAMETROS!E:E))</f>
        <v/>
      </c>
      <c r="E43" t="str">
        <f>IF(_xlfn.XLOOKUP('PREENCHIMENTO|NÃO-LETIVAS'!A43,PARAMETROS!A:A,PARAMETROS!I:I)=0,"",_xlfn.XLOOKUP('PREENCHIMENTO|NÃO-LETIVAS'!A43,PARAMETROS!A:A,PARAMETROS!I:I))</f>
        <v/>
      </c>
      <c r="F43" s="3"/>
      <c r="G43" s="3"/>
      <c r="H43" s="3"/>
      <c r="I43" s="3"/>
      <c r="Y43" s="6">
        <f>_xlfn.XLOOKUP(G:G,PARAMETROS!Y:Y,PARAMETROS!AD:AD)</f>
        <v>0</v>
      </c>
    </row>
    <row r="44" spans="1:25">
      <c r="A44" s="3"/>
      <c r="B44" t="str">
        <f>IF(_xlfn.XLOOKUP(A44,PARAMETROS!A:A,PARAMETROS!B:B)=0,"",_xlfn.XLOOKUP(A44,PARAMETROS!A:A,PARAMETROS!B:B))</f>
        <v/>
      </c>
      <c r="C44" t="str">
        <f>IF(_xlfn.XLOOKUP(A44,PARAMETROS!A:A,PARAMETROS!C:C)=0,"",_xlfn.XLOOKUP(A44,PARAMETROS!A:A,PARAMETROS!C:C))</f>
        <v/>
      </c>
      <c r="D44" t="str">
        <f>IF(_xlfn.XLOOKUP(A44,PARAMETROS!A:A,PARAMETROS!E:E)=0,"",_xlfn.XLOOKUP(A44,PARAMETROS!A:A,PARAMETROS!E:E))</f>
        <v/>
      </c>
      <c r="E44" t="str">
        <f>IF(_xlfn.XLOOKUP('PREENCHIMENTO|NÃO-LETIVAS'!A44,PARAMETROS!A:A,PARAMETROS!I:I)=0,"",_xlfn.XLOOKUP('PREENCHIMENTO|NÃO-LETIVAS'!A44,PARAMETROS!A:A,PARAMETROS!I:I))</f>
        <v/>
      </c>
      <c r="F44" s="3"/>
      <c r="G44" s="3"/>
      <c r="H44" s="3"/>
      <c r="I44" s="3"/>
      <c r="Y44" s="6">
        <f>_xlfn.XLOOKUP(G:G,PARAMETROS!Y:Y,PARAMETROS!AD:AD)</f>
        <v>0</v>
      </c>
    </row>
    <row r="45" spans="1:25">
      <c r="A45" s="3"/>
      <c r="B45" t="str">
        <f>IF(_xlfn.XLOOKUP(A45,PARAMETROS!A:A,PARAMETROS!B:B)=0,"",_xlfn.XLOOKUP(A45,PARAMETROS!A:A,PARAMETROS!B:B))</f>
        <v/>
      </c>
      <c r="C45" t="str">
        <f>IF(_xlfn.XLOOKUP(A45,PARAMETROS!A:A,PARAMETROS!C:C)=0,"",_xlfn.XLOOKUP(A45,PARAMETROS!A:A,PARAMETROS!C:C))</f>
        <v/>
      </c>
      <c r="D45" t="str">
        <f>IF(_xlfn.XLOOKUP(A45,PARAMETROS!A:A,PARAMETROS!E:E)=0,"",_xlfn.XLOOKUP(A45,PARAMETROS!A:A,PARAMETROS!E:E))</f>
        <v/>
      </c>
      <c r="E45" t="str">
        <f>IF(_xlfn.XLOOKUP('PREENCHIMENTO|NÃO-LETIVAS'!A45,PARAMETROS!A:A,PARAMETROS!I:I)=0,"",_xlfn.XLOOKUP('PREENCHIMENTO|NÃO-LETIVAS'!A45,PARAMETROS!A:A,PARAMETROS!I:I))</f>
        <v/>
      </c>
      <c r="F45" s="3"/>
      <c r="G45" s="3"/>
      <c r="H45" s="3"/>
      <c r="I45" s="3"/>
      <c r="Y45" s="6">
        <f>_xlfn.XLOOKUP(G:G,PARAMETROS!Y:Y,PARAMETROS!AD:AD)</f>
        <v>0</v>
      </c>
    </row>
    <row r="46" spans="1:25">
      <c r="A46" s="3"/>
      <c r="B46" t="str">
        <f>IF(_xlfn.XLOOKUP(A46,PARAMETROS!A:A,PARAMETROS!B:B)=0,"",_xlfn.XLOOKUP(A46,PARAMETROS!A:A,PARAMETROS!B:B))</f>
        <v/>
      </c>
      <c r="C46" t="str">
        <f>IF(_xlfn.XLOOKUP(A46,PARAMETROS!A:A,PARAMETROS!C:C)=0,"",_xlfn.XLOOKUP(A46,PARAMETROS!A:A,PARAMETROS!C:C))</f>
        <v/>
      </c>
      <c r="D46" t="str">
        <f>IF(_xlfn.XLOOKUP(A46,PARAMETROS!A:A,PARAMETROS!E:E)=0,"",_xlfn.XLOOKUP(A46,PARAMETROS!A:A,PARAMETROS!E:E))</f>
        <v/>
      </c>
      <c r="E46" t="str">
        <f>IF(_xlfn.XLOOKUP('PREENCHIMENTO|NÃO-LETIVAS'!A46,PARAMETROS!A:A,PARAMETROS!I:I)=0,"",_xlfn.XLOOKUP('PREENCHIMENTO|NÃO-LETIVAS'!A46,PARAMETROS!A:A,PARAMETROS!I:I))</f>
        <v/>
      </c>
      <c r="F46" s="3"/>
      <c r="G46" s="3"/>
      <c r="H46" s="3"/>
      <c r="I46" s="3"/>
      <c r="Y46" s="6">
        <f>_xlfn.XLOOKUP(G:G,PARAMETROS!Y:Y,PARAMETROS!AD:AD)</f>
        <v>0</v>
      </c>
    </row>
    <row r="47" spans="1:25">
      <c r="A47" s="3"/>
      <c r="B47" t="str">
        <f>IF(_xlfn.XLOOKUP(A47,PARAMETROS!A:A,PARAMETROS!B:B)=0,"",_xlfn.XLOOKUP(A47,PARAMETROS!A:A,PARAMETROS!B:B))</f>
        <v/>
      </c>
      <c r="C47" t="str">
        <f>IF(_xlfn.XLOOKUP(A47,PARAMETROS!A:A,PARAMETROS!C:C)=0,"",_xlfn.XLOOKUP(A47,PARAMETROS!A:A,PARAMETROS!C:C))</f>
        <v/>
      </c>
      <c r="D47" t="str">
        <f>IF(_xlfn.XLOOKUP(A47,PARAMETROS!A:A,PARAMETROS!E:E)=0,"",_xlfn.XLOOKUP(A47,PARAMETROS!A:A,PARAMETROS!E:E))</f>
        <v/>
      </c>
      <c r="E47" t="str">
        <f>IF(_xlfn.XLOOKUP('PREENCHIMENTO|NÃO-LETIVAS'!A47,PARAMETROS!A:A,PARAMETROS!I:I)=0,"",_xlfn.XLOOKUP('PREENCHIMENTO|NÃO-LETIVAS'!A47,PARAMETROS!A:A,PARAMETROS!I:I))</f>
        <v/>
      </c>
      <c r="F47" s="3"/>
      <c r="G47" s="3"/>
      <c r="H47" s="3"/>
      <c r="I47" s="3"/>
      <c r="Y47" s="6">
        <f>_xlfn.XLOOKUP(G:G,PARAMETROS!Y:Y,PARAMETROS!AD:AD)</f>
        <v>0</v>
      </c>
    </row>
    <row r="48" spans="1:25">
      <c r="A48" s="3"/>
      <c r="B48" t="str">
        <f>IF(_xlfn.XLOOKUP(A48,PARAMETROS!A:A,PARAMETROS!B:B)=0,"",_xlfn.XLOOKUP(A48,PARAMETROS!A:A,PARAMETROS!B:B))</f>
        <v/>
      </c>
      <c r="C48" t="str">
        <f>IF(_xlfn.XLOOKUP(A48,PARAMETROS!A:A,PARAMETROS!C:C)=0,"",_xlfn.XLOOKUP(A48,PARAMETROS!A:A,PARAMETROS!C:C))</f>
        <v/>
      </c>
      <c r="D48" t="str">
        <f>IF(_xlfn.XLOOKUP(A48,PARAMETROS!A:A,PARAMETROS!E:E)=0,"",_xlfn.XLOOKUP(A48,PARAMETROS!A:A,PARAMETROS!E:E))</f>
        <v/>
      </c>
      <c r="E48" t="str">
        <f>IF(_xlfn.XLOOKUP('PREENCHIMENTO|NÃO-LETIVAS'!A48,PARAMETROS!A:A,PARAMETROS!I:I)=0,"",_xlfn.XLOOKUP('PREENCHIMENTO|NÃO-LETIVAS'!A48,PARAMETROS!A:A,PARAMETROS!I:I))</f>
        <v/>
      </c>
      <c r="F48" s="3"/>
      <c r="G48" s="3"/>
      <c r="H48" s="3"/>
      <c r="I48" s="3"/>
      <c r="Y48" s="6">
        <f>_xlfn.XLOOKUP(G:G,PARAMETROS!Y:Y,PARAMETROS!AD:AD)</f>
        <v>0</v>
      </c>
    </row>
    <row r="49" spans="1:25">
      <c r="A49" s="3"/>
      <c r="B49" t="str">
        <f>IF(_xlfn.XLOOKUP(A49,PARAMETROS!A:A,PARAMETROS!B:B)=0,"",_xlfn.XLOOKUP(A49,PARAMETROS!A:A,PARAMETROS!B:B))</f>
        <v/>
      </c>
      <c r="C49" t="str">
        <f>IF(_xlfn.XLOOKUP(A49,PARAMETROS!A:A,PARAMETROS!C:C)=0,"",_xlfn.XLOOKUP(A49,PARAMETROS!A:A,PARAMETROS!C:C))</f>
        <v/>
      </c>
      <c r="D49" t="str">
        <f>IF(_xlfn.XLOOKUP(A49,PARAMETROS!A:A,PARAMETROS!E:E)=0,"",_xlfn.XLOOKUP(A49,PARAMETROS!A:A,PARAMETROS!E:E))</f>
        <v/>
      </c>
      <c r="E49" t="str">
        <f>IF(_xlfn.XLOOKUP('PREENCHIMENTO|NÃO-LETIVAS'!A49,PARAMETROS!A:A,PARAMETROS!I:I)=0,"",_xlfn.XLOOKUP('PREENCHIMENTO|NÃO-LETIVAS'!A49,PARAMETROS!A:A,PARAMETROS!I:I))</f>
        <v/>
      </c>
      <c r="F49" s="3"/>
      <c r="G49" s="3"/>
      <c r="H49" s="3"/>
      <c r="I49" s="3"/>
      <c r="Y49" s="6">
        <f>_xlfn.XLOOKUP(G:G,PARAMETROS!Y:Y,PARAMETROS!AD:AD)</f>
        <v>0</v>
      </c>
    </row>
    <row r="50" spans="1:25">
      <c r="A50" s="3"/>
      <c r="B50" t="str">
        <f>IF(_xlfn.XLOOKUP(A50,PARAMETROS!A:A,PARAMETROS!B:B)=0,"",_xlfn.XLOOKUP(A50,PARAMETROS!A:A,PARAMETROS!B:B))</f>
        <v/>
      </c>
      <c r="C50" t="str">
        <f>IF(_xlfn.XLOOKUP(A50,PARAMETROS!A:A,PARAMETROS!C:C)=0,"",_xlfn.XLOOKUP(A50,PARAMETROS!A:A,PARAMETROS!C:C))</f>
        <v/>
      </c>
      <c r="D50" t="str">
        <f>IF(_xlfn.XLOOKUP(A50,PARAMETROS!A:A,PARAMETROS!E:E)=0,"",_xlfn.XLOOKUP(A50,PARAMETROS!A:A,PARAMETROS!E:E))</f>
        <v/>
      </c>
      <c r="E50" t="str">
        <f>IF(_xlfn.XLOOKUP('PREENCHIMENTO|NÃO-LETIVAS'!A50,PARAMETROS!A:A,PARAMETROS!I:I)=0,"",_xlfn.XLOOKUP('PREENCHIMENTO|NÃO-LETIVAS'!A50,PARAMETROS!A:A,PARAMETROS!I:I))</f>
        <v/>
      </c>
      <c r="F50" s="3"/>
      <c r="G50" s="3"/>
      <c r="H50" s="3"/>
      <c r="I50" s="3"/>
      <c r="Y50" s="6">
        <f>_xlfn.XLOOKUP(G:G,PARAMETROS!Y:Y,PARAMETROS!AD:AD)</f>
        <v>0</v>
      </c>
    </row>
    <row r="51" spans="1:25">
      <c r="A51" s="3"/>
      <c r="B51" t="str">
        <f>IF(_xlfn.XLOOKUP(A51,PARAMETROS!A:A,PARAMETROS!B:B)=0,"",_xlfn.XLOOKUP(A51,PARAMETROS!A:A,PARAMETROS!B:B))</f>
        <v/>
      </c>
      <c r="C51" t="str">
        <f>IF(_xlfn.XLOOKUP(A51,PARAMETROS!A:A,PARAMETROS!C:C)=0,"",_xlfn.XLOOKUP(A51,PARAMETROS!A:A,PARAMETROS!C:C))</f>
        <v/>
      </c>
      <c r="D51" t="str">
        <f>IF(_xlfn.XLOOKUP(A51,PARAMETROS!A:A,PARAMETROS!E:E)=0,"",_xlfn.XLOOKUP(A51,PARAMETROS!A:A,PARAMETROS!E:E))</f>
        <v/>
      </c>
      <c r="E51" t="str">
        <f>IF(_xlfn.XLOOKUP('PREENCHIMENTO|NÃO-LETIVAS'!A51,PARAMETROS!A:A,PARAMETROS!I:I)=0,"",_xlfn.XLOOKUP('PREENCHIMENTO|NÃO-LETIVAS'!A51,PARAMETROS!A:A,PARAMETROS!I:I))</f>
        <v/>
      </c>
      <c r="F51" s="3"/>
      <c r="G51" s="3"/>
      <c r="H51" s="3"/>
      <c r="I51" s="3"/>
      <c r="Y51" s="6">
        <f>_xlfn.XLOOKUP(G:G,PARAMETROS!Y:Y,PARAMETROS!AD:AD)</f>
        <v>0</v>
      </c>
    </row>
    <row r="52" spans="1:25">
      <c r="A52" s="3"/>
      <c r="B52" t="str">
        <f>IF(_xlfn.XLOOKUP(A52,PARAMETROS!A:A,PARAMETROS!B:B)=0,"",_xlfn.XLOOKUP(A52,PARAMETROS!A:A,PARAMETROS!B:B))</f>
        <v/>
      </c>
      <c r="C52" t="str">
        <f>IF(_xlfn.XLOOKUP(A52,PARAMETROS!A:A,PARAMETROS!C:C)=0,"",_xlfn.XLOOKUP(A52,PARAMETROS!A:A,PARAMETROS!C:C))</f>
        <v/>
      </c>
      <c r="D52" t="str">
        <f>IF(_xlfn.XLOOKUP(A52,PARAMETROS!A:A,PARAMETROS!E:E)=0,"",_xlfn.XLOOKUP(A52,PARAMETROS!A:A,PARAMETROS!E:E))</f>
        <v/>
      </c>
      <c r="E52" t="str">
        <f>IF(_xlfn.XLOOKUP('PREENCHIMENTO|NÃO-LETIVAS'!A52,PARAMETROS!A:A,PARAMETROS!I:I)=0,"",_xlfn.XLOOKUP('PREENCHIMENTO|NÃO-LETIVAS'!A52,PARAMETROS!A:A,PARAMETROS!I:I))</f>
        <v/>
      </c>
      <c r="F52" s="3"/>
      <c r="G52" s="3"/>
      <c r="H52" s="3"/>
      <c r="I52" s="3"/>
      <c r="Y52" s="6">
        <f>_xlfn.XLOOKUP(G:G,PARAMETROS!Y:Y,PARAMETROS!AD:AD)</f>
        <v>0</v>
      </c>
    </row>
    <row r="53" spans="1:25">
      <c r="A53" s="3"/>
      <c r="B53" t="str">
        <f>IF(_xlfn.XLOOKUP(A53,PARAMETROS!A:A,PARAMETROS!B:B)=0,"",_xlfn.XLOOKUP(A53,PARAMETROS!A:A,PARAMETROS!B:B))</f>
        <v/>
      </c>
      <c r="C53" t="str">
        <f>IF(_xlfn.XLOOKUP(A53,PARAMETROS!A:A,PARAMETROS!C:C)=0,"",_xlfn.XLOOKUP(A53,PARAMETROS!A:A,PARAMETROS!C:C))</f>
        <v/>
      </c>
      <c r="D53" t="str">
        <f>IF(_xlfn.XLOOKUP(A53,PARAMETROS!A:A,PARAMETROS!E:E)=0,"",_xlfn.XLOOKUP(A53,PARAMETROS!A:A,PARAMETROS!E:E))</f>
        <v/>
      </c>
      <c r="E53" t="str">
        <f>IF(_xlfn.XLOOKUP('PREENCHIMENTO|NÃO-LETIVAS'!A53,PARAMETROS!A:A,PARAMETROS!I:I)=0,"",_xlfn.XLOOKUP('PREENCHIMENTO|NÃO-LETIVAS'!A53,PARAMETROS!A:A,PARAMETROS!I:I))</f>
        <v/>
      </c>
      <c r="F53" s="3"/>
      <c r="G53" s="3"/>
      <c r="H53" s="3"/>
      <c r="I53" s="3"/>
      <c r="Y53" s="6">
        <f>_xlfn.XLOOKUP(G:G,PARAMETROS!Y:Y,PARAMETROS!AD:AD)</f>
        <v>0</v>
      </c>
    </row>
    <row r="54" spans="1:25">
      <c r="A54" s="3"/>
      <c r="B54" t="str">
        <f>IF(_xlfn.XLOOKUP(A54,PARAMETROS!A:A,PARAMETROS!B:B)=0,"",_xlfn.XLOOKUP(A54,PARAMETROS!A:A,PARAMETROS!B:B))</f>
        <v/>
      </c>
      <c r="C54" t="str">
        <f>IF(_xlfn.XLOOKUP(A54,PARAMETROS!A:A,PARAMETROS!C:C)=0,"",_xlfn.XLOOKUP(A54,PARAMETROS!A:A,PARAMETROS!C:C))</f>
        <v/>
      </c>
      <c r="D54" t="str">
        <f>IF(_xlfn.XLOOKUP(A54,PARAMETROS!A:A,PARAMETROS!E:E)=0,"",_xlfn.XLOOKUP(A54,PARAMETROS!A:A,PARAMETROS!E:E))</f>
        <v/>
      </c>
      <c r="E54" t="str">
        <f>IF(_xlfn.XLOOKUP('PREENCHIMENTO|NÃO-LETIVAS'!A54,PARAMETROS!A:A,PARAMETROS!I:I)=0,"",_xlfn.XLOOKUP('PREENCHIMENTO|NÃO-LETIVAS'!A54,PARAMETROS!A:A,PARAMETROS!I:I))</f>
        <v/>
      </c>
      <c r="F54" s="3"/>
      <c r="G54" s="3"/>
      <c r="H54" s="3"/>
      <c r="I54" s="3"/>
      <c r="Y54" s="6">
        <f>_xlfn.XLOOKUP(G:G,PARAMETROS!Y:Y,PARAMETROS!AD:AD)</f>
        <v>0</v>
      </c>
    </row>
    <row r="55" spans="1:25">
      <c r="A55" s="3"/>
      <c r="B55" t="str">
        <f>IF(_xlfn.XLOOKUP(A55,PARAMETROS!A:A,PARAMETROS!B:B)=0,"",_xlfn.XLOOKUP(A55,PARAMETROS!A:A,PARAMETROS!B:B))</f>
        <v/>
      </c>
      <c r="C55" t="str">
        <f>IF(_xlfn.XLOOKUP(A55,PARAMETROS!A:A,PARAMETROS!C:C)=0,"",_xlfn.XLOOKUP(A55,PARAMETROS!A:A,PARAMETROS!C:C))</f>
        <v/>
      </c>
      <c r="D55" t="str">
        <f>IF(_xlfn.XLOOKUP(A55,PARAMETROS!A:A,PARAMETROS!E:E)=0,"",_xlfn.XLOOKUP(A55,PARAMETROS!A:A,PARAMETROS!E:E))</f>
        <v/>
      </c>
      <c r="E55" t="str">
        <f>IF(_xlfn.XLOOKUP('PREENCHIMENTO|NÃO-LETIVAS'!A55,PARAMETROS!A:A,PARAMETROS!I:I)=0,"",_xlfn.XLOOKUP('PREENCHIMENTO|NÃO-LETIVAS'!A55,PARAMETROS!A:A,PARAMETROS!I:I))</f>
        <v/>
      </c>
      <c r="F55" s="3"/>
      <c r="G55" s="3"/>
      <c r="H55" s="3"/>
      <c r="I55" s="3"/>
      <c r="Y55" s="6">
        <f>_xlfn.XLOOKUP(G:G,PARAMETROS!Y:Y,PARAMETROS!AD:AD)</f>
        <v>0</v>
      </c>
    </row>
    <row r="56" spans="1:25">
      <c r="A56" s="3"/>
      <c r="B56" t="str">
        <f>IF(_xlfn.XLOOKUP(A56,PARAMETROS!A:A,PARAMETROS!B:B)=0,"",_xlfn.XLOOKUP(A56,PARAMETROS!A:A,PARAMETROS!B:B))</f>
        <v/>
      </c>
      <c r="C56" t="str">
        <f>IF(_xlfn.XLOOKUP(A56,PARAMETROS!A:A,PARAMETROS!C:C)=0,"",_xlfn.XLOOKUP(A56,PARAMETROS!A:A,PARAMETROS!C:C))</f>
        <v/>
      </c>
      <c r="D56" t="str">
        <f>IF(_xlfn.XLOOKUP(A56,PARAMETROS!A:A,PARAMETROS!E:E)=0,"",_xlfn.XLOOKUP(A56,PARAMETROS!A:A,PARAMETROS!E:E))</f>
        <v/>
      </c>
      <c r="E56" t="str">
        <f>IF(_xlfn.XLOOKUP('PREENCHIMENTO|NÃO-LETIVAS'!A56,PARAMETROS!A:A,PARAMETROS!I:I)=0,"",_xlfn.XLOOKUP('PREENCHIMENTO|NÃO-LETIVAS'!A56,PARAMETROS!A:A,PARAMETROS!I:I))</f>
        <v/>
      </c>
      <c r="F56" s="3"/>
      <c r="G56" s="3"/>
      <c r="H56" s="3"/>
      <c r="I56" s="3"/>
      <c r="Y56" s="6">
        <f>_xlfn.XLOOKUP(G:G,PARAMETROS!Y:Y,PARAMETROS!AD:AD)</f>
        <v>0</v>
      </c>
    </row>
    <row r="57" spans="1:25">
      <c r="A57" s="3"/>
      <c r="B57" t="str">
        <f>IF(_xlfn.XLOOKUP(A57,PARAMETROS!A:A,PARAMETROS!B:B)=0,"",_xlfn.XLOOKUP(A57,PARAMETROS!A:A,PARAMETROS!B:B))</f>
        <v/>
      </c>
      <c r="C57" t="str">
        <f>IF(_xlfn.XLOOKUP(A57,PARAMETROS!A:A,PARAMETROS!C:C)=0,"",_xlfn.XLOOKUP(A57,PARAMETROS!A:A,PARAMETROS!C:C))</f>
        <v/>
      </c>
      <c r="D57" t="str">
        <f>IF(_xlfn.XLOOKUP(A57,PARAMETROS!A:A,PARAMETROS!E:E)=0,"",_xlfn.XLOOKUP(A57,PARAMETROS!A:A,PARAMETROS!E:E))</f>
        <v/>
      </c>
      <c r="E57" t="str">
        <f>IF(_xlfn.XLOOKUP('PREENCHIMENTO|NÃO-LETIVAS'!A57,PARAMETROS!A:A,PARAMETROS!I:I)=0,"",_xlfn.XLOOKUP('PREENCHIMENTO|NÃO-LETIVAS'!A57,PARAMETROS!A:A,PARAMETROS!I:I))</f>
        <v/>
      </c>
      <c r="F57" s="3"/>
      <c r="G57" s="3"/>
      <c r="H57" s="3"/>
      <c r="I57" s="3"/>
      <c r="Y57" s="6">
        <f>_xlfn.XLOOKUP(G:G,PARAMETROS!Y:Y,PARAMETROS!AD:AD)</f>
        <v>0</v>
      </c>
    </row>
    <row r="58" spans="1:25">
      <c r="A58" s="3"/>
      <c r="B58" t="str">
        <f>IF(_xlfn.XLOOKUP(A58,PARAMETROS!A:A,PARAMETROS!B:B)=0,"",_xlfn.XLOOKUP(A58,PARAMETROS!A:A,PARAMETROS!B:B))</f>
        <v/>
      </c>
      <c r="C58" t="str">
        <f>IF(_xlfn.XLOOKUP(A58,PARAMETROS!A:A,PARAMETROS!C:C)=0,"",_xlfn.XLOOKUP(A58,PARAMETROS!A:A,PARAMETROS!C:C))</f>
        <v/>
      </c>
      <c r="D58" t="str">
        <f>IF(_xlfn.XLOOKUP(A58,PARAMETROS!A:A,PARAMETROS!E:E)=0,"",_xlfn.XLOOKUP(A58,PARAMETROS!A:A,PARAMETROS!E:E))</f>
        <v/>
      </c>
      <c r="E58" t="str">
        <f>IF(_xlfn.XLOOKUP('PREENCHIMENTO|NÃO-LETIVAS'!A58,PARAMETROS!A:A,PARAMETROS!I:I)=0,"",_xlfn.XLOOKUP('PREENCHIMENTO|NÃO-LETIVAS'!A58,PARAMETROS!A:A,PARAMETROS!I:I))</f>
        <v/>
      </c>
      <c r="F58" s="3"/>
      <c r="G58" s="3"/>
      <c r="H58" s="3"/>
      <c r="I58" s="3"/>
      <c r="Y58" s="6">
        <f>_xlfn.XLOOKUP(G:G,PARAMETROS!Y:Y,PARAMETROS!AD:AD)</f>
        <v>0</v>
      </c>
    </row>
    <row r="59" spans="1:25">
      <c r="A59" s="3"/>
      <c r="B59" t="str">
        <f>IF(_xlfn.XLOOKUP(A59,PARAMETROS!A:A,PARAMETROS!B:B)=0,"",_xlfn.XLOOKUP(A59,PARAMETROS!A:A,PARAMETROS!B:B))</f>
        <v/>
      </c>
      <c r="C59" t="str">
        <f>IF(_xlfn.XLOOKUP(A59,PARAMETROS!A:A,PARAMETROS!C:C)=0,"",_xlfn.XLOOKUP(A59,PARAMETROS!A:A,PARAMETROS!C:C))</f>
        <v/>
      </c>
      <c r="D59" t="str">
        <f>IF(_xlfn.XLOOKUP(A59,PARAMETROS!A:A,PARAMETROS!E:E)=0,"",_xlfn.XLOOKUP(A59,PARAMETROS!A:A,PARAMETROS!E:E))</f>
        <v/>
      </c>
      <c r="E59" t="str">
        <f>IF(_xlfn.XLOOKUP('PREENCHIMENTO|NÃO-LETIVAS'!A59,PARAMETROS!A:A,PARAMETROS!I:I)=0,"",_xlfn.XLOOKUP('PREENCHIMENTO|NÃO-LETIVAS'!A59,PARAMETROS!A:A,PARAMETROS!I:I))</f>
        <v/>
      </c>
      <c r="F59" s="3"/>
      <c r="G59" s="3"/>
      <c r="H59" s="3"/>
      <c r="I59" s="3"/>
      <c r="Y59" s="6">
        <f>_xlfn.XLOOKUP(G:G,PARAMETROS!Y:Y,PARAMETROS!AD:AD)</f>
        <v>0</v>
      </c>
    </row>
    <row r="60" spans="1:25">
      <c r="A60" s="3"/>
      <c r="B60" t="str">
        <f>IF(_xlfn.XLOOKUP(A60,PARAMETROS!A:A,PARAMETROS!B:B)=0,"",_xlfn.XLOOKUP(A60,PARAMETROS!A:A,PARAMETROS!B:B))</f>
        <v/>
      </c>
      <c r="C60" t="str">
        <f>IF(_xlfn.XLOOKUP(A60,PARAMETROS!A:A,PARAMETROS!C:C)=0,"",_xlfn.XLOOKUP(A60,PARAMETROS!A:A,PARAMETROS!C:C))</f>
        <v/>
      </c>
      <c r="D60" t="str">
        <f>IF(_xlfn.XLOOKUP(A60,PARAMETROS!A:A,PARAMETROS!E:E)=0,"",_xlfn.XLOOKUP(A60,PARAMETROS!A:A,PARAMETROS!E:E))</f>
        <v/>
      </c>
      <c r="E60" t="str">
        <f>IF(_xlfn.XLOOKUP('PREENCHIMENTO|NÃO-LETIVAS'!A60,PARAMETROS!A:A,PARAMETROS!I:I)=0,"",_xlfn.XLOOKUP('PREENCHIMENTO|NÃO-LETIVAS'!A60,PARAMETROS!A:A,PARAMETROS!I:I))</f>
        <v/>
      </c>
      <c r="F60" s="3"/>
      <c r="G60" s="3"/>
      <c r="H60" s="3"/>
      <c r="I60" s="3"/>
      <c r="Y60" s="6">
        <f>_xlfn.XLOOKUP(G:G,PARAMETROS!Y:Y,PARAMETROS!AD:AD)</f>
        <v>0</v>
      </c>
    </row>
    <row r="61" spans="1:25">
      <c r="A61" s="3"/>
      <c r="B61" t="str">
        <f>IF(_xlfn.XLOOKUP(A61,PARAMETROS!A:A,PARAMETROS!B:B)=0,"",_xlfn.XLOOKUP(A61,PARAMETROS!A:A,PARAMETROS!B:B))</f>
        <v/>
      </c>
      <c r="C61" t="str">
        <f>IF(_xlfn.XLOOKUP(A61,PARAMETROS!A:A,PARAMETROS!C:C)=0,"",_xlfn.XLOOKUP(A61,PARAMETROS!A:A,PARAMETROS!C:C))</f>
        <v/>
      </c>
      <c r="D61" t="str">
        <f>IF(_xlfn.XLOOKUP(A61,PARAMETROS!A:A,PARAMETROS!E:E)=0,"",_xlfn.XLOOKUP(A61,PARAMETROS!A:A,PARAMETROS!E:E))</f>
        <v/>
      </c>
      <c r="E61" t="str">
        <f>IF(_xlfn.XLOOKUP('PREENCHIMENTO|NÃO-LETIVAS'!A61,PARAMETROS!A:A,PARAMETROS!I:I)=0,"",_xlfn.XLOOKUP('PREENCHIMENTO|NÃO-LETIVAS'!A61,PARAMETROS!A:A,PARAMETROS!I:I))</f>
        <v/>
      </c>
      <c r="F61" s="3"/>
      <c r="G61" s="3"/>
      <c r="H61" s="3"/>
      <c r="I61" s="3"/>
      <c r="Y61" s="6">
        <f>_xlfn.XLOOKUP(G:G,PARAMETROS!Y:Y,PARAMETROS!AD:AD)</f>
        <v>0</v>
      </c>
    </row>
    <row r="62" spans="1:25">
      <c r="A62" s="3"/>
      <c r="B62" t="str">
        <f>IF(_xlfn.XLOOKUP(A62,PARAMETROS!A:A,PARAMETROS!B:B)=0,"",_xlfn.XLOOKUP(A62,PARAMETROS!A:A,PARAMETROS!B:B))</f>
        <v/>
      </c>
      <c r="C62" t="str">
        <f>IF(_xlfn.XLOOKUP(A62,PARAMETROS!A:A,PARAMETROS!C:C)=0,"",_xlfn.XLOOKUP(A62,PARAMETROS!A:A,PARAMETROS!C:C))</f>
        <v/>
      </c>
      <c r="D62" t="str">
        <f>IF(_xlfn.XLOOKUP(A62,PARAMETROS!A:A,PARAMETROS!E:E)=0,"",_xlfn.XLOOKUP(A62,PARAMETROS!A:A,PARAMETROS!E:E))</f>
        <v/>
      </c>
      <c r="E62" t="str">
        <f>IF(_xlfn.XLOOKUP('PREENCHIMENTO|NÃO-LETIVAS'!A62,PARAMETROS!A:A,PARAMETROS!I:I)=0,"",_xlfn.XLOOKUP('PREENCHIMENTO|NÃO-LETIVAS'!A62,PARAMETROS!A:A,PARAMETROS!I:I))</f>
        <v/>
      </c>
      <c r="F62" s="3"/>
      <c r="G62" s="3"/>
      <c r="H62" s="3"/>
      <c r="I62" s="3"/>
      <c r="Y62" s="6">
        <f>_xlfn.XLOOKUP(G:G,PARAMETROS!Y:Y,PARAMETROS!AD:AD)</f>
        <v>0</v>
      </c>
    </row>
    <row r="63" spans="1:25">
      <c r="A63" s="3"/>
      <c r="B63" t="str">
        <f>IF(_xlfn.XLOOKUP(A63,PARAMETROS!A:A,PARAMETROS!B:B)=0,"",_xlfn.XLOOKUP(A63,PARAMETROS!A:A,PARAMETROS!B:B))</f>
        <v/>
      </c>
      <c r="C63" t="str">
        <f>IF(_xlfn.XLOOKUP(A63,PARAMETROS!A:A,PARAMETROS!C:C)=0,"",_xlfn.XLOOKUP(A63,PARAMETROS!A:A,PARAMETROS!C:C))</f>
        <v/>
      </c>
      <c r="D63" t="str">
        <f>IF(_xlfn.XLOOKUP(A63,PARAMETROS!A:A,PARAMETROS!E:E)=0,"",_xlfn.XLOOKUP(A63,PARAMETROS!A:A,PARAMETROS!E:E))</f>
        <v/>
      </c>
      <c r="E63" t="str">
        <f>IF(_xlfn.XLOOKUP('PREENCHIMENTO|NÃO-LETIVAS'!A63,PARAMETROS!A:A,PARAMETROS!I:I)=0,"",_xlfn.XLOOKUP('PREENCHIMENTO|NÃO-LETIVAS'!A63,PARAMETROS!A:A,PARAMETROS!I:I))</f>
        <v/>
      </c>
      <c r="F63" s="3"/>
      <c r="G63" s="3"/>
      <c r="H63" s="3"/>
      <c r="I63" s="3"/>
      <c r="Y63" s="6">
        <f>_xlfn.XLOOKUP(G:G,PARAMETROS!Y:Y,PARAMETROS!AD:AD)</f>
        <v>0</v>
      </c>
    </row>
    <row r="64" spans="1:25">
      <c r="A64" s="3"/>
      <c r="B64" t="str">
        <f>IF(_xlfn.XLOOKUP(A64,PARAMETROS!A:A,PARAMETROS!B:B)=0,"",_xlfn.XLOOKUP(A64,PARAMETROS!A:A,PARAMETROS!B:B))</f>
        <v/>
      </c>
      <c r="C64" t="str">
        <f>IF(_xlfn.XLOOKUP(A64,PARAMETROS!A:A,PARAMETROS!C:C)=0,"",_xlfn.XLOOKUP(A64,PARAMETROS!A:A,PARAMETROS!C:C))</f>
        <v/>
      </c>
      <c r="D64" t="str">
        <f>IF(_xlfn.XLOOKUP(A64,PARAMETROS!A:A,PARAMETROS!E:E)=0,"",_xlfn.XLOOKUP(A64,PARAMETROS!A:A,PARAMETROS!E:E))</f>
        <v/>
      </c>
      <c r="E64" t="str">
        <f>IF(_xlfn.XLOOKUP('PREENCHIMENTO|NÃO-LETIVAS'!A64,PARAMETROS!A:A,PARAMETROS!I:I)=0,"",_xlfn.XLOOKUP('PREENCHIMENTO|NÃO-LETIVAS'!A64,PARAMETROS!A:A,PARAMETROS!I:I))</f>
        <v/>
      </c>
      <c r="F64" s="3"/>
      <c r="G64" s="3"/>
      <c r="H64" s="3"/>
      <c r="I64" s="3"/>
      <c r="Y64" s="6">
        <f>_xlfn.XLOOKUP(G:G,PARAMETROS!Y:Y,PARAMETROS!AD:AD)</f>
        <v>0</v>
      </c>
    </row>
    <row r="65" spans="1:25">
      <c r="A65" s="3"/>
      <c r="B65" t="str">
        <f>IF(_xlfn.XLOOKUP(A65,PARAMETROS!A:A,PARAMETROS!B:B)=0,"",_xlfn.XLOOKUP(A65,PARAMETROS!A:A,PARAMETROS!B:B))</f>
        <v/>
      </c>
      <c r="C65" t="str">
        <f>IF(_xlfn.XLOOKUP(A65,PARAMETROS!A:A,PARAMETROS!C:C)=0,"",_xlfn.XLOOKUP(A65,PARAMETROS!A:A,PARAMETROS!C:C))</f>
        <v/>
      </c>
      <c r="D65" t="str">
        <f>IF(_xlfn.XLOOKUP(A65,PARAMETROS!A:A,PARAMETROS!E:E)=0,"",_xlfn.XLOOKUP(A65,PARAMETROS!A:A,PARAMETROS!E:E))</f>
        <v/>
      </c>
      <c r="E65" t="str">
        <f>IF(_xlfn.XLOOKUP('PREENCHIMENTO|NÃO-LETIVAS'!A65,PARAMETROS!A:A,PARAMETROS!I:I)=0,"",_xlfn.XLOOKUP('PREENCHIMENTO|NÃO-LETIVAS'!A65,PARAMETROS!A:A,PARAMETROS!I:I))</f>
        <v/>
      </c>
      <c r="F65" s="3"/>
      <c r="G65" s="3"/>
      <c r="H65" s="3"/>
      <c r="I65" s="3"/>
      <c r="Y65" s="6">
        <f>_xlfn.XLOOKUP(G:G,PARAMETROS!Y:Y,PARAMETROS!AD:AD)</f>
        <v>0</v>
      </c>
    </row>
    <row r="66" spans="1:25">
      <c r="A66" s="3"/>
      <c r="B66" t="str">
        <f>IF(_xlfn.XLOOKUP(A66,PARAMETROS!A:A,PARAMETROS!B:B)=0,"",_xlfn.XLOOKUP(A66,PARAMETROS!A:A,PARAMETROS!B:B))</f>
        <v/>
      </c>
      <c r="C66" t="str">
        <f>IF(_xlfn.XLOOKUP(A66,PARAMETROS!A:A,PARAMETROS!C:C)=0,"",_xlfn.XLOOKUP(A66,PARAMETROS!A:A,PARAMETROS!C:C))</f>
        <v/>
      </c>
      <c r="D66" t="str">
        <f>IF(_xlfn.XLOOKUP(A66,PARAMETROS!A:A,PARAMETROS!E:E)=0,"",_xlfn.XLOOKUP(A66,PARAMETROS!A:A,PARAMETROS!E:E))</f>
        <v/>
      </c>
      <c r="E66" t="str">
        <f>IF(_xlfn.XLOOKUP('PREENCHIMENTO|NÃO-LETIVAS'!A66,PARAMETROS!A:A,PARAMETROS!I:I)=0,"",_xlfn.XLOOKUP('PREENCHIMENTO|NÃO-LETIVAS'!A66,PARAMETROS!A:A,PARAMETROS!I:I))</f>
        <v/>
      </c>
      <c r="F66" s="3"/>
      <c r="G66" s="3"/>
      <c r="H66" s="3"/>
      <c r="I66" s="3"/>
      <c r="Y66" s="6">
        <f>_xlfn.XLOOKUP(G:G,PARAMETROS!Y:Y,PARAMETROS!AD:AD)</f>
        <v>0</v>
      </c>
    </row>
    <row r="67" spans="1:25">
      <c r="A67" s="3"/>
      <c r="B67" t="str">
        <f>IF(_xlfn.XLOOKUP(A67,PARAMETROS!A:A,PARAMETROS!B:B)=0,"",_xlfn.XLOOKUP(A67,PARAMETROS!A:A,PARAMETROS!B:B))</f>
        <v/>
      </c>
      <c r="C67" t="str">
        <f>IF(_xlfn.XLOOKUP(A67,PARAMETROS!A:A,PARAMETROS!C:C)=0,"",_xlfn.XLOOKUP(A67,PARAMETROS!A:A,PARAMETROS!C:C))</f>
        <v/>
      </c>
      <c r="D67" t="str">
        <f>IF(_xlfn.XLOOKUP(A67,PARAMETROS!A:A,PARAMETROS!E:E)=0,"",_xlfn.XLOOKUP(A67,PARAMETROS!A:A,PARAMETROS!E:E))</f>
        <v/>
      </c>
      <c r="E67" t="str">
        <f>IF(_xlfn.XLOOKUP('PREENCHIMENTO|NÃO-LETIVAS'!A67,PARAMETROS!A:A,PARAMETROS!I:I)=0,"",_xlfn.XLOOKUP('PREENCHIMENTO|NÃO-LETIVAS'!A67,PARAMETROS!A:A,PARAMETROS!I:I))</f>
        <v/>
      </c>
      <c r="F67" s="3"/>
      <c r="G67" s="3"/>
      <c r="H67" s="3"/>
      <c r="I67" s="3"/>
      <c r="Y67" s="6">
        <f>_xlfn.XLOOKUP(G:G,PARAMETROS!Y:Y,PARAMETROS!AD:AD)</f>
        <v>0</v>
      </c>
    </row>
    <row r="68" spans="1:25">
      <c r="A68" s="3"/>
      <c r="B68" t="str">
        <f>IF(_xlfn.XLOOKUP(A68,PARAMETROS!A:A,PARAMETROS!B:B)=0,"",_xlfn.XLOOKUP(A68,PARAMETROS!A:A,PARAMETROS!B:B))</f>
        <v/>
      </c>
      <c r="C68" t="str">
        <f>IF(_xlfn.XLOOKUP(A68,PARAMETROS!A:A,PARAMETROS!C:C)=0,"",_xlfn.XLOOKUP(A68,PARAMETROS!A:A,PARAMETROS!C:C))</f>
        <v/>
      </c>
      <c r="D68" t="str">
        <f>IF(_xlfn.XLOOKUP(A68,PARAMETROS!A:A,PARAMETROS!E:E)=0,"",_xlfn.XLOOKUP(A68,PARAMETROS!A:A,PARAMETROS!E:E))</f>
        <v/>
      </c>
      <c r="E68" t="str">
        <f>IF(_xlfn.XLOOKUP('PREENCHIMENTO|NÃO-LETIVAS'!A68,PARAMETROS!A:A,PARAMETROS!I:I)=0,"",_xlfn.XLOOKUP('PREENCHIMENTO|NÃO-LETIVAS'!A68,PARAMETROS!A:A,PARAMETROS!I:I))</f>
        <v/>
      </c>
      <c r="F68" s="3"/>
      <c r="G68" s="3"/>
      <c r="H68" s="3"/>
      <c r="I68" s="3"/>
      <c r="Y68" s="6">
        <f>_xlfn.XLOOKUP(G:G,PARAMETROS!Y:Y,PARAMETROS!AD:AD)</f>
        <v>0</v>
      </c>
    </row>
    <row r="69" spans="1:25">
      <c r="A69" s="3"/>
      <c r="B69" t="str">
        <f>IF(_xlfn.XLOOKUP(A69,PARAMETROS!A:A,PARAMETROS!B:B)=0,"",_xlfn.XLOOKUP(A69,PARAMETROS!A:A,PARAMETROS!B:B))</f>
        <v/>
      </c>
      <c r="C69" t="str">
        <f>IF(_xlfn.XLOOKUP(A69,PARAMETROS!A:A,PARAMETROS!C:C)=0,"",_xlfn.XLOOKUP(A69,PARAMETROS!A:A,PARAMETROS!C:C))</f>
        <v/>
      </c>
      <c r="D69" t="str">
        <f>IF(_xlfn.XLOOKUP(A69,PARAMETROS!A:A,PARAMETROS!E:E)=0,"",_xlfn.XLOOKUP(A69,PARAMETROS!A:A,PARAMETROS!E:E))</f>
        <v/>
      </c>
      <c r="E69" t="str">
        <f>IF(_xlfn.XLOOKUP('PREENCHIMENTO|NÃO-LETIVAS'!A69,PARAMETROS!A:A,PARAMETROS!I:I)=0,"",_xlfn.XLOOKUP('PREENCHIMENTO|NÃO-LETIVAS'!A69,PARAMETROS!A:A,PARAMETROS!I:I))</f>
        <v/>
      </c>
      <c r="F69" s="3"/>
      <c r="G69" s="3"/>
      <c r="H69" s="3"/>
      <c r="I69" s="3"/>
      <c r="Y69" s="6">
        <f>_xlfn.XLOOKUP(G:G,PARAMETROS!Y:Y,PARAMETROS!AD:AD)</f>
        <v>0</v>
      </c>
    </row>
    <row r="70" spans="1:25">
      <c r="A70" s="3"/>
      <c r="B70" t="str">
        <f>IF(_xlfn.XLOOKUP(A70,PARAMETROS!A:A,PARAMETROS!B:B)=0,"",_xlfn.XLOOKUP(A70,PARAMETROS!A:A,PARAMETROS!B:B))</f>
        <v/>
      </c>
      <c r="C70" t="str">
        <f>IF(_xlfn.XLOOKUP(A70,PARAMETROS!A:A,PARAMETROS!C:C)=0,"",_xlfn.XLOOKUP(A70,PARAMETROS!A:A,PARAMETROS!C:C))</f>
        <v/>
      </c>
      <c r="D70" t="str">
        <f>IF(_xlfn.XLOOKUP(A70,PARAMETROS!A:A,PARAMETROS!E:E)=0,"",_xlfn.XLOOKUP(A70,PARAMETROS!A:A,PARAMETROS!E:E))</f>
        <v/>
      </c>
      <c r="E70" t="str">
        <f>IF(_xlfn.XLOOKUP('PREENCHIMENTO|NÃO-LETIVAS'!A70,PARAMETROS!A:A,PARAMETROS!I:I)=0,"",_xlfn.XLOOKUP('PREENCHIMENTO|NÃO-LETIVAS'!A70,PARAMETROS!A:A,PARAMETROS!I:I))</f>
        <v/>
      </c>
      <c r="F70" s="3"/>
      <c r="G70" s="3"/>
      <c r="H70" s="3"/>
      <c r="I70" s="3"/>
      <c r="Y70" s="6">
        <f>_xlfn.XLOOKUP(G:G,PARAMETROS!Y:Y,PARAMETROS!AD:AD)</f>
        <v>0</v>
      </c>
    </row>
    <row r="71" spans="1:25">
      <c r="A71" s="3"/>
      <c r="B71" t="str">
        <f>IF(_xlfn.XLOOKUP(A71,PARAMETROS!A:A,PARAMETROS!B:B)=0,"",_xlfn.XLOOKUP(A71,PARAMETROS!A:A,PARAMETROS!B:B))</f>
        <v/>
      </c>
      <c r="C71" t="str">
        <f>IF(_xlfn.XLOOKUP(A71,PARAMETROS!A:A,PARAMETROS!C:C)=0,"",_xlfn.XLOOKUP(A71,PARAMETROS!A:A,PARAMETROS!C:C))</f>
        <v/>
      </c>
      <c r="D71" t="str">
        <f>IF(_xlfn.XLOOKUP(A71,PARAMETROS!A:A,PARAMETROS!E:E)=0,"",_xlfn.XLOOKUP(A71,PARAMETROS!A:A,PARAMETROS!E:E))</f>
        <v/>
      </c>
      <c r="E71" t="str">
        <f>IF(_xlfn.XLOOKUP('PREENCHIMENTO|NÃO-LETIVAS'!A71,PARAMETROS!A:A,PARAMETROS!I:I)=0,"",_xlfn.XLOOKUP('PREENCHIMENTO|NÃO-LETIVAS'!A71,PARAMETROS!A:A,PARAMETROS!I:I))</f>
        <v/>
      </c>
      <c r="F71" s="3"/>
      <c r="G71" s="3"/>
      <c r="H71" s="3"/>
      <c r="I71" s="3"/>
      <c r="Y71" s="6">
        <f>_xlfn.XLOOKUP(G:G,PARAMETROS!Y:Y,PARAMETROS!AD:AD)</f>
        <v>0</v>
      </c>
    </row>
    <row r="72" spans="1:25">
      <c r="A72" s="3"/>
      <c r="B72" t="str">
        <f>IF(_xlfn.XLOOKUP(A72,PARAMETROS!A:A,PARAMETROS!B:B)=0,"",_xlfn.XLOOKUP(A72,PARAMETROS!A:A,PARAMETROS!B:B))</f>
        <v/>
      </c>
      <c r="C72" t="str">
        <f>IF(_xlfn.XLOOKUP(A72,PARAMETROS!A:A,PARAMETROS!C:C)=0,"",_xlfn.XLOOKUP(A72,PARAMETROS!A:A,PARAMETROS!C:C))</f>
        <v/>
      </c>
      <c r="D72" t="str">
        <f>IF(_xlfn.XLOOKUP(A72,PARAMETROS!A:A,PARAMETROS!E:E)=0,"",_xlfn.XLOOKUP(A72,PARAMETROS!A:A,PARAMETROS!E:E))</f>
        <v/>
      </c>
      <c r="E72" t="str">
        <f>IF(_xlfn.XLOOKUP('PREENCHIMENTO|NÃO-LETIVAS'!A72,PARAMETROS!A:A,PARAMETROS!I:I)=0,"",_xlfn.XLOOKUP('PREENCHIMENTO|NÃO-LETIVAS'!A72,PARAMETROS!A:A,PARAMETROS!I:I))</f>
        <v/>
      </c>
      <c r="F72" s="3"/>
      <c r="G72" s="3"/>
      <c r="H72" s="3"/>
      <c r="I72" s="3"/>
      <c r="Y72" s="6">
        <f>_xlfn.XLOOKUP(G:G,PARAMETROS!Y:Y,PARAMETROS!AD:AD)</f>
        <v>0</v>
      </c>
    </row>
    <row r="73" spans="1:25">
      <c r="A73" s="3"/>
      <c r="B73" t="str">
        <f>IF(_xlfn.XLOOKUP(A73,PARAMETROS!A:A,PARAMETROS!B:B)=0,"",_xlfn.XLOOKUP(A73,PARAMETROS!A:A,PARAMETROS!B:B))</f>
        <v/>
      </c>
      <c r="C73" t="str">
        <f>IF(_xlfn.XLOOKUP(A73,PARAMETROS!A:A,PARAMETROS!C:C)=0,"",_xlfn.XLOOKUP(A73,PARAMETROS!A:A,PARAMETROS!C:C))</f>
        <v/>
      </c>
      <c r="D73" t="str">
        <f>IF(_xlfn.XLOOKUP(A73,PARAMETROS!A:A,PARAMETROS!E:E)=0,"",_xlfn.XLOOKUP(A73,PARAMETROS!A:A,PARAMETROS!E:E))</f>
        <v/>
      </c>
      <c r="E73" t="str">
        <f>IF(_xlfn.XLOOKUP('PREENCHIMENTO|NÃO-LETIVAS'!A73,PARAMETROS!A:A,PARAMETROS!I:I)=0,"",_xlfn.XLOOKUP('PREENCHIMENTO|NÃO-LETIVAS'!A73,PARAMETROS!A:A,PARAMETROS!I:I))</f>
        <v/>
      </c>
      <c r="F73" s="3"/>
      <c r="G73" s="3"/>
      <c r="H73" s="3"/>
      <c r="I73" s="3"/>
      <c r="Y73" s="6">
        <f>_xlfn.XLOOKUP(G:G,PARAMETROS!Y:Y,PARAMETROS!AD:AD)</f>
        <v>0</v>
      </c>
    </row>
    <row r="74" spans="1:25">
      <c r="A74" s="3"/>
      <c r="B74" t="str">
        <f>IF(_xlfn.XLOOKUP(A74,PARAMETROS!A:A,PARAMETROS!B:B)=0,"",_xlfn.XLOOKUP(A74,PARAMETROS!A:A,PARAMETROS!B:B))</f>
        <v/>
      </c>
      <c r="C74" t="str">
        <f>IF(_xlfn.XLOOKUP(A74,PARAMETROS!A:A,PARAMETROS!C:C)=0,"",_xlfn.XLOOKUP(A74,PARAMETROS!A:A,PARAMETROS!C:C))</f>
        <v/>
      </c>
      <c r="D74" t="str">
        <f>IF(_xlfn.XLOOKUP(A74,PARAMETROS!A:A,PARAMETROS!E:E)=0,"",_xlfn.XLOOKUP(A74,PARAMETROS!A:A,PARAMETROS!E:E))</f>
        <v/>
      </c>
      <c r="E74" t="str">
        <f>IF(_xlfn.XLOOKUP('PREENCHIMENTO|NÃO-LETIVAS'!A74,PARAMETROS!A:A,PARAMETROS!I:I)=0,"",_xlfn.XLOOKUP('PREENCHIMENTO|NÃO-LETIVAS'!A74,PARAMETROS!A:A,PARAMETROS!I:I))</f>
        <v/>
      </c>
      <c r="F74" s="3"/>
      <c r="G74" s="3"/>
      <c r="H74" s="3"/>
      <c r="I74" s="3"/>
      <c r="Y74" s="6">
        <f>_xlfn.XLOOKUP(G:G,PARAMETROS!Y:Y,PARAMETROS!AD:AD)</f>
        <v>0</v>
      </c>
    </row>
    <row r="75" spans="1:25">
      <c r="A75" s="3"/>
      <c r="B75" t="str">
        <f>IF(_xlfn.XLOOKUP(A75,PARAMETROS!A:A,PARAMETROS!B:B)=0,"",_xlfn.XLOOKUP(A75,PARAMETROS!A:A,PARAMETROS!B:B))</f>
        <v/>
      </c>
      <c r="C75" t="str">
        <f>IF(_xlfn.XLOOKUP(A75,PARAMETROS!A:A,PARAMETROS!C:C)=0,"",_xlfn.XLOOKUP(A75,PARAMETROS!A:A,PARAMETROS!C:C))</f>
        <v/>
      </c>
      <c r="D75" t="str">
        <f>IF(_xlfn.XLOOKUP(A75,PARAMETROS!A:A,PARAMETROS!E:E)=0,"",_xlfn.XLOOKUP(A75,PARAMETROS!A:A,PARAMETROS!E:E))</f>
        <v/>
      </c>
      <c r="E75" t="str">
        <f>IF(_xlfn.XLOOKUP('PREENCHIMENTO|NÃO-LETIVAS'!A75,PARAMETROS!A:A,PARAMETROS!I:I)=0,"",_xlfn.XLOOKUP('PREENCHIMENTO|NÃO-LETIVAS'!A75,PARAMETROS!A:A,PARAMETROS!I:I))</f>
        <v/>
      </c>
      <c r="F75" s="3"/>
      <c r="G75" s="3"/>
      <c r="H75" s="3"/>
      <c r="I75" s="3"/>
      <c r="Y75" s="6">
        <f>_xlfn.XLOOKUP(G:G,PARAMETROS!Y:Y,PARAMETROS!AD:AD)</f>
        <v>0</v>
      </c>
    </row>
    <row r="76" spans="1:25">
      <c r="A76" s="3"/>
      <c r="B76" t="str">
        <f>IF(_xlfn.XLOOKUP(A76,PARAMETROS!A:A,PARAMETROS!B:B)=0,"",_xlfn.XLOOKUP(A76,PARAMETROS!A:A,PARAMETROS!B:B))</f>
        <v/>
      </c>
      <c r="C76" t="str">
        <f>IF(_xlfn.XLOOKUP(A76,PARAMETROS!A:A,PARAMETROS!C:C)=0,"",_xlfn.XLOOKUP(A76,PARAMETROS!A:A,PARAMETROS!C:C))</f>
        <v/>
      </c>
      <c r="D76" t="str">
        <f>IF(_xlfn.XLOOKUP(A76,PARAMETROS!A:A,PARAMETROS!E:E)=0,"",_xlfn.XLOOKUP(A76,PARAMETROS!A:A,PARAMETROS!E:E))</f>
        <v/>
      </c>
      <c r="E76" t="str">
        <f>IF(_xlfn.XLOOKUP('PREENCHIMENTO|NÃO-LETIVAS'!A76,PARAMETROS!A:A,PARAMETROS!I:I)=0,"",_xlfn.XLOOKUP('PREENCHIMENTO|NÃO-LETIVAS'!A76,PARAMETROS!A:A,PARAMETROS!I:I))</f>
        <v/>
      </c>
      <c r="F76" s="3"/>
      <c r="G76" s="3"/>
      <c r="H76" s="3"/>
      <c r="I76" s="3"/>
      <c r="Y76" s="6">
        <f>_xlfn.XLOOKUP(G:G,PARAMETROS!Y:Y,PARAMETROS!AD:AD)</f>
        <v>0</v>
      </c>
    </row>
    <row r="77" spans="1:25">
      <c r="A77" s="3"/>
      <c r="B77" t="str">
        <f>IF(_xlfn.XLOOKUP(A77,PARAMETROS!A:A,PARAMETROS!B:B)=0,"",_xlfn.XLOOKUP(A77,PARAMETROS!A:A,PARAMETROS!B:B))</f>
        <v/>
      </c>
      <c r="C77" t="str">
        <f>IF(_xlfn.XLOOKUP(A77,PARAMETROS!A:A,PARAMETROS!C:C)=0,"",_xlfn.XLOOKUP(A77,PARAMETROS!A:A,PARAMETROS!C:C))</f>
        <v/>
      </c>
      <c r="D77" t="str">
        <f>IF(_xlfn.XLOOKUP(A77,PARAMETROS!A:A,PARAMETROS!E:E)=0,"",_xlfn.XLOOKUP(A77,PARAMETROS!A:A,PARAMETROS!E:E))</f>
        <v/>
      </c>
      <c r="E77" t="str">
        <f>IF(_xlfn.XLOOKUP('PREENCHIMENTO|NÃO-LETIVAS'!A77,PARAMETROS!A:A,PARAMETROS!I:I)=0,"",_xlfn.XLOOKUP('PREENCHIMENTO|NÃO-LETIVAS'!A77,PARAMETROS!A:A,PARAMETROS!I:I))</f>
        <v/>
      </c>
      <c r="F77" s="3"/>
      <c r="G77" s="3"/>
      <c r="H77" s="3"/>
      <c r="I77" s="3"/>
      <c r="Y77" s="6">
        <f>_xlfn.XLOOKUP(G:G,PARAMETROS!Y:Y,PARAMETROS!AD:AD)</f>
        <v>0</v>
      </c>
    </row>
    <row r="78" spans="1:25">
      <c r="A78" s="3"/>
      <c r="B78" t="str">
        <f>IF(_xlfn.XLOOKUP(A78,PARAMETROS!A:A,PARAMETROS!B:B)=0,"",_xlfn.XLOOKUP(A78,PARAMETROS!A:A,PARAMETROS!B:B))</f>
        <v/>
      </c>
      <c r="C78" t="str">
        <f>IF(_xlfn.XLOOKUP(A78,PARAMETROS!A:A,PARAMETROS!C:C)=0,"",_xlfn.XLOOKUP(A78,PARAMETROS!A:A,PARAMETROS!C:C))</f>
        <v/>
      </c>
      <c r="D78" t="str">
        <f>IF(_xlfn.XLOOKUP(A78,PARAMETROS!A:A,PARAMETROS!E:E)=0,"",_xlfn.XLOOKUP(A78,PARAMETROS!A:A,PARAMETROS!E:E))</f>
        <v/>
      </c>
      <c r="E78" t="str">
        <f>IF(_xlfn.XLOOKUP('PREENCHIMENTO|NÃO-LETIVAS'!A78,PARAMETROS!A:A,PARAMETROS!I:I)=0,"",_xlfn.XLOOKUP('PREENCHIMENTO|NÃO-LETIVAS'!A78,PARAMETROS!A:A,PARAMETROS!I:I))</f>
        <v/>
      </c>
      <c r="F78" s="3"/>
      <c r="G78" s="3"/>
      <c r="H78" s="3"/>
      <c r="I78" s="3"/>
      <c r="Y78" s="6">
        <f>_xlfn.XLOOKUP(G:G,PARAMETROS!Y:Y,PARAMETROS!AD:AD)</f>
        <v>0</v>
      </c>
    </row>
    <row r="79" spans="1:25">
      <c r="A79" s="3"/>
      <c r="B79" t="str">
        <f>IF(_xlfn.XLOOKUP(A79,PARAMETROS!A:A,PARAMETROS!B:B)=0,"",_xlfn.XLOOKUP(A79,PARAMETROS!A:A,PARAMETROS!B:B))</f>
        <v/>
      </c>
      <c r="C79" t="str">
        <f>IF(_xlfn.XLOOKUP(A79,PARAMETROS!A:A,PARAMETROS!C:C)=0,"",_xlfn.XLOOKUP(A79,PARAMETROS!A:A,PARAMETROS!C:C))</f>
        <v/>
      </c>
      <c r="D79" t="str">
        <f>IF(_xlfn.XLOOKUP(A79,PARAMETROS!A:A,PARAMETROS!E:E)=0,"",_xlfn.XLOOKUP(A79,PARAMETROS!A:A,PARAMETROS!E:E))</f>
        <v/>
      </c>
      <c r="E79" t="str">
        <f>IF(_xlfn.XLOOKUP('PREENCHIMENTO|NÃO-LETIVAS'!A79,PARAMETROS!A:A,PARAMETROS!I:I)=0,"",_xlfn.XLOOKUP('PREENCHIMENTO|NÃO-LETIVAS'!A79,PARAMETROS!A:A,PARAMETROS!I:I))</f>
        <v/>
      </c>
      <c r="F79" s="3"/>
      <c r="G79" s="3"/>
      <c r="H79" s="3"/>
      <c r="I79" s="3"/>
      <c r="Y79" s="6">
        <f>_xlfn.XLOOKUP(G:G,PARAMETROS!Y:Y,PARAMETROS!AD:AD)</f>
        <v>0</v>
      </c>
    </row>
    <row r="80" spans="1:25">
      <c r="A80" s="3"/>
      <c r="B80" t="str">
        <f>IF(_xlfn.XLOOKUP(A80,PARAMETROS!A:A,PARAMETROS!B:B)=0,"",_xlfn.XLOOKUP(A80,PARAMETROS!A:A,PARAMETROS!B:B))</f>
        <v/>
      </c>
      <c r="C80" t="str">
        <f>IF(_xlfn.XLOOKUP(A80,PARAMETROS!A:A,PARAMETROS!C:C)=0,"",_xlfn.XLOOKUP(A80,PARAMETROS!A:A,PARAMETROS!C:C))</f>
        <v/>
      </c>
      <c r="D80" t="str">
        <f>IF(_xlfn.XLOOKUP(A80,PARAMETROS!A:A,PARAMETROS!E:E)=0,"",_xlfn.XLOOKUP(A80,PARAMETROS!A:A,PARAMETROS!E:E))</f>
        <v/>
      </c>
      <c r="E80" t="str">
        <f>IF(_xlfn.XLOOKUP('PREENCHIMENTO|NÃO-LETIVAS'!A80,PARAMETROS!A:A,PARAMETROS!I:I)=0,"",_xlfn.XLOOKUP('PREENCHIMENTO|NÃO-LETIVAS'!A80,PARAMETROS!A:A,PARAMETROS!I:I))</f>
        <v/>
      </c>
      <c r="F80" s="3"/>
      <c r="G80" s="3"/>
      <c r="H80" s="3"/>
      <c r="I80" s="3"/>
      <c r="Y80" s="6">
        <f>_xlfn.XLOOKUP(G:G,PARAMETROS!Y:Y,PARAMETROS!AD:AD)</f>
        <v>0</v>
      </c>
    </row>
    <row r="81" spans="1:25">
      <c r="A81" s="3"/>
      <c r="B81" t="str">
        <f>IF(_xlfn.XLOOKUP(A81,PARAMETROS!A:A,PARAMETROS!B:B)=0,"",_xlfn.XLOOKUP(A81,PARAMETROS!A:A,PARAMETROS!B:B))</f>
        <v/>
      </c>
      <c r="C81" t="str">
        <f>IF(_xlfn.XLOOKUP(A81,PARAMETROS!A:A,PARAMETROS!C:C)=0,"",_xlfn.XLOOKUP(A81,PARAMETROS!A:A,PARAMETROS!C:C))</f>
        <v/>
      </c>
      <c r="D81" t="str">
        <f>IF(_xlfn.XLOOKUP(A81,PARAMETROS!A:A,PARAMETROS!E:E)=0,"",_xlfn.XLOOKUP(A81,PARAMETROS!A:A,PARAMETROS!E:E))</f>
        <v/>
      </c>
      <c r="E81" t="str">
        <f>IF(_xlfn.XLOOKUP('PREENCHIMENTO|NÃO-LETIVAS'!A81,PARAMETROS!A:A,PARAMETROS!I:I)=0,"",_xlfn.XLOOKUP('PREENCHIMENTO|NÃO-LETIVAS'!A81,PARAMETROS!A:A,PARAMETROS!I:I))</f>
        <v/>
      </c>
      <c r="F81" s="3"/>
      <c r="G81" s="3"/>
      <c r="H81" s="3"/>
      <c r="I81" s="3"/>
      <c r="Y81" s="6">
        <f>_xlfn.XLOOKUP(G:G,PARAMETROS!Y:Y,PARAMETROS!AD:AD)</f>
        <v>0</v>
      </c>
    </row>
    <row r="82" spans="1:25">
      <c r="A82" s="3"/>
      <c r="B82" t="str">
        <f>IF(_xlfn.XLOOKUP(A82,PARAMETROS!A:A,PARAMETROS!B:B)=0,"",_xlfn.XLOOKUP(A82,PARAMETROS!A:A,PARAMETROS!B:B))</f>
        <v/>
      </c>
      <c r="C82" t="str">
        <f>IF(_xlfn.XLOOKUP(A82,PARAMETROS!A:A,PARAMETROS!C:C)=0,"",_xlfn.XLOOKUP(A82,PARAMETROS!A:A,PARAMETROS!C:C))</f>
        <v/>
      </c>
      <c r="D82" t="str">
        <f>IF(_xlfn.XLOOKUP(A82,PARAMETROS!A:A,PARAMETROS!E:E)=0,"",_xlfn.XLOOKUP(A82,PARAMETROS!A:A,PARAMETROS!E:E))</f>
        <v/>
      </c>
      <c r="E82" t="str">
        <f>IF(_xlfn.XLOOKUP('PREENCHIMENTO|NÃO-LETIVAS'!A82,PARAMETROS!A:A,PARAMETROS!I:I)=0,"",_xlfn.XLOOKUP('PREENCHIMENTO|NÃO-LETIVAS'!A82,PARAMETROS!A:A,PARAMETROS!I:I))</f>
        <v/>
      </c>
      <c r="F82" s="3"/>
      <c r="G82" s="3"/>
      <c r="H82" s="3"/>
      <c r="I82" s="3"/>
      <c r="Y82" s="6">
        <f>_xlfn.XLOOKUP(G:G,PARAMETROS!Y:Y,PARAMETROS!AD:AD)</f>
        <v>0</v>
      </c>
    </row>
    <row r="83" spans="1:25">
      <c r="A83" s="3"/>
      <c r="B83" t="str">
        <f>IF(_xlfn.XLOOKUP(A83,PARAMETROS!A:A,PARAMETROS!B:B)=0,"",_xlfn.XLOOKUP(A83,PARAMETROS!A:A,PARAMETROS!B:B))</f>
        <v/>
      </c>
      <c r="C83" t="str">
        <f>IF(_xlfn.XLOOKUP(A83,PARAMETROS!A:A,PARAMETROS!C:C)=0,"",_xlfn.XLOOKUP(A83,PARAMETROS!A:A,PARAMETROS!C:C))</f>
        <v/>
      </c>
      <c r="D83" t="str">
        <f>IF(_xlfn.XLOOKUP(A83,PARAMETROS!A:A,PARAMETROS!E:E)=0,"",_xlfn.XLOOKUP(A83,PARAMETROS!A:A,PARAMETROS!E:E))</f>
        <v/>
      </c>
      <c r="E83" t="str">
        <f>IF(_xlfn.XLOOKUP('PREENCHIMENTO|NÃO-LETIVAS'!A83,PARAMETROS!A:A,PARAMETROS!I:I)=0,"",_xlfn.XLOOKUP('PREENCHIMENTO|NÃO-LETIVAS'!A83,PARAMETROS!A:A,PARAMETROS!I:I))</f>
        <v/>
      </c>
      <c r="F83" s="3"/>
      <c r="G83" s="3"/>
      <c r="H83" s="3"/>
      <c r="I83" s="3"/>
      <c r="Y83" s="6">
        <f>_xlfn.XLOOKUP(G:G,PARAMETROS!Y:Y,PARAMETROS!AD:AD)</f>
        <v>0</v>
      </c>
    </row>
    <row r="84" spans="1:25">
      <c r="A84" s="3"/>
      <c r="B84" t="str">
        <f>IF(_xlfn.XLOOKUP(A84,PARAMETROS!A:A,PARAMETROS!B:B)=0,"",_xlfn.XLOOKUP(A84,PARAMETROS!A:A,PARAMETROS!B:B))</f>
        <v/>
      </c>
      <c r="C84" t="str">
        <f>IF(_xlfn.XLOOKUP(A84,PARAMETROS!A:A,PARAMETROS!C:C)=0,"",_xlfn.XLOOKUP(A84,PARAMETROS!A:A,PARAMETROS!C:C))</f>
        <v/>
      </c>
      <c r="D84" t="str">
        <f>IF(_xlfn.XLOOKUP(A84,PARAMETROS!A:A,PARAMETROS!E:E)=0,"",_xlfn.XLOOKUP(A84,PARAMETROS!A:A,PARAMETROS!E:E))</f>
        <v/>
      </c>
      <c r="E84" t="str">
        <f>IF(_xlfn.XLOOKUP('PREENCHIMENTO|NÃO-LETIVAS'!A84,PARAMETROS!A:A,PARAMETROS!I:I)=0,"",_xlfn.XLOOKUP('PREENCHIMENTO|NÃO-LETIVAS'!A84,PARAMETROS!A:A,PARAMETROS!I:I))</f>
        <v/>
      </c>
      <c r="F84" s="3"/>
      <c r="G84" s="3"/>
      <c r="H84" s="3"/>
      <c r="I84" s="3"/>
      <c r="Y84" s="6">
        <f>_xlfn.XLOOKUP(G:G,PARAMETROS!Y:Y,PARAMETROS!AD:AD)</f>
        <v>0</v>
      </c>
    </row>
    <row r="85" spans="1:25">
      <c r="A85" s="3"/>
      <c r="B85" t="str">
        <f>IF(_xlfn.XLOOKUP(A85,PARAMETROS!A:A,PARAMETROS!B:B)=0,"",_xlfn.XLOOKUP(A85,PARAMETROS!A:A,PARAMETROS!B:B))</f>
        <v/>
      </c>
      <c r="C85" t="str">
        <f>IF(_xlfn.XLOOKUP(A85,PARAMETROS!A:A,PARAMETROS!C:C)=0,"",_xlfn.XLOOKUP(A85,PARAMETROS!A:A,PARAMETROS!C:C))</f>
        <v/>
      </c>
      <c r="D85" t="str">
        <f>IF(_xlfn.XLOOKUP(A85,PARAMETROS!A:A,PARAMETROS!E:E)=0,"",_xlfn.XLOOKUP(A85,PARAMETROS!A:A,PARAMETROS!E:E))</f>
        <v/>
      </c>
      <c r="E85" t="str">
        <f>IF(_xlfn.XLOOKUP('PREENCHIMENTO|NÃO-LETIVAS'!A85,PARAMETROS!A:A,PARAMETROS!I:I)=0,"",_xlfn.XLOOKUP('PREENCHIMENTO|NÃO-LETIVAS'!A85,PARAMETROS!A:A,PARAMETROS!I:I))</f>
        <v/>
      </c>
      <c r="F85" s="3"/>
      <c r="G85" s="3"/>
      <c r="H85" s="3"/>
      <c r="I85" s="3"/>
      <c r="Y85" s="6">
        <f>_xlfn.XLOOKUP(G:G,PARAMETROS!Y:Y,PARAMETROS!AD:AD)</f>
        <v>0</v>
      </c>
    </row>
    <row r="86" spans="1:25">
      <c r="A86" s="3"/>
      <c r="B86" t="str">
        <f>IF(_xlfn.XLOOKUP(A86,PARAMETROS!A:A,PARAMETROS!B:B)=0,"",_xlfn.XLOOKUP(A86,PARAMETROS!A:A,PARAMETROS!B:B))</f>
        <v/>
      </c>
      <c r="C86" t="str">
        <f>IF(_xlfn.XLOOKUP(A86,PARAMETROS!A:A,PARAMETROS!C:C)=0,"",_xlfn.XLOOKUP(A86,PARAMETROS!A:A,PARAMETROS!C:C))</f>
        <v/>
      </c>
      <c r="D86" t="str">
        <f>IF(_xlfn.XLOOKUP(A86,PARAMETROS!A:A,PARAMETROS!E:E)=0,"",_xlfn.XLOOKUP(A86,PARAMETROS!A:A,PARAMETROS!E:E))</f>
        <v/>
      </c>
      <c r="E86" t="str">
        <f>IF(_xlfn.XLOOKUP('PREENCHIMENTO|NÃO-LETIVAS'!A86,PARAMETROS!A:A,PARAMETROS!I:I)=0,"",_xlfn.XLOOKUP('PREENCHIMENTO|NÃO-LETIVAS'!A86,PARAMETROS!A:A,PARAMETROS!I:I))</f>
        <v/>
      </c>
      <c r="F86" s="3"/>
      <c r="G86" s="3"/>
      <c r="H86" s="3"/>
      <c r="I86" s="3"/>
      <c r="Y86" s="6">
        <f>_xlfn.XLOOKUP(G:G,PARAMETROS!Y:Y,PARAMETROS!AD:AD)</f>
        <v>0</v>
      </c>
    </row>
    <row r="87" spans="1:25">
      <c r="A87" s="3"/>
      <c r="B87" t="str">
        <f>IF(_xlfn.XLOOKUP(A87,PARAMETROS!A:A,PARAMETROS!B:B)=0,"",_xlfn.XLOOKUP(A87,PARAMETROS!A:A,PARAMETROS!B:B))</f>
        <v/>
      </c>
      <c r="C87" t="str">
        <f>IF(_xlfn.XLOOKUP(A87,PARAMETROS!A:A,PARAMETROS!C:C)=0,"",_xlfn.XLOOKUP(A87,PARAMETROS!A:A,PARAMETROS!C:C))</f>
        <v/>
      </c>
      <c r="D87" t="str">
        <f>IF(_xlfn.XLOOKUP(A87,PARAMETROS!A:A,PARAMETROS!E:E)=0,"",_xlfn.XLOOKUP(A87,PARAMETROS!A:A,PARAMETROS!E:E))</f>
        <v/>
      </c>
      <c r="E87" t="str">
        <f>IF(_xlfn.XLOOKUP('PREENCHIMENTO|NÃO-LETIVAS'!A87,PARAMETROS!A:A,PARAMETROS!I:I)=0,"",_xlfn.XLOOKUP('PREENCHIMENTO|NÃO-LETIVAS'!A87,PARAMETROS!A:A,PARAMETROS!I:I))</f>
        <v/>
      </c>
      <c r="F87" s="3"/>
      <c r="G87" s="3"/>
      <c r="H87" s="3"/>
      <c r="I87" s="3"/>
      <c r="Y87" s="6">
        <f>_xlfn.XLOOKUP(G:G,PARAMETROS!Y:Y,PARAMETROS!AD:AD)</f>
        <v>0</v>
      </c>
    </row>
    <row r="88" spans="1:25">
      <c r="A88" s="3"/>
      <c r="B88" t="str">
        <f>IF(_xlfn.XLOOKUP(A88,PARAMETROS!A:A,PARAMETROS!B:B)=0,"",_xlfn.XLOOKUP(A88,PARAMETROS!A:A,PARAMETROS!B:B))</f>
        <v/>
      </c>
      <c r="C88" t="str">
        <f>IF(_xlfn.XLOOKUP(A88,PARAMETROS!A:A,PARAMETROS!C:C)=0,"",_xlfn.XLOOKUP(A88,PARAMETROS!A:A,PARAMETROS!C:C))</f>
        <v/>
      </c>
      <c r="D88" t="str">
        <f>IF(_xlfn.XLOOKUP(A88,PARAMETROS!A:A,PARAMETROS!E:E)=0,"",_xlfn.XLOOKUP(A88,PARAMETROS!A:A,PARAMETROS!E:E))</f>
        <v/>
      </c>
      <c r="E88" t="str">
        <f>IF(_xlfn.XLOOKUP('PREENCHIMENTO|NÃO-LETIVAS'!A88,PARAMETROS!A:A,PARAMETROS!I:I)=0,"",_xlfn.XLOOKUP('PREENCHIMENTO|NÃO-LETIVAS'!A88,PARAMETROS!A:A,PARAMETROS!I:I))</f>
        <v/>
      </c>
      <c r="F88" s="3"/>
      <c r="G88" s="3"/>
      <c r="H88" s="3"/>
      <c r="I88" s="3"/>
      <c r="Y88" s="6">
        <f>_xlfn.XLOOKUP(G:G,PARAMETROS!Y:Y,PARAMETROS!AD:AD)</f>
        <v>0</v>
      </c>
    </row>
    <row r="89" spans="1:25">
      <c r="A89" s="3"/>
      <c r="B89" t="str">
        <f>IF(_xlfn.XLOOKUP(A89,PARAMETROS!A:A,PARAMETROS!B:B)=0,"",_xlfn.XLOOKUP(A89,PARAMETROS!A:A,PARAMETROS!B:B))</f>
        <v/>
      </c>
      <c r="C89" t="str">
        <f>IF(_xlfn.XLOOKUP(A89,PARAMETROS!A:A,PARAMETROS!C:C)=0,"",_xlfn.XLOOKUP(A89,PARAMETROS!A:A,PARAMETROS!C:C))</f>
        <v/>
      </c>
      <c r="D89" t="str">
        <f>IF(_xlfn.XLOOKUP(A89,PARAMETROS!A:A,PARAMETROS!E:E)=0,"",_xlfn.XLOOKUP(A89,PARAMETROS!A:A,PARAMETROS!E:E))</f>
        <v/>
      </c>
      <c r="E89" t="str">
        <f>IF(_xlfn.XLOOKUP('PREENCHIMENTO|NÃO-LETIVAS'!A89,PARAMETROS!A:A,PARAMETROS!I:I)=0,"",_xlfn.XLOOKUP('PREENCHIMENTO|NÃO-LETIVAS'!A89,PARAMETROS!A:A,PARAMETROS!I:I))</f>
        <v/>
      </c>
      <c r="F89" s="3"/>
      <c r="G89" s="3"/>
      <c r="H89" s="3"/>
      <c r="I89" s="3"/>
      <c r="Y89" s="6">
        <f>_xlfn.XLOOKUP(G:G,PARAMETROS!Y:Y,PARAMETROS!AD:AD)</f>
        <v>0</v>
      </c>
    </row>
    <row r="90" spans="1:25">
      <c r="A90" s="3"/>
      <c r="B90" t="str">
        <f>IF(_xlfn.XLOOKUP(A90,PARAMETROS!A:A,PARAMETROS!B:B)=0,"",_xlfn.XLOOKUP(A90,PARAMETROS!A:A,PARAMETROS!B:B))</f>
        <v/>
      </c>
      <c r="C90" t="str">
        <f>IF(_xlfn.XLOOKUP(A90,PARAMETROS!A:A,PARAMETROS!C:C)=0,"",_xlfn.XLOOKUP(A90,PARAMETROS!A:A,PARAMETROS!C:C))</f>
        <v/>
      </c>
      <c r="D90" t="str">
        <f>IF(_xlfn.XLOOKUP(A90,PARAMETROS!A:A,PARAMETROS!E:E)=0,"",_xlfn.XLOOKUP(A90,PARAMETROS!A:A,PARAMETROS!E:E))</f>
        <v/>
      </c>
      <c r="E90" t="str">
        <f>IF(_xlfn.XLOOKUP('PREENCHIMENTO|NÃO-LETIVAS'!A90,PARAMETROS!A:A,PARAMETROS!I:I)=0,"",_xlfn.XLOOKUP('PREENCHIMENTO|NÃO-LETIVAS'!A90,PARAMETROS!A:A,PARAMETROS!I:I))</f>
        <v/>
      </c>
      <c r="F90" s="3"/>
      <c r="G90" s="3"/>
      <c r="H90" s="3"/>
      <c r="I90" s="3"/>
      <c r="Y90" s="6">
        <f>_xlfn.XLOOKUP(G:G,PARAMETROS!Y:Y,PARAMETROS!AD:AD)</f>
        <v>0</v>
      </c>
    </row>
    <row r="91" spans="1:25">
      <c r="A91" s="3"/>
      <c r="B91" t="str">
        <f>IF(_xlfn.XLOOKUP(A91,PARAMETROS!A:A,PARAMETROS!B:B)=0,"",_xlfn.XLOOKUP(A91,PARAMETROS!A:A,PARAMETROS!B:B))</f>
        <v/>
      </c>
      <c r="C91" t="str">
        <f>IF(_xlfn.XLOOKUP(A91,PARAMETROS!A:A,PARAMETROS!C:C)=0,"",_xlfn.XLOOKUP(A91,PARAMETROS!A:A,PARAMETROS!C:C))</f>
        <v/>
      </c>
      <c r="D91" t="str">
        <f>IF(_xlfn.XLOOKUP(A91,PARAMETROS!A:A,PARAMETROS!E:E)=0,"",_xlfn.XLOOKUP(A91,PARAMETROS!A:A,PARAMETROS!E:E))</f>
        <v/>
      </c>
      <c r="E91" t="str">
        <f>IF(_xlfn.XLOOKUP('PREENCHIMENTO|NÃO-LETIVAS'!A91,PARAMETROS!A:A,PARAMETROS!I:I)=0,"",_xlfn.XLOOKUP('PREENCHIMENTO|NÃO-LETIVAS'!A91,PARAMETROS!A:A,PARAMETROS!I:I))</f>
        <v/>
      </c>
      <c r="F91" s="3"/>
      <c r="G91" s="3"/>
      <c r="H91" s="3"/>
      <c r="I91" s="3"/>
      <c r="Y91" s="6">
        <f>_xlfn.XLOOKUP(G:G,PARAMETROS!Y:Y,PARAMETROS!AD:AD)</f>
        <v>0</v>
      </c>
    </row>
    <row r="92" spans="1:25">
      <c r="A92" s="3"/>
      <c r="B92" t="str">
        <f>IF(_xlfn.XLOOKUP(A92,PARAMETROS!A:A,PARAMETROS!B:B)=0,"",_xlfn.XLOOKUP(A92,PARAMETROS!A:A,PARAMETROS!B:B))</f>
        <v/>
      </c>
      <c r="C92" t="str">
        <f>IF(_xlfn.XLOOKUP(A92,PARAMETROS!A:A,PARAMETROS!C:C)=0,"",_xlfn.XLOOKUP(A92,PARAMETROS!A:A,PARAMETROS!C:C))</f>
        <v/>
      </c>
      <c r="D92" t="str">
        <f>IF(_xlfn.XLOOKUP(A92,PARAMETROS!A:A,PARAMETROS!E:E)=0,"",_xlfn.XLOOKUP(A92,PARAMETROS!A:A,PARAMETROS!E:E))</f>
        <v/>
      </c>
      <c r="E92" t="str">
        <f>IF(_xlfn.XLOOKUP('PREENCHIMENTO|NÃO-LETIVAS'!A92,PARAMETROS!A:A,PARAMETROS!I:I)=0,"",_xlfn.XLOOKUP('PREENCHIMENTO|NÃO-LETIVAS'!A92,PARAMETROS!A:A,PARAMETROS!I:I))</f>
        <v/>
      </c>
      <c r="F92" s="3"/>
      <c r="G92" s="3"/>
      <c r="H92" s="3"/>
      <c r="I92" s="3"/>
      <c r="Y92" s="6">
        <f>_xlfn.XLOOKUP(G:G,PARAMETROS!Y:Y,PARAMETROS!AD:AD)</f>
        <v>0</v>
      </c>
    </row>
    <row r="93" spans="1:25">
      <c r="A93" s="3"/>
      <c r="B93" t="str">
        <f>IF(_xlfn.XLOOKUP(A93,PARAMETROS!A:A,PARAMETROS!B:B)=0,"",_xlfn.XLOOKUP(A93,PARAMETROS!A:A,PARAMETROS!B:B))</f>
        <v/>
      </c>
      <c r="C93" t="str">
        <f>IF(_xlfn.XLOOKUP(A93,PARAMETROS!A:A,PARAMETROS!C:C)=0,"",_xlfn.XLOOKUP(A93,PARAMETROS!A:A,PARAMETROS!C:C))</f>
        <v/>
      </c>
      <c r="D93" t="str">
        <f>IF(_xlfn.XLOOKUP(A93,PARAMETROS!A:A,PARAMETROS!E:E)=0,"",_xlfn.XLOOKUP(A93,PARAMETROS!A:A,PARAMETROS!E:E))</f>
        <v/>
      </c>
      <c r="E93" t="str">
        <f>IF(_xlfn.XLOOKUP('PREENCHIMENTO|NÃO-LETIVAS'!A93,PARAMETROS!A:A,PARAMETROS!I:I)=0,"",_xlfn.XLOOKUP('PREENCHIMENTO|NÃO-LETIVAS'!A93,PARAMETROS!A:A,PARAMETROS!I:I))</f>
        <v/>
      </c>
      <c r="F93" s="3"/>
      <c r="G93" s="3"/>
      <c r="H93" s="3"/>
      <c r="I93" s="3"/>
      <c r="Y93" s="6">
        <f>_xlfn.XLOOKUP(G:G,PARAMETROS!Y:Y,PARAMETROS!AD:AD)</f>
        <v>0</v>
      </c>
    </row>
    <row r="94" spans="1:25">
      <c r="A94" s="3"/>
      <c r="B94" t="str">
        <f>IF(_xlfn.XLOOKUP(A94,PARAMETROS!A:A,PARAMETROS!B:B)=0,"",_xlfn.XLOOKUP(A94,PARAMETROS!A:A,PARAMETROS!B:B))</f>
        <v/>
      </c>
      <c r="C94" t="str">
        <f>IF(_xlfn.XLOOKUP(A94,PARAMETROS!A:A,PARAMETROS!C:C)=0,"",_xlfn.XLOOKUP(A94,PARAMETROS!A:A,PARAMETROS!C:C))</f>
        <v/>
      </c>
      <c r="D94" t="str">
        <f>IF(_xlfn.XLOOKUP(A94,PARAMETROS!A:A,PARAMETROS!E:E)=0,"",_xlfn.XLOOKUP(A94,PARAMETROS!A:A,PARAMETROS!E:E))</f>
        <v/>
      </c>
      <c r="E94" t="str">
        <f>IF(_xlfn.XLOOKUP('PREENCHIMENTO|NÃO-LETIVAS'!A94,PARAMETROS!A:A,PARAMETROS!I:I)=0,"",_xlfn.XLOOKUP('PREENCHIMENTO|NÃO-LETIVAS'!A94,PARAMETROS!A:A,PARAMETROS!I:I))</f>
        <v/>
      </c>
      <c r="F94" s="3"/>
      <c r="G94" s="3"/>
      <c r="H94" s="3"/>
      <c r="I94" s="3"/>
      <c r="Y94" s="6">
        <f>_xlfn.XLOOKUP(G:G,PARAMETROS!Y:Y,PARAMETROS!AD:AD)</f>
        <v>0</v>
      </c>
    </row>
    <row r="95" spans="1:25">
      <c r="A95" s="3"/>
      <c r="B95" t="str">
        <f>IF(_xlfn.XLOOKUP(A95,PARAMETROS!A:A,PARAMETROS!B:B)=0,"",_xlfn.XLOOKUP(A95,PARAMETROS!A:A,PARAMETROS!B:B))</f>
        <v/>
      </c>
      <c r="C95" t="str">
        <f>IF(_xlfn.XLOOKUP(A95,PARAMETROS!A:A,PARAMETROS!C:C)=0,"",_xlfn.XLOOKUP(A95,PARAMETROS!A:A,PARAMETROS!C:C))</f>
        <v/>
      </c>
      <c r="D95" t="str">
        <f>IF(_xlfn.XLOOKUP(A95,PARAMETROS!A:A,PARAMETROS!E:E)=0,"",_xlfn.XLOOKUP(A95,PARAMETROS!A:A,PARAMETROS!E:E))</f>
        <v/>
      </c>
      <c r="E95" t="str">
        <f>IF(_xlfn.XLOOKUP('PREENCHIMENTO|NÃO-LETIVAS'!A95,PARAMETROS!A:A,PARAMETROS!I:I)=0,"",_xlfn.XLOOKUP('PREENCHIMENTO|NÃO-LETIVAS'!A95,PARAMETROS!A:A,PARAMETROS!I:I))</f>
        <v/>
      </c>
      <c r="F95" s="3"/>
      <c r="G95" s="3"/>
      <c r="H95" s="3"/>
      <c r="I95" s="3"/>
      <c r="Y95" s="6">
        <f>_xlfn.XLOOKUP(G:G,PARAMETROS!Y:Y,PARAMETROS!AD:AD)</f>
        <v>0</v>
      </c>
    </row>
    <row r="96" spans="1:25">
      <c r="A96" s="3"/>
      <c r="B96" t="str">
        <f>IF(_xlfn.XLOOKUP(A96,PARAMETROS!A:A,PARAMETROS!B:B)=0,"",_xlfn.XLOOKUP(A96,PARAMETROS!A:A,PARAMETROS!B:B))</f>
        <v/>
      </c>
      <c r="C96" t="str">
        <f>IF(_xlfn.XLOOKUP(A96,PARAMETROS!A:A,PARAMETROS!C:C)=0,"",_xlfn.XLOOKUP(A96,PARAMETROS!A:A,PARAMETROS!C:C))</f>
        <v/>
      </c>
      <c r="D96" t="str">
        <f>IF(_xlfn.XLOOKUP(A96,PARAMETROS!A:A,PARAMETROS!E:E)=0,"",_xlfn.XLOOKUP(A96,PARAMETROS!A:A,PARAMETROS!E:E))</f>
        <v/>
      </c>
      <c r="E96" t="str">
        <f>IF(_xlfn.XLOOKUP('PREENCHIMENTO|NÃO-LETIVAS'!A96,PARAMETROS!A:A,PARAMETROS!I:I)=0,"",_xlfn.XLOOKUP('PREENCHIMENTO|NÃO-LETIVAS'!A96,PARAMETROS!A:A,PARAMETROS!I:I))</f>
        <v/>
      </c>
      <c r="F96" s="3"/>
      <c r="G96" s="3"/>
      <c r="H96" s="3"/>
      <c r="I96" s="3"/>
      <c r="Y96" s="6">
        <f>_xlfn.XLOOKUP(G:G,PARAMETROS!Y:Y,PARAMETROS!AD:AD)</f>
        <v>0</v>
      </c>
    </row>
    <row r="97" spans="1:25">
      <c r="A97" s="3"/>
      <c r="B97" t="str">
        <f>IF(_xlfn.XLOOKUP(A97,PARAMETROS!A:A,PARAMETROS!B:B)=0,"",_xlfn.XLOOKUP(A97,PARAMETROS!A:A,PARAMETROS!B:B))</f>
        <v/>
      </c>
      <c r="C97" t="str">
        <f>IF(_xlfn.XLOOKUP(A97,PARAMETROS!A:A,PARAMETROS!C:C)=0,"",_xlfn.XLOOKUP(A97,PARAMETROS!A:A,PARAMETROS!C:C))</f>
        <v/>
      </c>
      <c r="D97" t="str">
        <f>IF(_xlfn.XLOOKUP(A97,PARAMETROS!A:A,PARAMETROS!E:E)=0,"",_xlfn.XLOOKUP(A97,PARAMETROS!A:A,PARAMETROS!E:E))</f>
        <v/>
      </c>
      <c r="E97" t="str">
        <f>IF(_xlfn.XLOOKUP('PREENCHIMENTO|NÃO-LETIVAS'!A97,PARAMETROS!A:A,PARAMETROS!I:I)=0,"",_xlfn.XLOOKUP('PREENCHIMENTO|NÃO-LETIVAS'!A97,PARAMETROS!A:A,PARAMETROS!I:I))</f>
        <v/>
      </c>
      <c r="F97" s="3"/>
      <c r="G97" s="3"/>
      <c r="H97" s="3"/>
      <c r="I97" s="3"/>
      <c r="Y97" s="6">
        <f>_xlfn.XLOOKUP(G:G,PARAMETROS!Y:Y,PARAMETROS!AD:AD)</f>
        <v>0</v>
      </c>
    </row>
    <row r="98" spans="1:25">
      <c r="A98" s="3"/>
      <c r="B98" t="str">
        <f>IF(_xlfn.XLOOKUP(A98,PARAMETROS!A:A,PARAMETROS!B:B)=0,"",_xlfn.XLOOKUP(A98,PARAMETROS!A:A,PARAMETROS!B:B))</f>
        <v/>
      </c>
      <c r="C98" t="str">
        <f>IF(_xlfn.XLOOKUP(A98,PARAMETROS!A:A,PARAMETROS!C:C)=0,"",_xlfn.XLOOKUP(A98,PARAMETROS!A:A,PARAMETROS!C:C))</f>
        <v/>
      </c>
      <c r="D98" t="str">
        <f>IF(_xlfn.XLOOKUP(A98,PARAMETROS!A:A,PARAMETROS!E:E)=0,"",_xlfn.XLOOKUP(A98,PARAMETROS!A:A,PARAMETROS!E:E))</f>
        <v/>
      </c>
      <c r="E98" t="str">
        <f>IF(_xlfn.XLOOKUP('PREENCHIMENTO|NÃO-LETIVAS'!A98,PARAMETROS!A:A,PARAMETROS!I:I)=0,"",_xlfn.XLOOKUP('PREENCHIMENTO|NÃO-LETIVAS'!A98,PARAMETROS!A:A,PARAMETROS!I:I))</f>
        <v/>
      </c>
      <c r="F98" s="3"/>
      <c r="G98" s="3"/>
      <c r="H98" s="3"/>
      <c r="I98" s="3"/>
      <c r="Y98" s="6">
        <f>_xlfn.XLOOKUP(G:G,PARAMETROS!Y:Y,PARAMETROS!AD:AD)</f>
        <v>0</v>
      </c>
    </row>
    <row r="99" spans="1:25">
      <c r="A99" s="3"/>
      <c r="B99" t="str">
        <f>IF(_xlfn.XLOOKUP(A99,PARAMETROS!A:A,PARAMETROS!B:B)=0,"",_xlfn.XLOOKUP(A99,PARAMETROS!A:A,PARAMETROS!B:B))</f>
        <v/>
      </c>
      <c r="C99" t="str">
        <f>IF(_xlfn.XLOOKUP(A99,PARAMETROS!A:A,PARAMETROS!C:C)=0,"",_xlfn.XLOOKUP(A99,PARAMETROS!A:A,PARAMETROS!C:C))</f>
        <v/>
      </c>
      <c r="D99" t="str">
        <f>IF(_xlfn.XLOOKUP(A99,PARAMETROS!A:A,PARAMETROS!E:E)=0,"",_xlfn.XLOOKUP(A99,PARAMETROS!A:A,PARAMETROS!E:E))</f>
        <v/>
      </c>
      <c r="E99" t="str">
        <f>IF(_xlfn.XLOOKUP('PREENCHIMENTO|NÃO-LETIVAS'!A99,PARAMETROS!A:A,PARAMETROS!I:I)=0,"",_xlfn.XLOOKUP('PREENCHIMENTO|NÃO-LETIVAS'!A99,PARAMETROS!A:A,PARAMETROS!I:I))</f>
        <v/>
      </c>
      <c r="F99" s="3"/>
      <c r="G99" s="3"/>
      <c r="H99" s="3"/>
      <c r="I99" s="3"/>
      <c r="Y99" s="6">
        <f>_xlfn.XLOOKUP(G:G,PARAMETROS!Y:Y,PARAMETROS!AD:AD)</f>
        <v>0</v>
      </c>
    </row>
    <row r="100" spans="1:25">
      <c r="A100" s="3"/>
      <c r="B100" t="str">
        <f>IF(_xlfn.XLOOKUP(A100,PARAMETROS!A:A,PARAMETROS!B:B)=0,"",_xlfn.XLOOKUP(A100,PARAMETROS!A:A,PARAMETROS!B:B))</f>
        <v/>
      </c>
      <c r="C100" t="str">
        <f>IF(_xlfn.XLOOKUP(A100,PARAMETROS!A:A,PARAMETROS!C:C)=0,"",_xlfn.XLOOKUP(A100,PARAMETROS!A:A,PARAMETROS!C:C))</f>
        <v/>
      </c>
      <c r="D100" t="str">
        <f>IF(_xlfn.XLOOKUP(A100,PARAMETROS!A:A,PARAMETROS!E:E)=0,"",_xlfn.XLOOKUP(A100,PARAMETROS!A:A,PARAMETROS!E:E))</f>
        <v/>
      </c>
      <c r="E100" t="str">
        <f>IF(_xlfn.XLOOKUP('PREENCHIMENTO|NÃO-LETIVAS'!A100,PARAMETROS!A:A,PARAMETROS!I:I)=0,"",_xlfn.XLOOKUP('PREENCHIMENTO|NÃO-LETIVAS'!A100,PARAMETROS!A:A,PARAMETROS!I:I))</f>
        <v/>
      </c>
      <c r="F100" s="3"/>
      <c r="G100" s="3"/>
      <c r="H100" s="3"/>
      <c r="I100" s="3"/>
      <c r="Y100" s="6">
        <f>_xlfn.XLOOKUP(G:G,PARAMETROS!Y:Y,PARAMETROS!AD:AD)</f>
        <v>0</v>
      </c>
    </row>
    <row r="101" spans="1:25">
      <c r="A101" s="3"/>
      <c r="B101" t="str">
        <f>IF(_xlfn.XLOOKUP(A101,PARAMETROS!A:A,PARAMETROS!B:B)=0,"",_xlfn.XLOOKUP(A101,PARAMETROS!A:A,PARAMETROS!B:B))</f>
        <v/>
      </c>
      <c r="C101" t="str">
        <f>IF(_xlfn.XLOOKUP(A101,PARAMETROS!A:A,PARAMETROS!C:C)=0,"",_xlfn.XLOOKUP(A101,PARAMETROS!A:A,PARAMETROS!C:C))</f>
        <v/>
      </c>
      <c r="D101" t="str">
        <f>IF(_xlfn.XLOOKUP(A101,PARAMETROS!A:A,PARAMETROS!E:E)=0,"",_xlfn.XLOOKUP(A101,PARAMETROS!A:A,PARAMETROS!E:E))</f>
        <v/>
      </c>
      <c r="E101" t="str">
        <f>IF(_xlfn.XLOOKUP('PREENCHIMENTO|NÃO-LETIVAS'!A101,PARAMETROS!A:A,PARAMETROS!I:I)=0,"",_xlfn.XLOOKUP('PREENCHIMENTO|NÃO-LETIVAS'!A101,PARAMETROS!A:A,PARAMETROS!I:I))</f>
        <v/>
      </c>
      <c r="F101" s="3"/>
      <c r="G101" s="3"/>
      <c r="H101" s="3"/>
      <c r="I101" s="3"/>
      <c r="Y101" s="6">
        <f>_xlfn.XLOOKUP(G:G,PARAMETROS!Y:Y,PARAMETROS!AD:AD)</f>
        <v>0</v>
      </c>
    </row>
    <row r="102" spans="1:25">
      <c r="A102" s="3"/>
      <c r="B102" t="str">
        <f>IF(_xlfn.XLOOKUP(A102,PARAMETROS!A:A,PARAMETROS!B:B)=0,"",_xlfn.XLOOKUP(A102,PARAMETROS!A:A,PARAMETROS!B:B))</f>
        <v/>
      </c>
      <c r="C102" t="str">
        <f>IF(_xlfn.XLOOKUP(A102,PARAMETROS!A:A,PARAMETROS!C:C)=0,"",_xlfn.XLOOKUP(A102,PARAMETROS!A:A,PARAMETROS!C:C))</f>
        <v/>
      </c>
      <c r="D102" t="str">
        <f>IF(_xlfn.XLOOKUP(A102,PARAMETROS!A:A,PARAMETROS!E:E)=0,"",_xlfn.XLOOKUP(A102,PARAMETROS!A:A,PARAMETROS!E:E))</f>
        <v/>
      </c>
      <c r="E102" t="str">
        <f>IF(_xlfn.XLOOKUP('PREENCHIMENTO|NÃO-LETIVAS'!A102,PARAMETROS!A:A,PARAMETROS!I:I)=0,"",_xlfn.XLOOKUP('PREENCHIMENTO|NÃO-LETIVAS'!A102,PARAMETROS!A:A,PARAMETROS!I:I))</f>
        <v/>
      </c>
      <c r="F102" s="3"/>
      <c r="G102" s="3"/>
      <c r="H102" s="3"/>
      <c r="I102" s="3"/>
      <c r="Y102" s="6">
        <f>_xlfn.XLOOKUP(G:G,PARAMETROS!Y:Y,PARAMETROS!AD:AD)</f>
        <v>0</v>
      </c>
    </row>
    <row r="103" spans="1:25">
      <c r="A103" s="3"/>
      <c r="B103" t="str">
        <f>IF(_xlfn.XLOOKUP(A103,PARAMETROS!A:A,PARAMETROS!B:B)=0,"",_xlfn.XLOOKUP(A103,PARAMETROS!A:A,PARAMETROS!B:B))</f>
        <v/>
      </c>
      <c r="C103" t="str">
        <f>IF(_xlfn.XLOOKUP(A103,PARAMETROS!A:A,PARAMETROS!C:C)=0,"",_xlfn.XLOOKUP(A103,PARAMETROS!A:A,PARAMETROS!C:C))</f>
        <v/>
      </c>
      <c r="D103" t="str">
        <f>IF(_xlfn.XLOOKUP(A103,PARAMETROS!A:A,PARAMETROS!E:E)=0,"",_xlfn.XLOOKUP(A103,PARAMETROS!A:A,PARAMETROS!E:E))</f>
        <v/>
      </c>
      <c r="E103" t="str">
        <f>IF(_xlfn.XLOOKUP('PREENCHIMENTO|NÃO-LETIVAS'!A103,PARAMETROS!A:A,PARAMETROS!I:I)=0,"",_xlfn.XLOOKUP('PREENCHIMENTO|NÃO-LETIVAS'!A103,PARAMETROS!A:A,PARAMETROS!I:I))</f>
        <v/>
      </c>
      <c r="F103" s="3"/>
      <c r="G103" s="3"/>
      <c r="H103" s="3"/>
      <c r="I103" s="3"/>
      <c r="Y103" s="6">
        <f>_xlfn.XLOOKUP(G:G,PARAMETROS!Y:Y,PARAMETROS!AD:AD)</f>
        <v>0</v>
      </c>
    </row>
    <row r="104" spans="1:25">
      <c r="A104" s="3"/>
      <c r="B104" t="str">
        <f>IF(_xlfn.XLOOKUP(A104,PARAMETROS!A:A,PARAMETROS!B:B)=0,"",_xlfn.XLOOKUP(A104,PARAMETROS!A:A,PARAMETROS!B:B))</f>
        <v/>
      </c>
      <c r="C104" t="str">
        <f>IF(_xlfn.XLOOKUP(A104,PARAMETROS!A:A,PARAMETROS!C:C)=0,"",_xlfn.XLOOKUP(A104,PARAMETROS!A:A,PARAMETROS!C:C))</f>
        <v/>
      </c>
      <c r="D104" t="str">
        <f>IF(_xlfn.XLOOKUP(A104,PARAMETROS!A:A,PARAMETROS!E:E)=0,"",_xlfn.XLOOKUP(A104,PARAMETROS!A:A,PARAMETROS!E:E))</f>
        <v/>
      </c>
      <c r="E104" t="str">
        <f>IF(_xlfn.XLOOKUP('PREENCHIMENTO|NÃO-LETIVAS'!A104,PARAMETROS!A:A,PARAMETROS!I:I)=0,"",_xlfn.XLOOKUP('PREENCHIMENTO|NÃO-LETIVAS'!A104,PARAMETROS!A:A,PARAMETROS!I:I))</f>
        <v/>
      </c>
      <c r="F104" s="3"/>
      <c r="G104" s="3"/>
      <c r="H104" s="3"/>
      <c r="I104" s="3"/>
      <c r="Y104" s="6">
        <f>_xlfn.XLOOKUP(G:G,PARAMETROS!Y:Y,PARAMETROS!AD:AD)</f>
        <v>0</v>
      </c>
    </row>
    <row r="105" spans="1:25">
      <c r="A105" s="3"/>
      <c r="B105" t="str">
        <f>IF(_xlfn.XLOOKUP(A105,PARAMETROS!A:A,PARAMETROS!B:B)=0,"",_xlfn.XLOOKUP(A105,PARAMETROS!A:A,PARAMETROS!B:B))</f>
        <v/>
      </c>
      <c r="C105" t="str">
        <f>IF(_xlfn.XLOOKUP(A105,PARAMETROS!A:A,PARAMETROS!C:C)=0,"",_xlfn.XLOOKUP(A105,PARAMETROS!A:A,PARAMETROS!C:C))</f>
        <v/>
      </c>
      <c r="D105" t="str">
        <f>IF(_xlfn.XLOOKUP(A105,PARAMETROS!A:A,PARAMETROS!E:E)=0,"",_xlfn.XLOOKUP(A105,PARAMETROS!A:A,PARAMETROS!E:E))</f>
        <v/>
      </c>
      <c r="E105" t="str">
        <f>IF(_xlfn.XLOOKUP('PREENCHIMENTO|NÃO-LETIVAS'!A105,PARAMETROS!A:A,PARAMETROS!I:I)=0,"",_xlfn.XLOOKUP('PREENCHIMENTO|NÃO-LETIVAS'!A105,PARAMETROS!A:A,PARAMETROS!I:I))</f>
        <v/>
      </c>
      <c r="F105" s="3"/>
      <c r="G105" s="3"/>
      <c r="H105" s="3"/>
      <c r="I105" s="3"/>
      <c r="Y105" s="6">
        <f>_xlfn.XLOOKUP(G:G,PARAMETROS!Y:Y,PARAMETROS!AD:AD)</f>
        <v>0</v>
      </c>
    </row>
    <row r="106" spans="1:25">
      <c r="A106" s="3"/>
      <c r="B106" t="str">
        <f>IF(_xlfn.XLOOKUP(A106,PARAMETROS!A:A,PARAMETROS!B:B)=0,"",_xlfn.XLOOKUP(A106,PARAMETROS!A:A,PARAMETROS!B:B))</f>
        <v/>
      </c>
      <c r="C106" t="str">
        <f>IF(_xlfn.XLOOKUP(A106,PARAMETROS!A:A,PARAMETROS!C:C)=0,"",_xlfn.XLOOKUP(A106,PARAMETROS!A:A,PARAMETROS!C:C))</f>
        <v/>
      </c>
      <c r="D106" t="str">
        <f>IF(_xlfn.XLOOKUP(A106,PARAMETROS!A:A,PARAMETROS!E:E)=0,"",_xlfn.XLOOKUP(A106,PARAMETROS!A:A,PARAMETROS!E:E))</f>
        <v/>
      </c>
      <c r="E106" t="str">
        <f>IF(_xlfn.XLOOKUP('PREENCHIMENTO|NÃO-LETIVAS'!A106,PARAMETROS!A:A,PARAMETROS!I:I)=0,"",_xlfn.XLOOKUP('PREENCHIMENTO|NÃO-LETIVAS'!A106,PARAMETROS!A:A,PARAMETROS!I:I))</f>
        <v/>
      </c>
      <c r="F106" s="3"/>
      <c r="G106" s="3"/>
      <c r="H106" s="3"/>
      <c r="I106" s="3"/>
      <c r="Y106" s="6">
        <f>_xlfn.XLOOKUP(G:G,PARAMETROS!Y:Y,PARAMETROS!AD:AD)</f>
        <v>0</v>
      </c>
    </row>
    <row r="107" spans="1:25">
      <c r="A107" s="3"/>
      <c r="B107" t="str">
        <f>IF(_xlfn.XLOOKUP(A107,PARAMETROS!A:A,PARAMETROS!B:B)=0,"",_xlfn.XLOOKUP(A107,PARAMETROS!A:A,PARAMETROS!B:B))</f>
        <v/>
      </c>
      <c r="C107" t="str">
        <f>IF(_xlfn.XLOOKUP(A107,PARAMETROS!A:A,PARAMETROS!C:C)=0,"",_xlfn.XLOOKUP(A107,PARAMETROS!A:A,PARAMETROS!C:C))</f>
        <v/>
      </c>
      <c r="D107" t="str">
        <f>IF(_xlfn.XLOOKUP(A107,PARAMETROS!A:A,PARAMETROS!E:E)=0,"",_xlfn.XLOOKUP(A107,PARAMETROS!A:A,PARAMETROS!E:E))</f>
        <v/>
      </c>
      <c r="E107" t="str">
        <f>IF(_xlfn.XLOOKUP('PREENCHIMENTO|NÃO-LETIVAS'!A107,PARAMETROS!A:A,PARAMETROS!I:I)=0,"",_xlfn.XLOOKUP('PREENCHIMENTO|NÃO-LETIVAS'!A107,PARAMETROS!A:A,PARAMETROS!I:I))</f>
        <v/>
      </c>
      <c r="F107" s="3"/>
      <c r="G107" s="3"/>
      <c r="H107" s="3"/>
      <c r="I107" s="3"/>
      <c r="Y107" s="6">
        <f>_xlfn.XLOOKUP(G:G,PARAMETROS!Y:Y,PARAMETROS!AD:AD)</f>
        <v>0</v>
      </c>
    </row>
    <row r="108" spans="1:25">
      <c r="A108" s="3"/>
      <c r="B108" t="str">
        <f>IF(_xlfn.XLOOKUP(A108,PARAMETROS!A:A,PARAMETROS!B:B)=0,"",_xlfn.XLOOKUP(A108,PARAMETROS!A:A,PARAMETROS!B:B))</f>
        <v/>
      </c>
      <c r="C108" t="str">
        <f>IF(_xlfn.XLOOKUP(A108,PARAMETROS!A:A,PARAMETROS!C:C)=0,"",_xlfn.XLOOKUP(A108,PARAMETROS!A:A,PARAMETROS!C:C))</f>
        <v/>
      </c>
      <c r="D108" t="str">
        <f>IF(_xlfn.XLOOKUP(A108,PARAMETROS!A:A,PARAMETROS!E:E)=0,"",_xlfn.XLOOKUP(A108,PARAMETROS!A:A,PARAMETROS!E:E))</f>
        <v/>
      </c>
      <c r="E108" t="str">
        <f>IF(_xlfn.XLOOKUP('PREENCHIMENTO|NÃO-LETIVAS'!A108,PARAMETROS!A:A,PARAMETROS!I:I)=0,"",_xlfn.XLOOKUP('PREENCHIMENTO|NÃO-LETIVAS'!A108,PARAMETROS!A:A,PARAMETROS!I:I))</f>
        <v/>
      </c>
      <c r="F108" s="3"/>
      <c r="G108" s="3"/>
      <c r="H108" s="3"/>
      <c r="I108" s="3"/>
      <c r="Y108" s="6">
        <f>_xlfn.XLOOKUP(G:G,PARAMETROS!Y:Y,PARAMETROS!AD:AD)</f>
        <v>0</v>
      </c>
    </row>
    <row r="109" spans="1:25">
      <c r="A109" s="3"/>
      <c r="B109" t="str">
        <f>IF(_xlfn.XLOOKUP(A109,PARAMETROS!A:A,PARAMETROS!B:B)=0,"",_xlfn.XLOOKUP(A109,PARAMETROS!A:A,PARAMETROS!B:B))</f>
        <v/>
      </c>
      <c r="C109" t="str">
        <f>IF(_xlfn.XLOOKUP(A109,PARAMETROS!A:A,PARAMETROS!C:C)=0,"",_xlfn.XLOOKUP(A109,PARAMETROS!A:A,PARAMETROS!C:C))</f>
        <v/>
      </c>
      <c r="D109" t="str">
        <f>IF(_xlfn.XLOOKUP(A109,PARAMETROS!A:A,PARAMETROS!E:E)=0,"",_xlfn.XLOOKUP(A109,PARAMETROS!A:A,PARAMETROS!E:E))</f>
        <v/>
      </c>
      <c r="E109" t="str">
        <f>IF(_xlfn.XLOOKUP('PREENCHIMENTO|NÃO-LETIVAS'!A109,PARAMETROS!A:A,PARAMETROS!I:I)=0,"",_xlfn.XLOOKUP('PREENCHIMENTO|NÃO-LETIVAS'!A109,PARAMETROS!A:A,PARAMETROS!I:I))</f>
        <v/>
      </c>
      <c r="F109" s="3"/>
      <c r="G109" s="3"/>
      <c r="H109" s="3"/>
      <c r="I109" s="3"/>
      <c r="Y109" s="6">
        <f>_xlfn.XLOOKUP(G:G,PARAMETROS!Y:Y,PARAMETROS!AD:AD)</f>
        <v>0</v>
      </c>
    </row>
    <row r="110" spans="1:25">
      <c r="A110" s="3"/>
      <c r="B110" t="str">
        <f>IF(_xlfn.XLOOKUP(A110,PARAMETROS!A:A,PARAMETROS!B:B)=0,"",_xlfn.XLOOKUP(A110,PARAMETROS!A:A,PARAMETROS!B:B))</f>
        <v/>
      </c>
      <c r="C110" t="str">
        <f>IF(_xlfn.XLOOKUP(A110,PARAMETROS!A:A,PARAMETROS!C:C)=0,"",_xlfn.XLOOKUP(A110,PARAMETROS!A:A,PARAMETROS!C:C))</f>
        <v/>
      </c>
      <c r="D110" t="str">
        <f>IF(_xlfn.XLOOKUP(A110,PARAMETROS!A:A,PARAMETROS!E:E)=0,"",_xlfn.XLOOKUP(A110,PARAMETROS!A:A,PARAMETROS!E:E))</f>
        <v/>
      </c>
      <c r="E110" t="str">
        <f>IF(_xlfn.XLOOKUP('PREENCHIMENTO|NÃO-LETIVAS'!A110,PARAMETROS!A:A,PARAMETROS!I:I)=0,"",_xlfn.XLOOKUP('PREENCHIMENTO|NÃO-LETIVAS'!A110,PARAMETROS!A:A,PARAMETROS!I:I))</f>
        <v/>
      </c>
      <c r="F110" s="3"/>
      <c r="G110" s="3"/>
      <c r="H110" s="3"/>
      <c r="I110" s="3"/>
      <c r="Y110" s="6">
        <f>_xlfn.XLOOKUP(G:G,PARAMETROS!Y:Y,PARAMETROS!AD:AD)</f>
        <v>0</v>
      </c>
    </row>
    <row r="111" spans="1:25">
      <c r="A111" s="3"/>
      <c r="B111" t="str">
        <f>IF(_xlfn.XLOOKUP(A111,PARAMETROS!A:A,PARAMETROS!B:B)=0,"",_xlfn.XLOOKUP(A111,PARAMETROS!A:A,PARAMETROS!B:B))</f>
        <v/>
      </c>
      <c r="C111" t="str">
        <f>IF(_xlfn.XLOOKUP(A111,PARAMETROS!A:A,PARAMETROS!C:C)=0,"",_xlfn.XLOOKUP(A111,PARAMETROS!A:A,PARAMETROS!C:C))</f>
        <v/>
      </c>
      <c r="D111" t="str">
        <f>IF(_xlfn.XLOOKUP(A111,PARAMETROS!A:A,PARAMETROS!E:E)=0,"",_xlfn.XLOOKUP(A111,PARAMETROS!A:A,PARAMETROS!E:E))</f>
        <v/>
      </c>
      <c r="E111" t="str">
        <f>IF(_xlfn.XLOOKUP('PREENCHIMENTO|NÃO-LETIVAS'!A111,PARAMETROS!A:A,PARAMETROS!I:I)=0,"",_xlfn.XLOOKUP('PREENCHIMENTO|NÃO-LETIVAS'!A111,PARAMETROS!A:A,PARAMETROS!I:I))</f>
        <v/>
      </c>
      <c r="F111" s="3"/>
      <c r="G111" s="3"/>
      <c r="H111" s="3"/>
      <c r="I111" s="3"/>
      <c r="Y111" s="6">
        <f>_xlfn.XLOOKUP(G:G,PARAMETROS!Y:Y,PARAMETROS!AD:AD)</f>
        <v>0</v>
      </c>
    </row>
    <row r="112" spans="1:25">
      <c r="A112" s="3"/>
      <c r="B112" t="str">
        <f>IF(_xlfn.XLOOKUP(A112,PARAMETROS!A:A,PARAMETROS!B:B)=0,"",_xlfn.XLOOKUP(A112,PARAMETROS!A:A,PARAMETROS!B:B))</f>
        <v/>
      </c>
      <c r="C112" t="str">
        <f>IF(_xlfn.XLOOKUP(A112,PARAMETROS!A:A,PARAMETROS!C:C)=0,"",_xlfn.XLOOKUP(A112,PARAMETROS!A:A,PARAMETROS!C:C))</f>
        <v/>
      </c>
      <c r="D112" t="str">
        <f>IF(_xlfn.XLOOKUP(A112,PARAMETROS!A:A,PARAMETROS!E:E)=0,"",_xlfn.XLOOKUP(A112,PARAMETROS!A:A,PARAMETROS!E:E))</f>
        <v/>
      </c>
      <c r="E112" t="str">
        <f>IF(_xlfn.XLOOKUP('PREENCHIMENTO|NÃO-LETIVAS'!A112,PARAMETROS!A:A,PARAMETROS!I:I)=0,"",_xlfn.XLOOKUP('PREENCHIMENTO|NÃO-LETIVAS'!A112,PARAMETROS!A:A,PARAMETROS!I:I))</f>
        <v/>
      </c>
      <c r="F112" s="3"/>
      <c r="G112" s="3"/>
      <c r="H112" s="3"/>
      <c r="I112" s="3"/>
      <c r="Y112" s="6">
        <f>_xlfn.XLOOKUP(G:G,PARAMETROS!Y:Y,PARAMETROS!AD:AD)</f>
        <v>0</v>
      </c>
    </row>
    <row r="113" spans="1:25">
      <c r="A113" s="3"/>
      <c r="B113" t="str">
        <f>IF(_xlfn.XLOOKUP(A113,PARAMETROS!A:A,PARAMETROS!B:B)=0,"",_xlfn.XLOOKUP(A113,PARAMETROS!A:A,PARAMETROS!B:B))</f>
        <v/>
      </c>
      <c r="C113" t="str">
        <f>IF(_xlfn.XLOOKUP(A113,PARAMETROS!A:A,PARAMETROS!C:C)=0,"",_xlfn.XLOOKUP(A113,PARAMETROS!A:A,PARAMETROS!C:C))</f>
        <v/>
      </c>
      <c r="D113" t="str">
        <f>IF(_xlfn.XLOOKUP(A113,PARAMETROS!A:A,PARAMETROS!E:E)=0,"",_xlfn.XLOOKUP(A113,PARAMETROS!A:A,PARAMETROS!E:E))</f>
        <v/>
      </c>
      <c r="E113" t="str">
        <f>IF(_xlfn.XLOOKUP('PREENCHIMENTO|NÃO-LETIVAS'!A113,PARAMETROS!A:A,PARAMETROS!I:I)=0,"",_xlfn.XLOOKUP('PREENCHIMENTO|NÃO-LETIVAS'!A113,PARAMETROS!A:A,PARAMETROS!I:I))</f>
        <v/>
      </c>
      <c r="F113" s="3"/>
      <c r="G113" s="3"/>
      <c r="H113" s="3"/>
      <c r="I113" s="3"/>
      <c r="Y113" s="6">
        <f>_xlfn.XLOOKUP(G:G,PARAMETROS!Y:Y,PARAMETROS!AD:AD)</f>
        <v>0</v>
      </c>
    </row>
    <row r="114" spans="1:25">
      <c r="A114" s="3"/>
      <c r="B114" t="str">
        <f>IF(_xlfn.XLOOKUP(A114,PARAMETROS!A:A,PARAMETROS!B:B)=0,"",_xlfn.XLOOKUP(A114,PARAMETROS!A:A,PARAMETROS!B:B))</f>
        <v/>
      </c>
      <c r="C114" t="str">
        <f>IF(_xlfn.XLOOKUP(A114,PARAMETROS!A:A,PARAMETROS!C:C)=0,"",_xlfn.XLOOKUP(A114,PARAMETROS!A:A,PARAMETROS!C:C))</f>
        <v/>
      </c>
      <c r="D114" t="str">
        <f>IF(_xlfn.XLOOKUP(A114,PARAMETROS!A:A,PARAMETROS!E:E)=0,"",_xlfn.XLOOKUP(A114,PARAMETROS!A:A,PARAMETROS!E:E))</f>
        <v/>
      </c>
      <c r="E114" t="str">
        <f>IF(_xlfn.XLOOKUP('PREENCHIMENTO|NÃO-LETIVAS'!A114,PARAMETROS!A:A,PARAMETROS!I:I)=0,"",_xlfn.XLOOKUP('PREENCHIMENTO|NÃO-LETIVAS'!A114,PARAMETROS!A:A,PARAMETROS!I:I))</f>
        <v/>
      </c>
      <c r="F114" s="3"/>
      <c r="G114" s="3"/>
      <c r="H114" s="3"/>
      <c r="I114" s="3"/>
      <c r="Y114" s="6">
        <f>_xlfn.XLOOKUP(G:G,PARAMETROS!Y:Y,PARAMETROS!AD:AD)</f>
        <v>0</v>
      </c>
    </row>
    <row r="115" spans="1:25">
      <c r="A115" s="3"/>
      <c r="B115" t="str">
        <f>IF(_xlfn.XLOOKUP(A115,PARAMETROS!A:A,PARAMETROS!B:B)=0,"",_xlfn.XLOOKUP(A115,PARAMETROS!A:A,PARAMETROS!B:B))</f>
        <v/>
      </c>
      <c r="C115" t="str">
        <f>IF(_xlfn.XLOOKUP(A115,PARAMETROS!A:A,PARAMETROS!C:C)=0,"",_xlfn.XLOOKUP(A115,PARAMETROS!A:A,PARAMETROS!C:C))</f>
        <v/>
      </c>
      <c r="D115" t="str">
        <f>IF(_xlfn.XLOOKUP(A115,PARAMETROS!A:A,PARAMETROS!E:E)=0,"",_xlfn.XLOOKUP(A115,PARAMETROS!A:A,PARAMETROS!E:E))</f>
        <v/>
      </c>
      <c r="E115" t="str">
        <f>IF(_xlfn.XLOOKUP('PREENCHIMENTO|NÃO-LETIVAS'!A115,PARAMETROS!A:A,PARAMETROS!I:I)=0,"",_xlfn.XLOOKUP('PREENCHIMENTO|NÃO-LETIVAS'!A115,PARAMETROS!A:A,PARAMETROS!I:I))</f>
        <v/>
      </c>
      <c r="F115" s="3"/>
      <c r="G115" s="3"/>
      <c r="H115" s="3"/>
      <c r="I115" s="3"/>
      <c r="Y115" s="6">
        <f>_xlfn.XLOOKUP(G:G,PARAMETROS!Y:Y,PARAMETROS!AD:AD)</f>
        <v>0</v>
      </c>
    </row>
    <row r="116" spans="1:25">
      <c r="A116" s="3"/>
      <c r="B116" t="str">
        <f>IF(_xlfn.XLOOKUP(A116,PARAMETROS!A:A,PARAMETROS!B:B)=0,"",_xlfn.XLOOKUP(A116,PARAMETROS!A:A,PARAMETROS!B:B))</f>
        <v/>
      </c>
      <c r="C116" t="str">
        <f>IF(_xlfn.XLOOKUP(A116,PARAMETROS!A:A,PARAMETROS!C:C)=0,"",_xlfn.XLOOKUP(A116,PARAMETROS!A:A,PARAMETROS!C:C))</f>
        <v/>
      </c>
      <c r="D116" t="str">
        <f>IF(_xlfn.XLOOKUP(A116,PARAMETROS!A:A,PARAMETROS!E:E)=0,"",_xlfn.XLOOKUP(A116,PARAMETROS!A:A,PARAMETROS!E:E))</f>
        <v/>
      </c>
      <c r="E116" t="str">
        <f>IF(_xlfn.XLOOKUP('PREENCHIMENTO|NÃO-LETIVAS'!A116,PARAMETROS!A:A,PARAMETROS!I:I)=0,"",_xlfn.XLOOKUP('PREENCHIMENTO|NÃO-LETIVAS'!A116,PARAMETROS!A:A,PARAMETROS!I:I))</f>
        <v/>
      </c>
      <c r="F116" s="3"/>
      <c r="G116" s="3"/>
      <c r="H116" s="3"/>
      <c r="I116" s="3"/>
      <c r="Y116" s="6">
        <f>_xlfn.XLOOKUP(G:G,PARAMETROS!Y:Y,PARAMETROS!AD:AD)</f>
        <v>0</v>
      </c>
    </row>
    <row r="117" spans="1:25">
      <c r="A117" s="3"/>
      <c r="B117" t="str">
        <f>IF(_xlfn.XLOOKUP(A117,PARAMETROS!A:A,PARAMETROS!B:B)=0,"",_xlfn.XLOOKUP(A117,PARAMETROS!A:A,PARAMETROS!B:B))</f>
        <v/>
      </c>
      <c r="C117" t="str">
        <f>IF(_xlfn.XLOOKUP(A117,PARAMETROS!A:A,PARAMETROS!C:C)=0,"",_xlfn.XLOOKUP(A117,PARAMETROS!A:A,PARAMETROS!C:C))</f>
        <v/>
      </c>
      <c r="D117" t="str">
        <f>IF(_xlfn.XLOOKUP(A117,PARAMETROS!A:A,PARAMETROS!E:E)=0,"",_xlfn.XLOOKUP(A117,PARAMETROS!A:A,PARAMETROS!E:E))</f>
        <v/>
      </c>
      <c r="E117" t="str">
        <f>IF(_xlfn.XLOOKUP('PREENCHIMENTO|NÃO-LETIVAS'!A117,PARAMETROS!A:A,PARAMETROS!I:I)=0,"",_xlfn.XLOOKUP('PREENCHIMENTO|NÃO-LETIVAS'!A117,PARAMETROS!A:A,PARAMETROS!I:I))</f>
        <v/>
      </c>
      <c r="F117" s="3"/>
      <c r="G117" s="3"/>
      <c r="H117" s="3"/>
      <c r="I117" s="3"/>
      <c r="Y117" s="6">
        <f>_xlfn.XLOOKUP(G:G,PARAMETROS!Y:Y,PARAMETROS!AD:AD)</f>
        <v>0</v>
      </c>
    </row>
    <row r="118" spans="1:25">
      <c r="A118" s="3"/>
      <c r="B118" t="str">
        <f>IF(_xlfn.XLOOKUP(A118,PARAMETROS!A:A,PARAMETROS!B:B)=0,"",_xlfn.XLOOKUP(A118,PARAMETROS!A:A,PARAMETROS!B:B))</f>
        <v/>
      </c>
      <c r="C118" t="str">
        <f>IF(_xlfn.XLOOKUP(A118,PARAMETROS!A:A,PARAMETROS!C:C)=0,"",_xlfn.XLOOKUP(A118,PARAMETROS!A:A,PARAMETROS!C:C))</f>
        <v/>
      </c>
      <c r="D118" t="str">
        <f>IF(_xlfn.XLOOKUP(A118,PARAMETROS!A:A,PARAMETROS!E:E)=0,"",_xlfn.XLOOKUP(A118,PARAMETROS!A:A,PARAMETROS!E:E))</f>
        <v/>
      </c>
      <c r="E118" t="str">
        <f>IF(_xlfn.XLOOKUP('PREENCHIMENTO|NÃO-LETIVAS'!A118,PARAMETROS!A:A,PARAMETROS!I:I)=0,"",_xlfn.XLOOKUP('PREENCHIMENTO|NÃO-LETIVAS'!A118,PARAMETROS!A:A,PARAMETROS!I:I))</f>
        <v/>
      </c>
      <c r="F118" s="3"/>
      <c r="G118" s="3"/>
      <c r="H118" s="3"/>
      <c r="I118" s="3"/>
      <c r="Y118" s="6">
        <f>_xlfn.XLOOKUP(G:G,PARAMETROS!Y:Y,PARAMETROS!AD:AD)</f>
        <v>0</v>
      </c>
    </row>
    <row r="119" spans="1:25">
      <c r="A119" s="3"/>
      <c r="B119" t="str">
        <f>IF(_xlfn.XLOOKUP(A119,PARAMETROS!A:A,PARAMETROS!B:B)=0,"",_xlfn.XLOOKUP(A119,PARAMETROS!A:A,PARAMETROS!B:B))</f>
        <v/>
      </c>
      <c r="C119" t="str">
        <f>IF(_xlfn.XLOOKUP(A119,PARAMETROS!A:A,PARAMETROS!C:C)=0,"",_xlfn.XLOOKUP(A119,PARAMETROS!A:A,PARAMETROS!C:C))</f>
        <v/>
      </c>
      <c r="D119" t="str">
        <f>IF(_xlfn.XLOOKUP(A119,PARAMETROS!A:A,PARAMETROS!E:E)=0,"",_xlfn.XLOOKUP(A119,PARAMETROS!A:A,PARAMETROS!E:E))</f>
        <v/>
      </c>
      <c r="E119" t="str">
        <f>IF(_xlfn.XLOOKUP('PREENCHIMENTO|NÃO-LETIVAS'!A119,PARAMETROS!A:A,PARAMETROS!I:I)=0,"",_xlfn.XLOOKUP('PREENCHIMENTO|NÃO-LETIVAS'!A119,PARAMETROS!A:A,PARAMETROS!I:I))</f>
        <v/>
      </c>
      <c r="F119" s="3"/>
      <c r="G119" s="3"/>
      <c r="H119" s="3"/>
      <c r="I119" s="3"/>
      <c r="Y119" s="6">
        <f>_xlfn.XLOOKUP(G:G,PARAMETROS!Y:Y,PARAMETROS!AD:AD)</f>
        <v>0</v>
      </c>
    </row>
    <row r="120" spans="1:25">
      <c r="A120" s="3"/>
      <c r="B120" t="str">
        <f>IF(_xlfn.XLOOKUP(A120,PARAMETROS!A:A,PARAMETROS!B:B)=0,"",_xlfn.XLOOKUP(A120,PARAMETROS!A:A,PARAMETROS!B:B))</f>
        <v/>
      </c>
      <c r="C120" t="str">
        <f>IF(_xlfn.XLOOKUP(A120,PARAMETROS!A:A,PARAMETROS!C:C)=0,"",_xlfn.XLOOKUP(A120,PARAMETROS!A:A,PARAMETROS!C:C))</f>
        <v/>
      </c>
      <c r="D120" t="str">
        <f>IF(_xlfn.XLOOKUP(A120,PARAMETROS!A:A,PARAMETROS!E:E)=0,"",_xlfn.XLOOKUP(A120,PARAMETROS!A:A,PARAMETROS!E:E))</f>
        <v/>
      </c>
      <c r="E120" t="str">
        <f>IF(_xlfn.XLOOKUP('PREENCHIMENTO|NÃO-LETIVAS'!A120,PARAMETROS!A:A,PARAMETROS!I:I)=0,"",_xlfn.XLOOKUP('PREENCHIMENTO|NÃO-LETIVAS'!A120,PARAMETROS!A:A,PARAMETROS!I:I))</f>
        <v/>
      </c>
      <c r="F120" s="3"/>
      <c r="G120" s="3"/>
      <c r="H120" s="3"/>
      <c r="I120" s="3"/>
      <c r="Y120" s="6">
        <f>_xlfn.XLOOKUP(G:G,PARAMETROS!Y:Y,PARAMETROS!AD:AD)</f>
        <v>0</v>
      </c>
    </row>
    <row r="121" spans="1:25">
      <c r="A121" s="3"/>
      <c r="B121" t="str">
        <f>IF(_xlfn.XLOOKUP(A121,PARAMETROS!A:A,PARAMETROS!B:B)=0,"",_xlfn.XLOOKUP(A121,PARAMETROS!A:A,PARAMETROS!B:B))</f>
        <v/>
      </c>
      <c r="C121" t="str">
        <f>IF(_xlfn.XLOOKUP(A121,PARAMETROS!A:A,PARAMETROS!C:C)=0,"",_xlfn.XLOOKUP(A121,PARAMETROS!A:A,PARAMETROS!C:C))</f>
        <v/>
      </c>
      <c r="D121" t="str">
        <f>IF(_xlfn.XLOOKUP(A121,PARAMETROS!A:A,PARAMETROS!E:E)=0,"",_xlfn.XLOOKUP(A121,PARAMETROS!A:A,PARAMETROS!E:E))</f>
        <v/>
      </c>
      <c r="E121" t="str">
        <f>IF(_xlfn.XLOOKUP('PREENCHIMENTO|NÃO-LETIVAS'!A121,PARAMETROS!A:A,PARAMETROS!I:I)=0,"",_xlfn.XLOOKUP('PREENCHIMENTO|NÃO-LETIVAS'!A121,PARAMETROS!A:A,PARAMETROS!I:I))</f>
        <v/>
      </c>
      <c r="F121" s="3"/>
      <c r="G121" s="3"/>
      <c r="H121" s="3"/>
      <c r="I121" s="3"/>
      <c r="Y121" s="6">
        <f>_xlfn.XLOOKUP(G:G,PARAMETROS!Y:Y,PARAMETROS!AD:AD)</f>
        <v>0</v>
      </c>
    </row>
    <row r="122" spans="1:25">
      <c r="A122" s="3"/>
      <c r="B122" t="str">
        <f>IF(_xlfn.XLOOKUP(A122,PARAMETROS!A:A,PARAMETROS!B:B)=0,"",_xlfn.XLOOKUP(A122,PARAMETROS!A:A,PARAMETROS!B:B))</f>
        <v/>
      </c>
      <c r="C122" t="str">
        <f>IF(_xlfn.XLOOKUP(A122,PARAMETROS!A:A,PARAMETROS!C:C)=0,"",_xlfn.XLOOKUP(A122,PARAMETROS!A:A,PARAMETROS!C:C))</f>
        <v/>
      </c>
      <c r="D122" t="str">
        <f>IF(_xlfn.XLOOKUP(A122,PARAMETROS!A:A,PARAMETROS!E:E)=0,"",_xlfn.XLOOKUP(A122,PARAMETROS!A:A,PARAMETROS!E:E))</f>
        <v/>
      </c>
      <c r="E122" t="str">
        <f>IF(_xlfn.XLOOKUP('PREENCHIMENTO|NÃO-LETIVAS'!A122,PARAMETROS!A:A,PARAMETROS!I:I)=0,"",_xlfn.XLOOKUP('PREENCHIMENTO|NÃO-LETIVAS'!A122,PARAMETROS!A:A,PARAMETROS!I:I))</f>
        <v/>
      </c>
      <c r="F122" s="3"/>
      <c r="G122" s="3"/>
      <c r="H122" s="3"/>
      <c r="I122" s="3"/>
      <c r="Y122" s="6">
        <f>_xlfn.XLOOKUP(G:G,PARAMETROS!Y:Y,PARAMETROS!AD:AD)</f>
        <v>0</v>
      </c>
    </row>
    <row r="123" spans="1:25">
      <c r="A123" s="3"/>
      <c r="B123" t="str">
        <f>IF(_xlfn.XLOOKUP(A123,PARAMETROS!A:A,PARAMETROS!B:B)=0,"",_xlfn.XLOOKUP(A123,PARAMETROS!A:A,PARAMETROS!B:B))</f>
        <v/>
      </c>
      <c r="C123" t="str">
        <f>IF(_xlfn.XLOOKUP(A123,PARAMETROS!A:A,PARAMETROS!C:C)=0,"",_xlfn.XLOOKUP(A123,PARAMETROS!A:A,PARAMETROS!C:C))</f>
        <v/>
      </c>
      <c r="D123" t="str">
        <f>IF(_xlfn.XLOOKUP(A123,PARAMETROS!A:A,PARAMETROS!E:E)=0,"",_xlfn.XLOOKUP(A123,PARAMETROS!A:A,PARAMETROS!E:E))</f>
        <v/>
      </c>
      <c r="E123" t="str">
        <f>IF(_xlfn.XLOOKUP('PREENCHIMENTO|NÃO-LETIVAS'!A123,PARAMETROS!A:A,PARAMETROS!I:I)=0,"",_xlfn.XLOOKUP('PREENCHIMENTO|NÃO-LETIVAS'!A123,PARAMETROS!A:A,PARAMETROS!I:I))</f>
        <v/>
      </c>
      <c r="F123" s="3"/>
      <c r="G123" s="3"/>
      <c r="H123" s="3"/>
      <c r="I123" s="3"/>
      <c r="Y123" s="6">
        <f>_xlfn.XLOOKUP(G:G,PARAMETROS!Y:Y,PARAMETROS!AD:AD)</f>
        <v>0</v>
      </c>
    </row>
    <row r="124" spans="1:25">
      <c r="A124" s="3"/>
      <c r="B124" t="str">
        <f>IF(_xlfn.XLOOKUP(A124,PARAMETROS!A:A,PARAMETROS!B:B)=0,"",_xlfn.XLOOKUP(A124,PARAMETROS!A:A,PARAMETROS!B:B))</f>
        <v/>
      </c>
      <c r="C124" t="str">
        <f>IF(_xlfn.XLOOKUP(A124,PARAMETROS!A:A,PARAMETROS!C:C)=0,"",_xlfn.XLOOKUP(A124,PARAMETROS!A:A,PARAMETROS!C:C))</f>
        <v/>
      </c>
      <c r="D124" t="str">
        <f>IF(_xlfn.XLOOKUP(A124,PARAMETROS!A:A,PARAMETROS!E:E)=0,"",_xlfn.XLOOKUP(A124,PARAMETROS!A:A,PARAMETROS!E:E))</f>
        <v/>
      </c>
      <c r="E124" t="str">
        <f>IF(_xlfn.XLOOKUP('PREENCHIMENTO|NÃO-LETIVAS'!A124,PARAMETROS!A:A,PARAMETROS!I:I)=0,"",_xlfn.XLOOKUP('PREENCHIMENTO|NÃO-LETIVAS'!A124,PARAMETROS!A:A,PARAMETROS!I:I))</f>
        <v/>
      </c>
      <c r="F124" s="3"/>
      <c r="G124" s="3"/>
      <c r="H124" s="3"/>
      <c r="I124" s="3"/>
      <c r="Y124" s="6">
        <f>_xlfn.XLOOKUP(G:G,PARAMETROS!Y:Y,PARAMETROS!AD:AD)</f>
        <v>0</v>
      </c>
    </row>
    <row r="125" spans="1:25">
      <c r="A125" s="3"/>
      <c r="B125" t="str">
        <f>IF(_xlfn.XLOOKUP(A125,PARAMETROS!A:A,PARAMETROS!B:B)=0,"",_xlfn.XLOOKUP(A125,PARAMETROS!A:A,PARAMETROS!B:B))</f>
        <v/>
      </c>
      <c r="C125" t="str">
        <f>IF(_xlfn.XLOOKUP(A125,PARAMETROS!A:A,PARAMETROS!C:C)=0,"",_xlfn.XLOOKUP(A125,PARAMETROS!A:A,PARAMETROS!C:C))</f>
        <v/>
      </c>
      <c r="D125" t="str">
        <f>IF(_xlfn.XLOOKUP(A125,PARAMETROS!A:A,PARAMETROS!E:E)=0,"",_xlfn.XLOOKUP(A125,PARAMETROS!A:A,PARAMETROS!E:E))</f>
        <v/>
      </c>
      <c r="E125" t="str">
        <f>IF(_xlfn.XLOOKUP('PREENCHIMENTO|NÃO-LETIVAS'!A125,PARAMETROS!A:A,PARAMETROS!I:I)=0,"",_xlfn.XLOOKUP('PREENCHIMENTO|NÃO-LETIVAS'!A125,PARAMETROS!A:A,PARAMETROS!I:I))</f>
        <v/>
      </c>
      <c r="F125" s="3"/>
      <c r="G125" s="3"/>
      <c r="H125" s="3"/>
      <c r="I125" s="3"/>
      <c r="Y125" s="6">
        <f>_xlfn.XLOOKUP(G:G,PARAMETROS!Y:Y,PARAMETROS!AD:AD)</f>
        <v>0</v>
      </c>
    </row>
    <row r="126" spans="1:25">
      <c r="A126" s="3"/>
      <c r="B126" t="str">
        <f>IF(_xlfn.XLOOKUP(A126,PARAMETROS!A:A,PARAMETROS!B:B)=0,"",_xlfn.XLOOKUP(A126,PARAMETROS!A:A,PARAMETROS!B:B))</f>
        <v/>
      </c>
      <c r="C126" t="str">
        <f>IF(_xlfn.XLOOKUP(A126,PARAMETROS!A:A,PARAMETROS!C:C)=0,"",_xlfn.XLOOKUP(A126,PARAMETROS!A:A,PARAMETROS!C:C))</f>
        <v/>
      </c>
      <c r="D126" t="str">
        <f>IF(_xlfn.XLOOKUP(A126,PARAMETROS!A:A,PARAMETROS!E:E)=0,"",_xlfn.XLOOKUP(A126,PARAMETROS!A:A,PARAMETROS!E:E))</f>
        <v/>
      </c>
      <c r="E126" t="str">
        <f>IF(_xlfn.XLOOKUP('PREENCHIMENTO|NÃO-LETIVAS'!A126,PARAMETROS!A:A,PARAMETROS!I:I)=0,"",_xlfn.XLOOKUP('PREENCHIMENTO|NÃO-LETIVAS'!A126,PARAMETROS!A:A,PARAMETROS!I:I))</f>
        <v/>
      </c>
      <c r="F126" s="3"/>
      <c r="G126" s="3"/>
      <c r="H126" s="3"/>
      <c r="I126" s="3"/>
      <c r="Y126" s="6">
        <f>_xlfn.XLOOKUP(G:G,PARAMETROS!Y:Y,PARAMETROS!AD:AD)</f>
        <v>0</v>
      </c>
    </row>
    <row r="127" spans="1:25">
      <c r="A127" s="3"/>
      <c r="B127" t="str">
        <f>IF(_xlfn.XLOOKUP(A127,PARAMETROS!A:A,PARAMETROS!B:B)=0,"",_xlfn.XLOOKUP(A127,PARAMETROS!A:A,PARAMETROS!B:B))</f>
        <v/>
      </c>
      <c r="C127" t="str">
        <f>IF(_xlfn.XLOOKUP(A127,PARAMETROS!A:A,PARAMETROS!C:C)=0,"",_xlfn.XLOOKUP(A127,PARAMETROS!A:A,PARAMETROS!C:C))</f>
        <v/>
      </c>
      <c r="D127" t="str">
        <f>IF(_xlfn.XLOOKUP(A127,PARAMETROS!A:A,PARAMETROS!E:E)=0,"",_xlfn.XLOOKUP(A127,PARAMETROS!A:A,PARAMETROS!E:E))</f>
        <v/>
      </c>
      <c r="E127" t="str">
        <f>IF(_xlfn.XLOOKUP('PREENCHIMENTO|NÃO-LETIVAS'!A127,PARAMETROS!A:A,PARAMETROS!I:I)=0,"",_xlfn.XLOOKUP('PREENCHIMENTO|NÃO-LETIVAS'!A127,PARAMETROS!A:A,PARAMETROS!I:I))</f>
        <v/>
      </c>
      <c r="F127" s="3"/>
      <c r="G127" s="3"/>
      <c r="H127" s="3"/>
      <c r="I127" s="3"/>
      <c r="Y127" s="6">
        <f>_xlfn.XLOOKUP(G:G,PARAMETROS!Y:Y,PARAMETROS!AD:AD)</f>
        <v>0</v>
      </c>
    </row>
    <row r="128" spans="1:25">
      <c r="A128" s="3"/>
      <c r="B128" t="str">
        <f>IF(_xlfn.XLOOKUP(A128,PARAMETROS!A:A,PARAMETROS!B:B)=0,"",_xlfn.XLOOKUP(A128,PARAMETROS!A:A,PARAMETROS!B:B))</f>
        <v/>
      </c>
      <c r="C128" t="str">
        <f>IF(_xlfn.XLOOKUP(A128,PARAMETROS!A:A,PARAMETROS!C:C)=0,"",_xlfn.XLOOKUP(A128,PARAMETROS!A:A,PARAMETROS!C:C))</f>
        <v/>
      </c>
      <c r="D128" t="str">
        <f>IF(_xlfn.XLOOKUP(A128,PARAMETROS!A:A,PARAMETROS!E:E)=0,"",_xlfn.XLOOKUP(A128,PARAMETROS!A:A,PARAMETROS!E:E))</f>
        <v/>
      </c>
      <c r="E128" t="str">
        <f>IF(_xlfn.XLOOKUP('PREENCHIMENTO|NÃO-LETIVAS'!A128,PARAMETROS!A:A,PARAMETROS!I:I)=0,"",_xlfn.XLOOKUP('PREENCHIMENTO|NÃO-LETIVAS'!A128,PARAMETROS!A:A,PARAMETROS!I:I))</f>
        <v/>
      </c>
      <c r="F128" s="3"/>
      <c r="G128" s="3"/>
      <c r="H128" s="3"/>
      <c r="I128" s="3"/>
      <c r="Y128" s="6">
        <f>_xlfn.XLOOKUP(G:G,PARAMETROS!Y:Y,PARAMETROS!AD:AD)</f>
        <v>0</v>
      </c>
    </row>
    <row r="129" spans="1:25">
      <c r="A129" s="3"/>
      <c r="B129" t="str">
        <f>IF(_xlfn.XLOOKUP(A129,PARAMETROS!A:A,PARAMETROS!B:B)=0,"",_xlfn.XLOOKUP(A129,PARAMETROS!A:A,PARAMETROS!B:B))</f>
        <v/>
      </c>
      <c r="C129" t="str">
        <f>IF(_xlfn.XLOOKUP(A129,PARAMETROS!A:A,PARAMETROS!C:C)=0,"",_xlfn.XLOOKUP(A129,PARAMETROS!A:A,PARAMETROS!C:C))</f>
        <v/>
      </c>
      <c r="D129" t="str">
        <f>IF(_xlfn.XLOOKUP(A129,PARAMETROS!A:A,PARAMETROS!E:E)=0,"",_xlfn.XLOOKUP(A129,PARAMETROS!A:A,PARAMETROS!E:E))</f>
        <v/>
      </c>
      <c r="E129" t="str">
        <f>IF(_xlfn.XLOOKUP('PREENCHIMENTO|NÃO-LETIVAS'!A129,PARAMETROS!A:A,PARAMETROS!I:I)=0,"",_xlfn.XLOOKUP('PREENCHIMENTO|NÃO-LETIVAS'!A129,PARAMETROS!A:A,PARAMETROS!I:I))</f>
        <v/>
      </c>
      <c r="F129" s="3"/>
      <c r="G129" s="3"/>
      <c r="H129" s="3"/>
      <c r="I129" s="3"/>
      <c r="Y129" s="6">
        <f>_xlfn.XLOOKUP(G:G,PARAMETROS!Y:Y,PARAMETROS!AD:AD)</f>
        <v>0</v>
      </c>
    </row>
    <row r="130" spans="1:25">
      <c r="A130" s="3"/>
      <c r="B130" t="str">
        <f>IF(_xlfn.XLOOKUP(A130,PARAMETROS!A:A,PARAMETROS!B:B)=0,"",_xlfn.XLOOKUP(A130,PARAMETROS!A:A,PARAMETROS!B:B))</f>
        <v/>
      </c>
      <c r="C130" t="str">
        <f>IF(_xlfn.XLOOKUP(A130,PARAMETROS!A:A,PARAMETROS!C:C)=0,"",_xlfn.XLOOKUP(A130,PARAMETROS!A:A,PARAMETROS!C:C))</f>
        <v/>
      </c>
      <c r="D130" t="str">
        <f>IF(_xlfn.XLOOKUP(A130,PARAMETROS!A:A,PARAMETROS!E:E)=0,"",_xlfn.XLOOKUP(A130,PARAMETROS!A:A,PARAMETROS!E:E))</f>
        <v/>
      </c>
      <c r="E130" t="str">
        <f>IF(_xlfn.XLOOKUP('PREENCHIMENTO|NÃO-LETIVAS'!A130,PARAMETROS!A:A,PARAMETROS!I:I)=0,"",_xlfn.XLOOKUP('PREENCHIMENTO|NÃO-LETIVAS'!A130,PARAMETROS!A:A,PARAMETROS!I:I))</f>
        <v/>
      </c>
      <c r="F130" s="3"/>
      <c r="G130" s="3"/>
      <c r="H130" s="3"/>
      <c r="I130" s="3"/>
      <c r="Y130" s="6">
        <f>_xlfn.XLOOKUP(G:G,PARAMETROS!Y:Y,PARAMETROS!AD:AD)</f>
        <v>0</v>
      </c>
    </row>
    <row r="131" spans="1:25">
      <c r="A131" s="3"/>
      <c r="B131" t="str">
        <f>IF(_xlfn.XLOOKUP(A131,PARAMETROS!A:A,PARAMETROS!B:B)=0,"",_xlfn.XLOOKUP(A131,PARAMETROS!A:A,PARAMETROS!B:B))</f>
        <v/>
      </c>
      <c r="C131" t="str">
        <f>IF(_xlfn.XLOOKUP(A131,PARAMETROS!A:A,PARAMETROS!C:C)=0,"",_xlfn.XLOOKUP(A131,PARAMETROS!A:A,PARAMETROS!C:C))</f>
        <v/>
      </c>
      <c r="D131" t="str">
        <f>IF(_xlfn.XLOOKUP(A131,PARAMETROS!A:A,PARAMETROS!E:E)=0,"",_xlfn.XLOOKUP(A131,PARAMETROS!A:A,PARAMETROS!E:E))</f>
        <v/>
      </c>
      <c r="E131" t="str">
        <f>IF(_xlfn.XLOOKUP('PREENCHIMENTO|NÃO-LETIVAS'!A131,PARAMETROS!A:A,PARAMETROS!I:I)=0,"",_xlfn.XLOOKUP('PREENCHIMENTO|NÃO-LETIVAS'!A131,PARAMETROS!A:A,PARAMETROS!I:I))</f>
        <v/>
      </c>
      <c r="F131" s="3"/>
      <c r="G131" s="3"/>
      <c r="H131" s="3"/>
      <c r="I131" s="3"/>
      <c r="Y131" s="6">
        <f>_xlfn.XLOOKUP(G:G,PARAMETROS!Y:Y,PARAMETROS!AD:AD)</f>
        <v>0</v>
      </c>
    </row>
    <row r="132" spans="1:25">
      <c r="A132" s="3"/>
      <c r="B132" t="str">
        <f>IF(_xlfn.XLOOKUP(A132,PARAMETROS!A:A,PARAMETROS!B:B)=0,"",_xlfn.XLOOKUP(A132,PARAMETROS!A:A,PARAMETROS!B:B))</f>
        <v/>
      </c>
      <c r="C132" t="str">
        <f>IF(_xlfn.XLOOKUP(A132,PARAMETROS!A:A,PARAMETROS!C:C)=0,"",_xlfn.XLOOKUP(A132,PARAMETROS!A:A,PARAMETROS!C:C))</f>
        <v/>
      </c>
      <c r="D132" t="str">
        <f>IF(_xlfn.XLOOKUP(A132,PARAMETROS!A:A,PARAMETROS!E:E)=0,"",_xlfn.XLOOKUP(A132,PARAMETROS!A:A,PARAMETROS!E:E))</f>
        <v/>
      </c>
      <c r="E132" t="str">
        <f>IF(_xlfn.XLOOKUP('PREENCHIMENTO|NÃO-LETIVAS'!A132,PARAMETROS!A:A,PARAMETROS!I:I)=0,"",_xlfn.XLOOKUP('PREENCHIMENTO|NÃO-LETIVAS'!A132,PARAMETROS!A:A,PARAMETROS!I:I))</f>
        <v/>
      </c>
      <c r="F132" s="3"/>
      <c r="G132" s="3"/>
      <c r="H132" s="3"/>
      <c r="I132" s="3"/>
      <c r="Y132" s="6">
        <f>_xlfn.XLOOKUP(G:G,PARAMETROS!Y:Y,PARAMETROS!AD:AD)</f>
        <v>0</v>
      </c>
    </row>
    <row r="133" spans="1:25">
      <c r="A133" s="3"/>
      <c r="B133" t="str">
        <f>IF(_xlfn.XLOOKUP(A133,PARAMETROS!A:A,PARAMETROS!B:B)=0,"",_xlfn.XLOOKUP(A133,PARAMETROS!A:A,PARAMETROS!B:B))</f>
        <v/>
      </c>
      <c r="C133" t="str">
        <f>IF(_xlfn.XLOOKUP(A133,PARAMETROS!A:A,PARAMETROS!C:C)=0,"",_xlfn.XLOOKUP(A133,PARAMETROS!A:A,PARAMETROS!C:C))</f>
        <v/>
      </c>
      <c r="D133" t="str">
        <f>IF(_xlfn.XLOOKUP(A133,PARAMETROS!A:A,PARAMETROS!E:E)=0,"",_xlfn.XLOOKUP(A133,PARAMETROS!A:A,PARAMETROS!E:E))</f>
        <v/>
      </c>
      <c r="E133" t="str">
        <f>IF(_xlfn.XLOOKUP('PREENCHIMENTO|NÃO-LETIVAS'!A133,PARAMETROS!A:A,PARAMETROS!I:I)=0,"",_xlfn.XLOOKUP('PREENCHIMENTO|NÃO-LETIVAS'!A133,PARAMETROS!A:A,PARAMETROS!I:I))</f>
        <v/>
      </c>
      <c r="F133" s="3"/>
      <c r="G133" s="3"/>
      <c r="H133" s="3"/>
      <c r="I133" s="3"/>
      <c r="Y133" s="6">
        <f>_xlfn.XLOOKUP(G:G,PARAMETROS!Y:Y,PARAMETROS!AD:AD)</f>
        <v>0</v>
      </c>
    </row>
    <row r="134" spans="1:25">
      <c r="A134" s="3"/>
      <c r="B134" t="str">
        <f>IF(_xlfn.XLOOKUP(A134,PARAMETROS!A:A,PARAMETROS!B:B)=0,"",_xlfn.XLOOKUP(A134,PARAMETROS!A:A,PARAMETROS!B:B))</f>
        <v/>
      </c>
      <c r="C134" t="str">
        <f>IF(_xlfn.XLOOKUP(A134,PARAMETROS!A:A,PARAMETROS!C:C)=0,"",_xlfn.XLOOKUP(A134,PARAMETROS!A:A,PARAMETROS!C:C))</f>
        <v/>
      </c>
      <c r="D134" t="str">
        <f>IF(_xlfn.XLOOKUP(A134,PARAMETROS!A:A,PARAMETROS!E:E)=0,"",_xlfn.XLOOKUP(A134,PARAMETROS!A:A,PARAMETROS!E:E))</f>
        <v/>
      </c>
      <c r="E134" t="str">
        <f>IF(_xlfn.XLOOKUP('PREENCHIMENTO|NÃO-LETIVAS'!A134,PARAMETROS!A:A,PARAMETROS!I:I)=0,"",_xlfn.XLOOKUP('PREENCHIMENTO|NÃO-LETIVAS'!A134,PARAMETROS!A:A,PARAMETROS!I:I))</f>
        <v/>
      </c>
      <c r="F134" s="3"/>
      <c r="G134" s="3"/>
      <c r="H134" s="3"/>
      <c r="I134" s="3"/>
      <c r="Y134" s="6">
        <f>_xlfn.XLOOKUP(G:G,PARAMETROS!Y:Y,PARAMETROS!AD:AD)</f>
        <v>0</v>
      </c>
    </row>
    <row r="135" spans="1:25">
      <c r="A135" s="3"/>
      <c r="B135" t="str">
        <f>IF(_xlfn.XLOOKUP(A135,PARAMETROS!A:A,PARAMETROS!B:B)=0,"",_xlfn.XLOOKUP(A135,PARAMETROS!A:A,PARAMETROS!B:B))</f>
        <v/>
      </c>
      <c r="C135" t="str">
        <f>IF(_xlfn.XLOOKUP(A135,PARAMETROS!A:A,PARAMETROS!C:C)=0,"",_xlfn.XLOOKUP(A135,PARAMETROS!A:A,PARAMETROS!C:C))</f>
        <v/>
      </c>
      <c r="D135" t="str">
        <f>IF(_xlfn.XLOOKUP(A135,PARAMETROS!A:A,PARAMETROS!E:E)=0,"",_xlfn.XLOOKUP(A135,PARAMETROS!A:A,PARAMETROS!E:E))</f>
        <v/>
      </c>
      <c r="E135" t="str">
        <f>IF(_xlfn.XLOOKUP('PREENCHIMENTO|NÃO-LETIVAS'!A135,PARAMETROS!A:A,PARAMETROS!I:I)=0,"",_xlfn.XLOOKUP('PREENCHIMENTO|NÃO-LETIVAS'!A135,PARAMETROS!A:A,PARAMETROS!I:I))</f>
        <v/>
      </c>
      <c r="F135" s="3"/>
      <c r="G135" s="3"/>
      <c r="H135" s="3"/>
      <c r="I135" s="3"/>
      <c r="Y135" s="6">
        <f>_xlfn.XLOOKUP(G:G,PARAMETROS!Y:Y,PARAMETROS!AD:AD)</f>
        <v>0</v>
      </c>
    </row>
    <row r="136" spans="1:25">
      <c r="A136" s="3"/>
      <c r="B136" t="str">
        <f>IF(_xlfn.XLOOKUP(A136,PARAMETROS!A:A,PARAMETROS!B:B)=0,"",_xlfn.XLOOKUP(A136,PARAMETROS!A:A,PARAMETROS!B:B))</f>
        <v/>
      </c>
      <c r="C136" t="str">
        <f>IF(_xlfn.XLOOKUP(A136,PARAMETROS!A:A,PARAMETROS!C:C)=0,"",_xlfn.XLOOKUP(A136,PARAMETROS!A:A,PARAMETROS!C:C))</f>
        <v/>
      </c>
      <c r="D136" t="str">
        <f>IF(_xlfn.XLOOKUP(A136,PARAMETROS!A:A,PARAMETROS!E:E)=0,"",_xlfn.XLOOKUP(A136,PARAMETROS!A:A,PARAMETROS!E:E))</f>
        <v/>
      </c>
      <c r="E136" t="str">
        <f>IF(_xlfn.XLOOKUP('PREENCHIMENTO|NÃO-LETIVAS'!A136,PARAMETROS!A:A,PARAMETROS!I:I)=0,"",_xlfn.XLOOKUP('PREENCHIMENTO|NÃO-LETIVAS'!A136,PARAMETROS!A:A,PARAMETROS!I:I))</f>
        <v/>
      </c>
      <c r="F136" s="3"/>
      <c r="G136" s="3"/>
      <c r="H136" s="3"/>
      <c r="I136" s="3"/>
      <c r="Y136" s="6">
        <f>_xlfn.XLOOKUP(G:G,PARAMETROS!Y:Y,PARAMETROS!AD:AD)</f>
        <v>0</v>
      </c>
    </row>
    <row r="137" spans="1:25">
      <c r="A137" s="3"/>
      <c r="B137" t="str">
        <f>IF(_xlfn.XLOOKUP(A137,PARAMETROS!A:A,PARAMETROS!B:B)=0,"",_xlfn.XLOOKUP(A137,PARAMETROS!A:A,PARAMETROS!B:B))</f>
        <v/>
      </c>
      <c r="C137" t="str">
        <f>IF(_xlfn.XLOOKUP(A137,PARAMETROS!A:A,PARAMETROS!C:C)=0,"",_xlfn.XLOOKUP(A137,PARAMETROS!A:A,PARAMETROS!C:C))</f>
        <v/>
      </c>
      <c r="D137" t="str">
        <f>IF(_xlfn.XLOOKUP(A137,PARAMETROS!A:A,PARAMETROS!E:E)=0,"",_xlfn.XLOOKUP(A137,PARAMETROS!A:A,PARAMETROS!E:E))</f>
        <v/>
      </c>
      <c r="E137" t="str">
        <f>IF(_xlfn.XLOOKUP('PREENCHIMENTO|NÃO-LETIVAS'!A137,PARAMETROS!A:A,PARAMETROS!I:I)=0,"",_xlfn.XLOOKUP('PREENCHIMENTO|NÃO-LETIVAS'!A137,PARAMETROS!A:A,PARAMETROS!I:I))</f>
        <v/>
      </c>
      <c r="F137" s="3"/>
      <c r="G137" s="3"/>
      <c r="H137" s="3"/>
      <c r="I137" s="3"/>
      <c r="Y137" s="6">
        <f>_xlfn.XLOOKUP(G:G,PARAMETROS!Y:Y,PARAMETROS!AD:AD)</f>
        <v>0</v>
      </c>
    </row>
    <row r="138" spans="1:25">
      <c r="A138" s="3"/>
      <c r="B138" t="str">
        <f>IF(_xlfn.XLOOKUP(A138,PARAMETROS!A:A,PARAMETROS!B:B)=0,"",_xlfn.XLOOKUP(A138,PARAMETROS!A:A,PARAMETROS!B:B))</f>
        <v/>
      </c>
      <c r="C138" t="str">
        <f>IF(_xlfn.XLOOKUP(A138,PARAMETROS!A:A,PARAMETROS!C:C)=0,"",_xlfn.XLOOKUP(A138,PARAMETROS!A:A,PARAMETROS!C:C))</f>
        <v/>
      </c>
      <c r="D138" t="str">
        <f>IF(_xlfn.XLOOKUP(A138,PARAMETROS!A:A,PARAMETROS!E:E)=0,"",_xlfn.XLOOKUP(A138,PARAMETROS!A:A,PARAMETROS!E:E))</f>
        <v/>
      </c>
      <c r="E138" t="str">
        <f>IF(_xlfn.XLOOKUP('PREENCHIMENTO|NÃO-LETIVAS'!A138,PARAMETROS!A:A,PARAMETROS!I:I)=0,"",_xlfn.XLOOKUP('PREENCHIMENTO|NÃO-LETIVAS'!A138,PARAMETROS!A:A,PARAMETROS!I:I))</f>
        <v/>
      </c>
      <c r="F138" s="3"/>
      <c r="G138" s="3"/>
      <c r="H138" s="3"/>
      <c r="I138" s="3"/>
      <c r="Y138" s="6">
        <f>_xlfn.XLOOKUP(G:G,PARAMETROS!Y:Y,PARAMETROS!AD:AD)</f>
        <v>0</v>
      </c>
    </row>
    <row r="139" spans="1:25">
      <c r="A139" s="3"/>
      <c r="B139" t="str">
        <f>IF(_xlfn.XLOOKUP(A139,PARAMETROS!A:A,PARAMETROS!B:B)=0,"",_xlfn.XLOOKUP(A139,PARAMETROS!A:A,PARAMETROS!B:B))</f>
        <v/>
      </c>
      <c r="C139" t="str">
        <f>IF(_xlfn.XLOOKUP(A139,PARAMETROS!A:A,PARAMETROS!C:C)=0,"",_xlfn.XLOOKUP(A139,PARAMETROS!A:A,PARAMETROS!C:C))</f>
        <v/>
      </c>
      <c r="D139" t="str">
        <f>IF(_xlfn.XLOOKUP(A139,PARAMETROS!A:A,PARAMETROS!E:E)=0,"",_xlfn.XLOOKUP(A139,PARAMETROS!A:A,PARAMETROS!E:E))</f>
        <v/>
      </c>
      <c r="E139" t="str">
        <f>IF(_xlfn.XLOOKUP('PREENCHIMENTO|NÃO-LETIVAS'!A139,PARAMETROS!A:A,PARAMETROS!I:I)=0,"",_xlfn.XLOOKUP('PREENCHIMENTO|NÃO-LETIVAS'!A139,PARAMETROS!A:A,PARAMETROS!I:I))</f>
        <v/>
      </c>
      <c r="F139" s="3"/>
      <c r="G139" s="3"/>
      <c r="H139" s="3"/>
      <c r="I139" s="3"/>
      <c r="Y139" s="6">
        <f>_xlfn.XLOOKUP(G:G,PARAMETROS!Y:Y,PARAMETROS!AD:AD)</f>
        <v>0</v>
      </c>
    </row>
    <row r="140" spans="1:25">
      <c r="A140" s="3"/>
      <c r="B140" t="str">
        <f>IF(_xlfn.XLOOKUP(A140,PARAMETROS!A:A,PARAMETROS!B:B)=0,"",_xlfn.XLOOKUP(A140,PARAMETROS!A:A,PARAMETROS!B:B))</f>
        <v/>
      </c>
      <c r="C140" t="str">
        <f>IF(_xlfn.XLOOKUP(A140,PARAMETROS!A:A,PARAMETROS!C:C)=0,"",_xlfn.XLOOKUP(A140,PARAMETROS!A:A,PARAMETROS!C:C))</f>
        <v/>
      </c>
      <c r="D140" t="str">
        <f>IF(_xlfn.XLOOKUP(A140,PARAMETROS!A:A,PARAMETROS!E:E)=0,"",_xlfn.XLOOKUP(A140,PARAMETROS!A:A,PARAMETROS!E:E))</f>
        <v/>
      </c>
      <c r="E140" t="str">
        <f>IF(_xlfn.XLOOKUP('PREENCHIMENTO|NÃO-LETIVAS'!A140,PARAMETROS!A:A,PARAMETROS!I:I)=0,"",_xlfn.XLOOKUP('PREENCHIMENTO|NÃO-LETIVAS'!A140,PARAMETROS!A:A,PARAMETROS!I:I))</f>
        <v/>
      </c>
      <c r="F140" s="3"/>
      <c r="G140" s="3"/>
      <c r="H140" s="3"/>
      <c r="I140" s="3"/>
      <c r="Y140" s="6">
        <f>_xlfn.XLOOKUP(G:G,PARAMETROS!Y:Y,PARAMETROS!AD:AD)</f>
        <v>0</v>
      </c>
    </row>
    <row r="141" spans="1:25">
      <c r="A141" s="3"/>
      <c r="B141" t="str">
        <f>IF(_xlfn.XLOOKUP(A141,PARAMETROS!A:A,PARAMETROS!B:B)=0,"",_xlfn.XLOOKUP(A141,PARAMETROS!A:A,PARAMETROS!B:B))</f>
        <v/>
      </c>
      <c r="C141" t="str">
        <f>IF(_xlfn.XLOOKUP(A141,PARAMETROS!A:A,PARAMETROS!C:C)=0,"",_xlfn.XLOOKUP(A141,PARAMETROS!A:A,PARAMETROS!C:C))</f>
        <v/>
      </c>
      <c r="D141" t="str">
        <f>IF(_xlfn.XLOOKUP(A141,PARAMETROS!A:A,PARAMETROS!E:E)=0,"",_xlfn.XLOOKUP(A141,PARAMETROS!A:A,PARAMETROS!E:E))</f>
        <v/>
      </c>
      <c r="E141" t="str">
        <f>IF(_xlfn.XLOOKUP('PREENCHIMENTO|NÃO-LETIVAS'!A141,PARAMETROS!A:A,PARAMETROS!I:I)=0,"",_xlfn.XLOOKUP('PREENCHIMENTO|NÃO-LETIVAS'!A141,PARAMETROS!A:A,PARAMETROS!I:I))</f>
        <v/>
      </c>
      <c r="F141" s="3"/>
      <c r="G141" s="3"/>
      <c r="H141" s="3"/>
      <c r="I141" s="3"/>
      <c r="Y141" s="6">
        <f>_xlfn.XLOOKUP(G:G,PARAMETROS!Y:Y,PARAMETROS!AD:AD)</f>
        <v>0</v>
      </c>
    </row>
    <row r="142" spans="1:25">
      <c r="A142" s="3"/>
      <c r="B142" t="str">
        <f>IF(_xlfn.XLOOKUP(A142,PARAMETROS!A:A,PARAMETROS!B:B)=0,"",_xlfn.XLOOKUP(A142,PARAMETROS!A:A,PARAMETROS!B:B))</f>
        <v/>
      </c>
      <c r="C142" t="str">
        <f>IF(_xlfn.XLOOKUP(A142,PARAMETROS!A:A,PARAMETROS!C:C)=0,"",_xlfn.XLOOKUP(A142,PARAMETROS!A:A,PARAMETROS!C:C))</f>
        <v/>
      </c>
      <c r="D142" t="str">
        <f>IF(_xlfn.XLOOKUP(A142,PARAMETROS!A:A,PARAMETROS!E:E)=0,"",_xlfn.XLOOKUP(A142,PARAMETROS!A:A,PARAMETROS!E:E))</f>
        <v/>
      </c>
      <c r="E142" t="str">
        <f>IF(_xlfn.XLOOKUP('PREENCHIMENTO|NÃO-LETIVAS'!A142,PARAMETROS!A:A,PARAMETROS!I:I)=0,"",_xlfn.XLOOKUP('PREENCHIMENTO|NÃO-LETIVAS'!A142,PARAMETROS!A:A,PARAMETROS!I:I))</f>
        <v/>
      </c>
      <c r="F142" s="3"/>
      <c r="G142" s="3"/>
      <c r="H142" s="3"/>
      <c r="I142" s="3"/>
      <c r="Y142" s="6">
        <f>_xlfn.XLOOKUP(G:G,PARAMETROS!Y:Y,PARAMETROS!AD:AD)</f>
        <v>0</v>
      </c>
    </row>
    <row r="143" spans="1:25">
      <c r="A143" s="3"/>
      <c r="B143" t="str">
        <f>IF(_xlfn.XLOOKUP(A143,PARAMETROS!A:A,PARAMETROS!B:B)=0,"",_xlfn.XLOOKUP(A143,PARAMETROS!A:A,PARAMETROS!B:B))</f>
        <v/>
      </c>
      <c r="C143" t="str">
        <f>IF(_xlfn.XLOOKUP(A143,PARAMETROS!A:A,PARAMETROS!C:C)=0,"",_xlfn.XLOOKUP(A143,PARAMETROS!A:A,PARAMETROS!C:C))</f>
        <v/>
      </c>
      <c r="D143" t="str">
        <f>IF(_xlfn.XLOOKUP(A143,PARAMETROS!A:A,PARAMETROS!E:E)=0,"",_xlfn.XLOOKUP(A143,PARAMETROS!A:A,PARAMETROS!E:E))</f>
        <v/>
      </c>
      <c r="E143" t="str">
        <f>IF(_xlfn.XLOOKUP('PREENCHIMENTO|NÃO-LETIVAS'!A143,PARAMETROS!A:A,PARAMETROS!I:I)=0,"",_xlfn.XLOOKUP('PREENCHIMENTO|NÃO-LETIVAS'!A143,PARAMETROS!A:A,PARAMETROS!I:I))</f>
        <v/>
      </c>
      <c r="F143" s="3"/>
      <c r="G143" s="3"/>
      <c r="H143" s="3"/>
      <c r="I143" s="3"/>
      <c r="Y143" s="6">
        <f>_xlfn.XLOOKUP(G:G,PARAMETROS!Y:Y,PARAMETROS!AD:AD)</f>
        <v>0</v>
      </c>
    </row>
    <row r="144" spans="1:25">
      <c r="A144" s="3"/>
      <c r="B144" t="str">
        <f>IF(_xlfn.XLOOKUP(A144,PARAMETROS!A:A,PARAMETROS!B:B)=0,"",_xlfn.XLOOKUP(A144,PARAMETROS!A:A,PARAMETROS!B:B))</f>
        <v/>
      </c>
      <c r="C144" t="str">
        <f>IF(_xlfn.XLOOKUP(A144,PARAMETROS!A:A,PARAMETROS!C:C)=0,"",_xlfn.XLOOKUP(A144,PARAMETROS!A:A,PARAMETROS!C:C))</f>
        <v/>
      </c>
      <c r="D144" t="str">
        <f>IF(_xlfn.XLOOKUP(A144,PARAMETROS!A:A,PARAMETROS!E:E)=0,"",_xlfn.XLOOKUP(A144,PARAMETROS!A:A,PARAMETROS!E:E))</f>
        <v/>
      </c>
      <c r="E144" t="str">
        <f>IF(_xlfn.XLOOKUP('PREENCHIMENTO|NÃO-LETIVAS'!A144,PARAMETROS!A:A,PARAMETROS!I:I)=0,"",_xlfn.XLOOKUP('PREENCHIMENTO|NÃO-LETIVAS'!A144,PARAMETROS!A:A,PARAMETROS!I:I))</f>
        <v/>
      </c>
      <c r="F144" s="3"/>
      <c r="G144" s="3"/>
      <c r="H144" s="3"/>
      <c r="I144" s="3"/>
      <c r="Y144" s="6">
        <f>_xlfn.XLOOKUP(G:G,PARAMETROS!Y:Y,PARAMETROS!AD:AD)</f>
        <v>0</v>
      </c>
    </row>
    <row r="145" spans="1:25">
      <c r="A145" s="3"/>
      <c r="B145" t="str">
        <f>IF(_xlfn.XLOOKUP(A145,PARAMETROS!A:A,PARAMETROS!B:B)=0,"",_xlfn.XLOOKUP(A145,PARAMETROS!A:A,PARAMETROS!B:B))</f>
        <v/>
      </c>
      <c r="C145" t="str">
        <f>IF(_xlfn.XLOOKUP(A145,PARAMETROS!A:A,PARAMETROS!C:C)=0,"",_xlfn.XLOOKUP(A145,PARAMETROS!A:A,PARAMETROS!C:C))</f>
        <v/>
      </c>
      <c r="D145" t="str">
        <f>IF(_xlfn.XLOOKUP(A145,PARAMETROS!A:A,PARAMETROS!E:E)=0,"",_xlfn.XLOOKUP(A145,PARAMETROS!A:A,PARAMETROS!E:E))</f>
        <v/>
      </c>
      <c r="E145" t="str">
        <f>IF(_xlfn.XLOOKUP('PREENCHIMENTO|NÃO-LETIVAS'!A145,PARAMETROS!A:A,PARAMETROS!I:I)=0,"",_xlfn.XLOOKUP('PREENCHIMENTO|NÃO-LETIVAS'!A145,PARAMETROS!A:A,PARAMETROS!I:I))</f>
        <v/>
      </c>
      <c r="F145" s="3"/>
      <c r="G145" s="3"/>
      <c r="H145" s="3"/>
      <c r="I145" s="3"/>
      <c r="Y145" s="6">
        <f>_xlfn.XLOOKUP(G:G,PARAMETROS!Y:Y,PARAMETROS!AD:AD)</f>
        <v>0</v>
      </c>
    </row>
    <row r="146" spans="1:25">
      <c r="A146" s="3"/>
      <c r="B146" t="str">
        <f>IF(_xlfn.XLOOKUP(A146,PARAMETROS!A:A,PARAMETROS!B:B)=0,"",_xlfn.XLOOKUP(A146,PARAMETROS!A:A,PARAMETROS!B:B))</f>
        <v/>
      </c>
      <c r="C146" t="str">
        <f>IF(_xlfn.XLOOKUP(A146,PARAMETROS!A:A,PARAMETROS!C:C)=0,"",_xlfn.XLOOKUP(A146,PARAMETROS!A:A,PARAMETROS!C:C))</f>
        <v/>
      </c>
      <c r="D146" t="str">
        <f>IF(_xlfn.XLOOKUP(A146,PARAMETROS!A:A,PARAMETROS!E:E)=0,"",_xlfn.XLOOKUP(A146,PARAMETROS!A:A,PARAMETROS!E:E))</f>
        <v/>
      </c>
      <c r="E146" t="str">
        <f>IF(_xlfn.XLOOKUP('PREENCHIMENTO|NÃO-LETIVAS'!A146,PARAMETROS!A:A,PARAMETROS!I:I)=0,"",_xlfn.XLOOKUP('PREENCHIMENTO|NÃO-LETIVAS'!A146,PARAMETROS!A:A,PARAMETROS!I:I))</f>
        <v/>
      </c>
      <c r="F146" s="3"/>
      <c r="G146" s="3"/>
      <c r="H146" s="3"/>
      <c r="I146" s="3"/>
      <c r="Y146" s="6">
        <f>_xlfn.XLOOKUP(G:G,PARAMETROS!Y:Y,PARAMETROS!AD:AD)</f>
        <v>0</v>
      </c>
    </row>
    <row r="147" spans="1:25">
      <c r="A147" s="3"/>
      <c r="B147" t="str">
        <f>IF(_xlfn.XLOOKUP(A147,PARAMETROS!A:A,PARAMETROS!B:B)=0,"",_xlfn.XLOOKUP(A147,PARAMETROS!A:A,PARAMETROS!B:B))</f>
        <v/>
      </c>
      <c r="C147" t="str">
        <f>IF(_xlfn.XLOOKUP(A147,PARAMETROS!A:A,PARAMETROS!C:C)=0,"",_xlfn.XLOOKUP(A147,PARAMETROS!A:A,PARAMETROS!C:C))</f>
        <v/>
      </c>
      <c r="D147" t="str">
        <f>IF(_xlfn.XLOOKUP(A147,PARAMETROS!A:A,PARAMETROS!E:E)=0,"",_xlfn.XLOOKUP(A147,PARAMETROS!A:A,PARAMETROS!E:E))</f>
        <v/>
      </c>
      <c r="E147" t="str">
        <f>IF(_xlfn.XLOOKUP('PREENCHIMENTO|NÃO-LETIVAS'!A147,PARAMETROS!A:A,PARAMETROS!I:I)=0,"",_xlfn.XLOOKUP('PREENCHIMENTO|NÃO-LETIVAS'!A147,PARAMETROS!A:A,PARAMETROS!I:I))</f>
        <v/>
      </c>
      <c r="F147" s="3"/>
      <c r="G147" s="3"/>
      <c r="H147" s="3"/>
      <c r="I147" s="3"/>
      <c r="Y147" s="6">
        <f>_xlfn.XLOOKUP(G:G,PARAMETROS!Y:Y,PARAMETROS!AD:AD)</f>
        <v>0</v>
      </c>
    </row>
    <row r="148" spans="1:25">
      <c r="A148" s="3"/>
      <c r="B148" t="str">
        <f>IF(_xlfn.XLOOKUP(A148,PARAMETROS!A:A,PARAMETROS!B:B)=0,"",_xlfn.XLOOKUP(A148,PARAMETROS!A:A,PARAMETROS!B:B))</f>
        <v/>
      </c>
      <c r="C148" t="str">
        <f>IF(_xlfn.XLOOKUP(A148,PARAMETROS!A:A,PARAMETROS!C:C)=0,"",_xlfn.XLOOKUP(A148,PARAMETROS!A:A,PARAMETROS!C:C))</f>
        <v/>
      </c>
      <c r="D148" t="str">
        <f>IF(_xlfn.XLOOKUP(A148,PARAMETROS!A:A,PARAMETROS!E:E)=0,"",_xlfn.XLOOKUP(A148,PARAMETROS!A:A,PARAMETROS!E:E))</f>
        <v/>
      </c>
      <c r="E148" t="str">
        <f>IF(_xlfn.XLOOKUP('PREENCHIMENTO|NÃO-LETIVAS'!A148,PARAMETROS!A:A,PARAMETROS!I:I)=0,"",_xlfn.XLOOKUP('PREENCHIMENTO|NÃO-LETIVAS'!A148,PARAMETROS!A:A,PARAMETROS!I:I))</f>
        <v/>
      </c>
      <c r="F148" s="3"/>
      <c r="G148" s="3"/>
      <c r="H148" s="3"/>
      <c r="I148" s="3"/>
      <c r="Y148" s="6">
        <f>_xlfn.XLOOKUP(G:G,PARAMETROS!Y:Y,PARAMETROS!AD:AD)</f>
        <v>0</v>
      </c>
    </row>
    <row r="149" spans="1:25">
      <c r="A149" s="3"/>
      <c r="B149" t="str">
        <f>IF(_xlfn.XLOOKUP(A149,PARAMETROS!A:A,PARAMETROS!B:B)=0,"",_xlfn.XLOOKUP(A149,PARAMETROS!A:A,PARAMETROS!B:B))</f>
        <v/>
      </c>
      <c r="C149" t="str">
        <f>IF(_xlfn.XLOOKUP(A149,PARAMETROS!A:A,PARAMETROS!C:C)=0,"",_xlfn.XLOOKUP(A149,PARAMETROS!A:A,PARAMETROS!C:C))</f>
        <v/>
      </c>
      <c r="D149" t="str">
        <f>IF(_xlfn.XLOOKUP(A149,PARAMETROS!A:A,PARAMETROS!E:E)=0,"",_xlfn.XLOOKUP(A149,PARAMETROS!A:A,PARAMETROS!E:E))</f>
        <v/>
      </c>
      <c r="E149" t="str">
        <f>IF(_xlfn.XLOOKUP('PREENCHIMENTO|NÃO-LETIVAS'!A149,PARAMETROS!A:A,PARAMETROS!I:I)=0,"",_xlfn.XLOOKUP('PREENCHIMENTO|NÃO-LETIVAS'!A149,PARAMETROS!A:A,PARAMETROS!I:I))</f>
        <v/>
      </c>
      <c r="F149" s="3"/>
      <c r="G149" s="3"/>
      <c r="H149" s="3"/>
      <c r="I149" s="3"/>
      <c r="Y149" s="6">
        <f>_xlfn.XLOOKUP(G:G,PARAMETROS!Y:Y,PARAMETROS!AD:AD)</f>
        <v>0</v>
      </c>
    </row>
    <row r="150" spans="1:25">
      <c r="A150" s="3"/>
      <c r="B150" t="str">
        <f>IF(_xlfn.XLOOKUP(A150,PARAMETROS!A:A,PARAMETROS!B:B)=0,"",_xlfn.XLOOKUP(A150,PARAMETROS!A:A,PARAMETROS!B:B))</f>
        <v/>
      </c>
      <c r="C150" t="str">
        <f>IF(_xlfn.XLOOKUP(A150,PARAMETROS!A:A,PARAMETROS!C:C)=0,"",_xlfn.XLOOKUP(A150,PARAMETROS!A:A,PARAMETROS!C:C))</f>
        <v/>
      </c>
      <c r="D150" t="str">
        <f>IF(_xlfn.XLOOKUP(A150,PARAMETROS!A:A,PARAMETROS!E:E)=0,"",_xlfn.XLOOKUP(A150,PARAMETROS!A:A,PARAMETROS!E:E))</f>
        <v/>
      </c>
      <c r="E150" t="str">
        <f>IF(_xlfn.XLOOKUP('PREENCHIMENTO|NÃO-LETIVAS'!A150,PARAMETROS!A:A,PARAMETROS!I:I)=0,"",_xlfn.XLOOKUP('PREENCHIMENTO|NÃO-LETIVAS'!A150,PARAMETROS!A:A,PARAMETROS!I:I))</f>
        <v/>
      </c>
      <c r="F150" s="3"/>
      <c r="G150" s="3"/>
      <c r="H150" s="3"/>
      <c r="I150" s="3"/>
      <c r="Y150" s="6">
        <f>_xlfn.XLOOKUP(G:G,PARAMETROS!Y:Y,PARAMETROS!AD:AD)</f>
        <v>0</v>
      </c>
    </row>
    <row r="151" spans="1:25">
      <c r="A151" s="3"/>
      <c r="B151" t="str">
        <f>IF(_xlfn.XLOOKUP(A151,PARAMETROS!A:A,PARAMETROS!B:B)=0,"",_xlfn.XLOOKUP(A151,PARAMETROS!A:A,PARAMETROS!B:B))</f>
        <v/>
      </c>
      <c r="C151" t="str">
        <f>IF(_xlfn.XLOOKUP(A151,PARAMETROS!A:A,PARAMETROS!C:C)=0,"",_xlfn.XLOOKUP(A151,PARAMETROS!A:A,PARAMETROS!C:C))</f>
        <v/>
      </c>
      <c r="D151" t="str">
        <f>IF(_xlfn.XLOOKUP(A151,PARAMETROS!A:A,PARAMETROS!E:E)=0,"",_xlfn.XLOOKUP(A151,PARAMETROS!A:A,PARAMETROS!E:E))</f>
        <v/>
      </c>
      <c r="E151" t="str">
        <f>IF(_xlfn.XLOOKUP('PREENCHIMENTO|NÃO-LETIVAS'!A151,PARAMETROS!A:A,PARAMETROS!I:I)=0,"",_xlfn.XLOOKUP('PREENCHIMENTO|NÃO-LETIVAS'!A151,PARAMETROS!A:A,PARAMETROS!I:I))</f>
        <v/>
      </c>
      <c r="F151" s="3"/>
      <c r="G151" s="3"/>
      <c r="H151" s="3"/>
      <c r="I151" s="3"/>
      <c r="Y151" s="6">
        <f>_xlfn.XLOOKUP(G:G,PARAMETROS!Y:Y,PARAMETROS!AD:AD)</f>
        <v>0</v>
      </c>
    </row>
    <row r="152" spans="1:25">
      <c r="A152" s="3"/>
      <c r="B152" t="str">
        <f>IF(_xlfn.XLOOKUP(A152,PARAMETROS!A:A,PARAMETROS!B:B)=0,"",_xlfn.XLOOKUP(A152,PARAMETROS!A:A,PARAMETROS!B:B))</f>
        <v/>
      </c>
      <c r="C152" t="str">
        <f>IF(_xlfn.XLOOKUP(A152,PARAMETROS!A:A,PARAMETROS!C:C)=0,"",_xlfn.XLOOKUP(A152,PARAMETROS!A:A,PARAMETROS!C:C))</f>
        <v/>
      </c>
      <c r="D152" t="str">
        <f>IF(_xlfn.XLOOKUP(A152,PARAMETROS!A:A,PARAMETROS!E:E)=0,"",_xlfn.XLOOKUP(A152,PARAMETROS!A:A,PARAMETROS!E:E))</f>
        <v/>
      </c>
      <c r="E152" t="str">
        <f>IF(_xlfn.XLOOKUP('PREENCHIMENTO|NÃO-LETIVAS'!A152,PARAMETROS!A:A,PARAMETROS!I:I)=0,"",_xlfn.XLOOKUP('PREENCHIMENTO|NÃO-LETIVAS'!A152,PARAMETROS!A:A,PARAMETROS!I:I))</f>
        <v/>
      </c>
      <c r="F152" s="3"/>
      <c r="G152" s="3"/>
      <c r="H152" s="3"/>
      <c r="I152" s="3"/>
      <c r="Y152" s="6">
        <f>_xlfn.XLOOKUP(G:G,PARAMETROS!Y:Y,PARAMETROS!AD:AD)</f>
        <v>0</v>
      </c>
    </row>
    <row r="153" spans="1:25">
      <c r="A153" s="3"/>
      <c r="B153" t="str">
        <f>IF(_xlfn.XLOOKUP(A153,PARAMETROS!A:A,PARAMETROS!B:B)=0,"",_xlfn.XLOOKUP(A153,PARAMETROS!A:A,PARAMETROS!B:B))</f>
        <v/>
      </c>
      <c r="C153" t="str">
        <f>IF(_xlfn.XLOOKUP(A153,PARAMETROS!A:A,PARAMETROS!C:C)=0,"",_xlfn.XLOOKUP(A153,PARAMETROS!A:A,PARAMETROS!C:C))</f>
        <v/>
      </c>
      <c r="D153" t="str">
        <f>IF(_xlfn.XLOOKUP(A153,PARAMETROS!A:A,PARAMETROS!E:E)=0,"",_xlfn.XLOOKUP(A153,PARAMETROS!A:A,PARAMETROS!E:E))</f>
        <v/>
      </c>
      <c r="E153" t="str">
        <f>IF(_xlfn.XLOOKUP('PREENCHIMENTO|NÃO-LETIVAS'!A153,PARAMETROS!A:A,PARAMETROS!I:I)=0,"",_xlfn.XLOOKUP('PREENCHIMENTO|NÃO-LETIVAS'!A153,PARAMETROS!A:A,PARAMETROS!I:I))</f>
        <v/>
      </c>
      <c r="F153" s="3"/>
      <c r="G153" s="3"/>
      <c r="H153" s="3"/>
      <c r="I153" s="3"/>
      <c r="Y153" s="6">
        <f>_xlfn.XLOOKUP(G:G,PARAMETROS!Y:Y,PARAMETROS!AD:AD)</f>
        <v>0</v>
      </c>
    </row>
    <row r="154" spans="1:25">
      <c r="A154" s="3"/>
      <c r="B154" t="str">
        <f>IF(_xlfn.XLOOKUP(A154,PARAMETROS!A:A,PARAMETROS!B:B)=0,"",_xlfn.XLOOKUP(A154,PARAMETROS!A:A,PARAMETROS!B:B))</f>
        <v/>
      </c>
      <c r="C154" t="str">
        <f>IF(_xlfn.XLOOKUP(A154,PARAMETROS!A:A,PARAMETROS!C:C)=0,"",_xlfn.XLOOKUP(A154,PARAMETROS!A:A,PARAMETROS!C:C))</f>
        <v/>
      </c>
      <c r="D154" t="str">
        <f>IF(_xlfn.XLOOKUP(A154,PARAMETROS!A:A,PARAMETROS!E:E)=0,"",_xlfn.XLOOKUP(A154,PARAMETROS!A:A,PARAMETROS!E:E))</f>
        <v/>
      </c>
      <c r="E154" t="str">
        <f>IF(_xlfn.XLOOKUP('PREENCHIMENTO|NÃO-LETIVAS'!A154,PARAMETROS!A:A,PARAMETROS!I:I)=0,"",_xlfn.XLOOKUP('PREENCHIMENTO|NÃO-LETIVAS'!A154,PARAMETROS!A:A,PARAMETROS!I:I))</f>
        <v/>
      </c>
      <c r="F154" s="3"/>
      <c r="G154" s="3"/>
      <c r="H154" s="3"/>
      <c r="I154" s="3"/>
      <c r="Y154" s="6">
        <f>_xlfn.XLOOKUP(G:G,PARAMETROS!Y:Y,PARAMETROS!AD:AD)</f>
        <v>0</v>
      </c>
    </row>
    <row r="155" spans="1:25">
      <c r="A155" s="3"/>
      <c r="B155" t="str">
        <f>IF(_xlfn.XLOOKUP(A155,PARAMETROS!A:A,PARAMETROS!B:B)=0,"",_xlfn.XLOOKUP(A155,PARAMETROS!A:A,PARAMETROS!B:B))</f>
        <v/>
      </c>
      <c r="C155" t="str">
        <f>IF(_xlfn.XLOOKUP(A155,PARAMETROS!A:A,PARAMETROS!C:C)=0,"",_xlfn.XLOOKUP(A155,PARAMETROS!A:A,PARAMETROS!C:C))</f>
        <v/>
      </c>
      <c r="D155" t="str">
        <f>IF(_xlfn.XLOOKUP(A155,PARAMETROS!A:A,PARAMETROS!E:E)=0,"",_xlfn.XLOOKUP(A155,PARAMETROS!A:A,PARAMETROS!E:E))</f>
        <v/>
      </c>
      <c r="E155" t="str">
        <f>IF(_xlfn.XLOOKUP('PREENCHIMENTO|NÃO-LETIVAS'!A155,PARAMETROS!A:A,PARAMETROS!I:I)=0,"",_xlfn.XLOOKUP('PREENCHIMENTO|NÃO-LETIVAS'!A155,PARAMETROS!A:A,PARAMETROS!I:I))</f>
        <v/>
      </c>
      <c r="F155" s="3"/>
      <c r="G155" s="3"/>
      <c r="H155" s="3"/>
      <c r="I155" s="3"/>
      <c r="Y155" s="6">
        <f>_xlfn.XLOOKUP(G:G,PARAMETROS!Y:Y,PARAMETROS!AD:AD)</f>
        <v>0</v>
      </c>
    </row>
    <row r="156" spans="1:25">
      <c r="A156" s="3"/>
      <c r="B156" t="str">
        <f>IF(_xlfn.XLOOKUP(A156,PARAMETROS!A:A,PARAMETROS!B:B)=0,"",_xlfn.XLOOKUP(A156,PARAMETROS!A:A,PARAMETROS!B:B))</f>
        <v/>
      </c>
      <c r="C156" t="str">
        <f>IF(_xlfn.XLOOKUP(A156,PARAMETROS!A:A,PARAMETROS!C:C)=0,"",_xlfn.XLOOKUP(A156,PARAMETROS!A:A,PARAMETROS!C:C))</f>
        <v/>
      </c>
      <c r="D156" t="str">
        <f>IF(_xlfn.XLOOKUP(A156,PARAMETROS!A:A,PARAMETROS!E:E)=0,"",_xlfn.XLOOKUP(A156,PARAMETROS!A:A,PARAMETROS!E:E))</f>
        <v/>
      </c>
      <c r="E156" t="str">
        <f>IF(_xlfn.XLOOKUP('PREENCHIMENTO|NÃO-LETIVAS'!A156,PARAMETROS!A:A,PARAMETROS!I:I)=0,"",_xlfn.XLOOKUP('PREENCHIMENTO|NÃO-LETIVAS'!A156,PARAMETROS!A:A,PARAMETROS!I:I))</f>
        <v/>
      </c>
      <c r="F156" s="3"/>
      <c r="G156" s="3"/>
      <c r="H156" s="3"/>
      <c r="I156" s="3"/>
      <c r="Y156" s="6">
        <f>_xlfn.XLOOKUP(G:G,PARAMETROS!Y:Y,PARAMETROS!AD:AD)</f>
        <v>0</v>
      </c>
    </row>
    <row r="157" spans="1:25">
      <c r="A157" s="3"/>
      <c r="B157" t="str">
        <f>IF(_xlfn.XLOOKUP(A157,PARAMETROS!A:A,PARAMETROS!B:B)=0,"",_xlfn.XLOOKUP(A157,PARAMETROS!A:A,PARAMETROS!B:B))</f>
        <v/>
      </c>
      <c r="C157" t="str">
        <f>IF(_xlfn.XLOOKUP(A157,PARAMETROS!A:A,PARAMETROS!C:C)=0,"",_xlfn.XLOOKUP(A157,PARAMETROS!A:A,PARAMETROS!C:C))</f>
        <v/>
      </c>
      <c r="D157" t="str">
        <f>IF(_xlfn.XLOOKUP(A157,PARAMETROS!A:A,PARAMETROS!E:E)=0,"",_xlfn.XLOOKUP(A157,PARAMETROS!A:A,PARAMETROS!E:E))</f>
        <v/>
      </c>
      <c r="E157" t="str">
        <f>IF(_xlfn.XLOOKUP('PREENCHIMENTO|NÃO-LETIVAS'!A157,PARAMETROS!A:A,PARAMETROS!I:I)=0,"",_xlfn.XLOOKUP('PREENCHIMENTO|NÃO-LETIVAS'!A157,PARAMETROS!A:A,PARAMETROS!I:I))</f>
        <v/>
      </c>
      <c r="F157" s="3"/>
      <c r="G157" s="3"/>
      <c r="H157" s="3"/>
      <c r="I157" s="3"/>
      <c r="Y157" s="6">
        <f>_xlfn.XLOOKUP(G:G,PARAMETROS!Y:Y,PARAMETROS!AD:AD)</f>
        <v>0</v>
      </c>
    </row>
    <row r="158" spans="1:25">
      <c r="A158" s="3"/>
      <c r="B158" t="str">
        <f>IF(_xlfn.XLOOKUP(A158,PARAMETROS!A:A,PARAMETROS!B:B)=0,"",_xlfn.XLOOKUP(A158,PARAMETROS!A:A,PARAMETROS!B:B))</f>
        <v/>
      </c>
      <c r="C158" t="str">
        <f>IF(_xlfn.XLOOKUP(A158,PARAMETROS!A:A,PARAMETROS!C:C)=0,"",_xlfn.XLOOKUP(A158,PARAMETROS!A:A,PARAMETROS!C:C))</f>
        <v/>
      </c>
      <c r="D158" t="str">
        <f>IF(_xlfn.XLOOKUP(A158,PARAMETROS!A:A,PARAMETROS!E:E)=0,"",_xlfn.XLOOKUP(A158,PARAMETROS!A:A,PARAMETROS!E:E))</f>
        <v/>
      </c>
      <c r="E158" t="str">
        <f>IF(_xlfn.XLOOKUP('PREENCHIMENTO|NÃO-LETIVAS'!A158,PARAMETROS!A:A,PARAMETROS!I:I)=0,"",_xlfn.XLOOKUP('PREENCHIMENTO|NÃO-LETIVAS'!A158,PARAMETROS!A:A,PARAMETROS!I:I))</f>
        <v/>
      </c>
      <c r="F158" s="3"/>
      <c r="G158" s="3"/>
      <c r="H158" s="3"/>
      <c r="I158" s="3"/>
      <c r="Y158" s="6">
        <f>_xlfn.XLOOKUP(G:G,PARAMETROS!Y:Y,PARAMETROS!AD:AD)</f>
        <v>0</v>
      </c>
    </row>
    <row r="159" spans="1:25">
      <c r="A159" s="3"/>
      <c r="B159" t="str">
        <f>IF(_xlfn.XLOOKUP(A159,PARAMETROS!A:A,PARAMETROS!B:B)=0,"",_xlfn.XLOOKUP(A159,PARAMETROS!A:A,PARAMETROS!B:B))</f>
        <v/>
      </c>
      <c r="C159" t="str">
        <f>IF(_xlfn.XLOOKUP(A159,PARAMETROS!A:A,PARAMETROS!C:C)=0,"",_xlfn.XLOOKUP(A159,PARAMETROS!A:A,PARAMETROS!C:C))</f>
        <v/>
      </c>
      <c r="D159" t="str">
        <f>IF(_xlfn.XLOOKUP(A159,PARAMETROS!A:A,PARAMETROS!E:E)=0,"",_xlfn.XLOOKUP(A159,PARAMETROS!A:A,PARAMETROS!E:E))</f>
        <v/>
      </c>
      <c r="E159" t="str">
        <f>IF(_xlfn.XLOOKUP('PREENCHIMENTO|NÃO-LETIVAS'!A159,PARAMETROS!A:A,PARAMETROS!I:I)=0,"",_xlfn.XLOOKUP('PREENCHIMENTO|NÃO-LETIVAS'!A159,PARAMETROS!A:A,PARAMETROS!I:I))</f>
        <v/>
      </c>
      <c r="F159" s="3"/>
      <c r="G159" s="3"/>
      <c r="H159" s="3"/>
      <c r="I159" s="3"/>
      <c r="Y159" s="6">
        <f>_xlfn.XLOOKUP(G:G,PARAMETROS!Y:Y,PARAMETROS!AD:AD)</f>
        <v>0</v>
      </c>
    </row>
    <row r="160" spans="1:25">
      <c r="A160" s="3"/>
      <c r="B160" t="str">
        <f>IF(_xlfn.XLOOKUP(A160,PARAMETROS!A:A,PARAMETROS!B:B)=0,"",_xlfn.XLOOKUP(A160,PARAMETROS!A:A,PARAMETROS!B:B))</f>
        <v/>
      </c>
      <c r="C160" t="str">
        <f>IF(_xlfn.XLOOKUP(A160,PARAMETROS!A:A,PARAMETROS!C:C)=0,"",_xlfn.XLOOKUP(A160,PARAMETROS!A:A,PARAMETROS!C:C))</f>
        <v/>
      </c>
      <c r="D160" t="str">
        <f>IF(_xlfn.XLOOKUP(A160,PARAMETROS!A:A,PARAMETROS!E:E)=0,"",_xlfn.XLOOKUP(A160,PARAMETROS!A:A,PARAMETROS!E:E))</f>
        <v/>
      </c>
      <c r="E160" t="str">
        <f>IF(_xlfn.XLOOKUP('PREENCHIMENTO|NÃO-LETIVAS'!A160,PARAMETROS!A:A,PARAMETROS!I:I)=0,"",_xlfn.XLOOKUP('PREENCHIMENTO|NÃO-LETIVAS'!A160,PARAMETROS!A:A,PARAMETROS!I:I))</f>
        <v/>
      </c>
      <c r="F160" s="3"/>
      <c r="G160" s="3"/>
      <c r="H160" s="3"/>
      <c r="I160" s="3"/>
      <c r="Y160" s="6">
        <f>_xlfn.XLOOKUP(G:G,PARAMETROS!Y:Y,PARAMETROS!AD:AD)</f>
        <v>0</v>
      </c>
    </row>
    <row r="161" spans="1:25">
      <c r="A161" s="3"/>
      <c r="B161" t="str">
        <f>IF(_xlfn.XLOOKUP(A161,PARAMETROS!A:A,PARAMETROS!B:B)=0,"",_xlfn.XLOOKUP(A161,PARAMETROS!A:A,PARAMETROS!B:B))</f>
        <v/>
      </c>
      <c r="C161" t="str">
        <f>IF(_xlfn.XLOOKUP(A161,PARAMETROS!A:A,PARAMETROS!C:C)=0,"",_xlfn.XLOOKUP(A161,PARAMETROS!A:A,PARAMETROS!C:C))</f>
        <v/>
      </c>
      <c r="D161" t="str">
        <f>IF(_xlfn.XLOOKUP(A161,PARAMETROS!A:A,PARAMETROS!E:E)=0,"",_xlfn.XLOOKUP(A161,PARAMETROS!A:A,PARAMETROS!E:E))</f>
        <v/>
      </c>
      <c r="E161" t="str">
        <f>IF(_xlfn.XLOOKUP('PREENCHIMENTO|NÃO-LETIVAS'!A161,PARAMETROS!A:A,PARAMETROS!I:I)=0,"",_xlfn.XLOOKUP('PREENCHIMENTO|NÃO-LETIVAS'!A161,PARAMETROS!A:A,PARAMETROS!I:I))</f>
        <v/>
      </c>
      <c r="F161" s="3"/>
      <c r="G161" s="3"/>
      <c r="H161" s="3"/>
      <c r="I161" s="3"/>
      <c r="Y161" s="6">
        <f>_xlfn.XLOOKUP(G:G,PARAMETROS!Y:Y,PARAMETROS!AD:AD)</f>
        <v>0</v>
      </c>
    </row>
    <row r="162" spans="1:25">
      <c r="A162" s="3"/>
      <c r="B162" t="str">
        <f>IF(_xlfn.XLOOKUP(A162,PARAMETROS!A:A,PARAMETROS!B:B)=0,"",_xlfn.XLOOKUP(A162,PARAMETROS!A:A,PARAMETROS!B:B))</f>
        <v/>
      </c>
      <c r="C162" t="str">
        <f>IF(_xlfn.XLOOKUP(A162,PARAMETROS!A:A,PARAMETROS!C:C)=0,"",_xlfn.XLOOKUP(A162,PARAMETROS!A:A,PARAMETROS!C:C))</f>
        <v/>
      </c>
      <c r="D162" t="str">
        <f>IF(_xlfn.XLOOKUP(A162,PARAMETROS!A:A,PARAMETROS!E:E)=0,"",_xlfn.XLOOKUP(A162,PARAMETROS!A:A,PARAMETROS!E:E))</f>
        <v/>
      </c>
      <c r="E162" t="str">
        <f>IF(_xlfn.XLOOKUP('PREENCHIMENTO|NÃO-LETIVAS'!A162,PARAMETROS!A:A,PARAMETROS!I:I)=0,"",_xlfn.XLOOKUP('PREENCHIMENTO|NÃO-LETIVAS'!A162,PARAMETROS!A:A,PARAMETROS!I:I))</f>
        <v/>
      </c>
      <c r="F162" s="3"/>
      <c r="G162" s="3"/>
      <c r="H162" s="3"/>
      <c r="I162" s="3"/>
      <c r="Y162" s="6">
        <f>_xlfn.XLOOKUP(G:G,PARAMETROS!Y:Y,PARAMETROS!AD:AD)</f>
        <v>0</v>
      </c>
    </row>
    <row r="163" spans="1:25">
      <c r="A163" s="3"/>
      <c r="B163" t="str">
        <f>IF(_xlfn.XLOOKUP(A163,PARAMETROS!A:A,PARAMETROS!B:B)=0,"",_xlfn.XLOOKUP(A163,PARAMETROS!A:A,PARAMETROS!B:B))</f>
        <v/>
      </c>
      <c r="C163" t="str">
        <f>IF(_xlfn.XLOOKUP(A163,PARAMETROS!A:A,PARAMETROS!C:C)=0,"",_xlfn.XLOOKUP(A163,PARAMETROS!A:A,PARAMETROS!C:C))</f>
        <v/>
      </c>
      <c r="D163" t="str">
        <f>IF(_xlfn.XLOOKUP(A163,PARAMETROS!A:A,PARAMETROS!E:E)=0,"",_xlfn.XLOOKUP(A163,PARAMETROS!A:A,PARAMETROS!E:E))</f>
        <v/>
      </c>
      <c r="E163" t="str">
        <f>IF(_xlfn.XLOOKUP('PREENCHIMENTO|NÃO-LETIVAS'!A163,PARAMETROS!A:A,PARAMETROS!I:I)=0,"",_xlfn.XLOOKUP('PREENCHIMENTO|NÃO-LETIVAS'!A163,PARAMETROS!A:A,PARAMETROS!I:I))</f>
        <v/>
      </c>
      <c r="F163" s="3"/>
      <c r="G163" s="3"/>
      <c r="H163" s="3"/>
      <c r="I163" s="3"/>
      <c r="Y163" s="6">
        <f>_xlfn.XLOOKUP(G:G,PARAMETROS!Y:Y,PARAMETROS!AD:AD)</f>
        <v>0</v>
      </c>
    </row>
    <row r="164" spans="1:25">
      <c r="A164" s="3"/>
      <c r="B164" t="str">
        <f>IF(_xlfn.XLOOKUP(A164,PARAMETROS!A:A,PARAMETROS!B:B)=0,"",_xlfn.XLOOKUP(A164,PARAMETROS!A:A,PARAMETROS!B:B))</f>
        <v/>
      </c>
      <c r="C164" t="str">
        <f>IF(_xlfn.XLOOKUP(A164,PARAMETROS!A:A,PARAMETROS!C:C)=0,"",_xlfn.XLOOKUP(A164,PARAMETROS!A:A,PARAMETROS!C:C))</f>
        <v/>
      </c>
      <c r="D164" t="str">
        <f>IF(_xlfn.XLOOKUP(A164,PARAMETROS!A:A,PARAMETROS!E:E)=0,"",_xlfn.XLOOKUP(A164,PARAMETROS!A:A,PARAMETROS!E:E))</f>
        <v/>
      </c>
      <c r="E164" t="str">
        <f>IF(_xlfn.XLOOKUP('PREENCHIMENTO|NÃO-LETIVAS'!A164,PARAMETROS!A:A,PARAMETROS!I:I)=0,"",_xlfn.XLOOKUP('PREENCHIMENTO|NÃO-LETIVAS'!A164,PARAMETROS!A:A,PARAMETROS!I:I))</f>
        <v/>
      </c>
      <c r="F164" s="3"/>
      <c r="G164" s="3"/>
      <c r="H164" s="3"/>
      <c r="I164" s="3"/>
      <c r="Y164" s="6">
        <f>_xlfn.XLOOKUP(G:G,PARAMETROS!Y:Y,PARAMETROS!AD:AD)</f>
        <v>0</v>
      </c>
    </row>
    <row r="165" spans="1:25">
      <c r="A165" s="3"/>
      <c r="B165" t="str">
        <f>IF(_xlfn.XLOOKUP(A165,PARAMETROS!A:A,PARAMETROS!B:B)=0,"",_xlfn.XLOOKUP(A165,PARAMETROS!A:A,PARAMETROS!B:B))</f>
        <v/>
      </c>
      <c r="C165" t="str">
        <f>IF(_xlfn.XLOOKUP(A165,PARAMETROS!A:A,PARAMETROS!C:C)=0,"",_xlfn.XLOOKUP(A165,PARAMETROS!A:A,PARAMETROS!C:C))</f>
        <v/>
      </c>
      <c r="D165" t="str">
        <f>IF(_xlfn.XLOOKUP(A165,PARAMETROS!A:A,PARAMETROS!E:E)=0,"",_xlfn.XLOOKUP(A165,PARAMETROS!A:A,PARAMETROS!E:E))</f>
        <v/>
      </c>
      <c r="E165" t="str">
        <f>IF(_xlfn.XLOOKUP('PREENCHIMENTO|NÃO-LETIVAS'!A165,PARAMETROS!A:A,PARAMETROS!I:I)=0,"",_xlfn.XLOOKUP('PREENCHIMENTO|NÃO-LETIVAS'!A165,PARAMETROS!A:A,PARAMETROS!I:I))</f>
        <v/>
      </c>
      <c r="F165" s="3"/>
      <c r="G165" s="3"/>
      <c r="H165" s="3"/>
      <c r="I165" s="3"/>
      <c r="Y165" s="6">
        <f>_xlfn.XLOOKUP(G:G,PARAMETROS!Y:Y,PARAMETROS!AD:AD)</f>
        <v>0</v>
      </c>
    </row>
    <row r="166" spans="1:25">
      <c r="A166" s="3"/>
      <c r="B166" t="str">
        <f>IF(_xlfn.XLOOKUP(A166,PARAMETROS!A:A,PARAMETROS!B:B)=0,"",_xlfn.XLOOKUP(A166,PARAMETROS!A:A,PARAMETROS!B:B))</f>
        <v/>
      </c>
      <c r="C166" t="str">
        <f>IF(_xlfn.XLOOKUP(A166,PARAMETROS!A:A,PARAMETROS!C:C)=0,"",_xlfn.XLOOKUP(A166,PARAMETROS!A:A,PARAMETROS!C:C))</f>
        <v/>
      </c>
      <c r="D166" t="str">
        <f>IF(_xlfn.XLOOKUP(A166,PARAMETROS!A:A,PARAMETROS!E:E)=0,"",_xlfn.XLOOKUP(A166,PARAMETROS!A:A,PARAMETROS!E:E))</f>
        <v/>
      </c>
      <c r="E166" t="str">
        <f>IF(_xlfn.XLOOKUP('PREENCHIMENTO|NÃO-LETIVAS'!A166,PARAMETROS!A:A,PARAMETROS!I:I)=0,"",_xlfn.XLOOKUP('PREENCHIMENTO|NÃO-LETIVAS'!A166,PARAMETROS!A:A,PARAMETROS!I:I))</f>
        <v/>
      </c>
      <c r="F166" s="3"/>
      <c r="G166" s="3"/>
      <c r="H166" s="3"/>
      <c r="I166" s="3"/>
      <c r="Y166" s="6">
        <f>_xlfn.XLOOKUP(G:G,PARAMETROS!Y:Y,PARAMETROS!AD:AD)</f>
        <v>0</v>
      </c>
    </row>
    <row r="167" spans="1:25">
      <c r="A167" s="3"/>
      <c r="B167" t="str">
        <f>IF(_xlfn.XLOOKUP(A167,PARAMETROS!A:A,PARAMETROS!B:B)=0,"",_xlfn.XLOOKUP(A167,PARAMETROS!A:A,PARAMETROS!B:B))</f>
        <v/>
      </c>
      <c r="C167" t="str">
        <f>IF(_xlfn.XLOOKUP(A167,PARAMETROS!A:A,PARAMETROS!C:C)=0,"",_xlfn.XLOOKUP(A167,PARAMETROS!A:A,PARAMETROS!C:C))</f>
        <v/>
      </c>
      <c r="D167" t="str">
        <f>IF(_xlfn.XLOOKUP(A167,PARAMETROS!A:A,PARAMETROS!E:E)=0,"",_xlfn.XLOOKUP(A167,PARAMETROS!A:A,PARAMETROS!E:E))</f>
        <v/>
      </c>
      <c r="E167" t="str">
        <f>IF(_xlfn.XLOOKUP('PREENCHIMENTO|NÃO-LETIVAS'!A167,PARAMETROS!A:A,PARAMETROS!I:I)=0,"",_xlfn.XLOOKUP('PREENCHIMENTO|NÃO-LETIVAS'!A167,PARAMETROS!A:A,PARAMETROS!I:I))</f>
        <v/>
      </c>
      <c r="F167" s="3"/>
      <c r="G167" s="3"/>
      <c r="H167" s="3"/>
      <c r="I167" s="3"/>
      <c r="Y167" s="6">
        <f>_xlfn.XLOOKUP(G:G,PARAMETROS!Y:Y,PARAMETROS!AD:AD)</f>
        <v>0</v>
      </c>
    </row>
    <row r="168" spans="1:25">
      <c r="A168" s="3"/>
      <c r="B168" t="str">
        <f>IF(_xlfn.XLOOKUP(A168,PARAMETROS!A:A,PARAMETROS!B:B)=0,"",_xlfn.XLOOKUP(A168,PARAMETROS!A:A,PARAMETROS!B:B))</f>
        <v/>
      </c>
      <c r="C168" t="str">
        <f>IF(_xlfn.XLOOKUP(A168,PARAMETROS!A:A,PARAMETROS!C:C)=0,"",_xlfn.XLOOKUP(A168,PARAMETROS!A:A,PARAMETROS!C:C))</f>
        <v/>
      </c>
      <c r="D168" t="str">
        <f>IF(_xlfn.XLOOKUP(A168,PARAMETROS!A:A,PARAMETROS!E:E)=0,"",_xlfn.XLOOKUP(A168,PARAMETROS!A:A,PARAMETROS!E:E))</f>
        <v/>
      </c>
      <c r="E168" t="str">
        <f>IF(_xlfn.XLOOKUP('PREENCHIMENTO|NÃO-LETIVAS'!A168,PARAMETROS!A:A,PARAMETROS!I:I)=0,"",_xlfn.XLOOKUP('PREENCHIMENTO|NÃO-LETIVAS'!A168,PARAMETROS!A:A,PARAMETROS!I:I))</f>
        <v/>
      </c>
      <c r="F168" s="3"/>
      <c r="G168" s="3"/>
      <c r="H168" s="3"/>
      <c r="I168" s="3"/>
      <c r="Y168" s="6">
        <f>_xlfn.XLOOKUP(G:G,PARAMETROS!Y:Y,PARAMETROS!AD:AD)</f>
        <v>0</v>
      </c>
    </row>
    <row r="169" spans="1:25">
      <c r="A169" s="3"/>
      <c r="B169" t="str">
        <f>IF(_xlfn.XLOOKUP(A169,PARAMETROS!A:A,PARAMETROS!B:B)=0,"",_xlfn.XLOOKUP(A169,PARAMETROS!A:A,PARAMETROS!B:B))</f>
        <v/>
      </c>
      <c r="C169" t="str">
        <f>IF(_xlfn.XLOOKUP(A169,PARAMETROS!A:A,PARAMETROS!C:C)=0,"",_xlfn.XLOOKUP(A169,PARAMETROS!A:A,PARAMETROS!C:C))</f>
        <v/>
      </c>
      <c r="D169" t="str">
        <f>IF(_xlfn.XLOOKUP(A169,PARAMETROS!A:A,PARAMETROS!E:E)=0,"",_xlfn.XLOOKUP(A169,PARAMETROS!A:A,PARAMETROS!E:E))</f>
        <v/>
      </c>
      <c r="E169" t="str">
        <f>IF(_xlfn.XLOOKUP('PREENCHIMENTO|NÃO-LETIVAS'!A169,PARAMETROS!A:A,PARAMETROS!I:I)=0,"",_xlfn.XLOOKUP('PREENCHIMENTO|NÃO-LETIVAS'!A169,PARAMETROS!A:A,PARAMETROS!I:I))</f>
        <v/>
      </c>
      <c r="F169" s="3"/>
      <c r="G169" s="3"/>
      <c r="H169" s="3"/>
      <c r="I169" s="3"/>
      <c r="Y169" s="6">
        <f>_xlfn.XLOOKUP(G:G,PARAMETROS!Y:Y,PARAMETROS!AD:AD)</f>
        <v>0</v>
      </c>
    </row>
    <row r="170" spans="1:25">
      <c r="A170" s="3"/>
      <c r="B170" t="str">
        <f>IF(_xlfn.XLOOKUP(A170,PARAMETROS!A:A,PARAMETROS!B:B)=0,"",_xlfn.XLOOKUP(A170,PARAMETROS!A:A,PARAMETROS!B:B))</f>
        <v/>
      </c>
      <c r="C170" t="str">
        <f>IF(_xlfn.XLOOKUP(A170,PARAMETROS!A:A,PARAMETROS!C:C)=0,"",_xlfn.XLOOKUP(A170,PARAMETROS!A:A,PARAMETROS!C:C))</f>
        <v/>
      </c>
      <c r="D170" t="str">
        <f>IF(_xlfn.XLOOKUP(A170,PARAMETROS!A:A,PARAMETROS!E:E)=0,"",_xlfn.XLOOKUP(A170,PARAMETROS!A:A,PARAMETROS!E:E))</f>
        <v/>
      </c>
      <c r="E170" t="str">
        <f>IF(_xlfn.XLOOKUP('PREENCHIMENTO|NÃO-LETIVAS'!A170,PARAMETROS!A:A,PARAMETROS!I:I)=0,"",_xlfn.XLOOKUP('PREENCHIMENTO|NÃO-LETIVAS'!A170,PARAMETROS!A:A,PARAMETROS!I:I))</f>
        <v/>
      </c>
      <c r="F170" s="3"/>
      <c r="G170" s="3"/>
      <c r="H170" s="3"/>
      <c r="I170" s="3"/>
      <c r="Y170" s="6">
        <f>_xlfn.XLOOKUP(G:G,PARAMETROS!Y:Y,PARAMETROS!AD:AD)</f>
        <v>0</v>
      </c>
    </row>
    <row r="171" spans="1:25">
      <c r="A171" s="3"/>
      <c r="B171" t="str">
        <f>IF(_xlfn.XLOOKUP(A171,PARAMETROS!A:A,PARAMETROS!B:B)=0,"",_xlfn.XLOOKUP(A171,PARAMETROS!A:A,PARAMETROS!B:B))</f>
        <v/>
      </c>
      <c r="C171" t="str">
        <f>IF(_xlfn.XLOOKUP(A171,PARAMETROS!A:A,PARAMETROS!C:C)=0,"",_xlfn.XLOOKUP(A171,PARAMETROS!A:A,PARAMETROS!C:C))</f>
        <v/>
      </c>
      <c r="D171" t="str">
        <f>IF(_xlfn.XLOOKUP(A171,PARAMETROS!A:A,PARAMETROS!E:E)=0,"",_xlfn.XLOOKUP(A171,PARAMETROS!A:A,PARAMETROS!E:E))</f>
        <v/>
      </c>
      <c r="E171" t="str">
        <f>IF(_xlfn.XLOOKUP('PREENCHIMENTO|NÃO-LETIVAS'!A171,PARAMETROS!A:A,PARAMETROS!I:I)=0,"",_xlfn.XLOOKUP('PREENCHIMENTO|NÃO-LETIVAS'!A171,PARAMETROS!A:A,PARAMETROS!I:I))</f>
        <v/>
      </c>
      <c r="F171" s="3"/>
      <c r="G171" s="3"/>
      <c r="H171" s="3"/>
      <c r="I171" s="3"/>
      <c r="Y171" s="6">
        <f>_xlfn.XLOOKUP(G:G,PARAMETROS!Y:Y,PARAMETROS!AD:AD)</f>
        <v>0</v>
      </c>
    </row>
    <row r="172" spans="1:25">
      <c r="A172" s="3"/>
      <c r="B172" t="str">
        <f>IF(_xlfn.XLOOKUP(A172,PARAMETROS!A:A,PARAMETROS!B:B)=0,"",_xlfn.XLOOKUP(A172,PARAMETROS!A:A,PARAMETROS!B:B))</f>
        <v/>
      </c>
      <c r="C172" t="str">
        <f>IF(_xlfn.XLOOKUP(A172,PARAMETROS!A:A,PARAMETROS!C:C)=0,"",_xlfn.XLOOKUP(A172,PARAMETROS!A:A,PARAMETROS!C:C))</f>
        <v/>
      </c>
      <c r="D172" t="str">
        <f>IF(_xlfn.XLOOKUP(A172,PARAMETROS!A:A,PARAMETROS!E:E)=0,"",_xlfn.XLOOKUP(A172,PARAMETROS!A:A,PARAMETROS!E:E))</f>
        <v/>
      </c>
      <c r="E172" t="str">
        <f>IF(_xlfn.XLOOKUP('PREENCHIMENTO|NÃO-LETIVAS'!A172,PARAMETROS!A:A,PARAMETROS!I:I)=0,"",_xlfn.XLOOKUP('PREENCHIMENTO|NÃO-LETIVAS'!A172,PARAMETROS!A:A,PARAMETROS!I:I))</f>
        <v/>
      </c>
      <c r="F172" s="3"/>
      <c r="G172" s="3"/>
      <c r="H172" s="3"/>
      <c r="I172" s="3"/>
      <c r="Y172" s="6">
        <f>_xlfn.XLOOKUP(G:G,PARAMETROS!Y:Y,PARAMETROS!AD:AD)</f>
        <v>0</v>
      </c>
    </row>
    <row r="173" spans="1:25">
      <c r="A173" s="3"/>
      <c r="B173" t="str">
        <f>IF(_xlfn.XLOOKUP(A173,PARAMETROS!A:A,PARAMETROS!B:B)=0,"",_xlfn.XLOOKUP(A173,PARAMETROS!A:A,PARAMETROS!B:B))</f>
        <v/>
      </c>
      <c r="C173" t="str">
        <f>IF(_xlfn.XLOOKUP(A173,PARAMETROS!A:A,PARAMETROS!C:C)=0,"",_xlfn.XLOOKUP(A173,PARAMETROS!A:A,PARAMETROS!C:C))</f>
        <v/>
      </c>
      <c r="D173" t="str">
        <f>IF(_xlfn.XLOOKUP(A173,PARAMETROS!A:A,PARAMETROS!E:E)=0,"",_xlfn.XLOOKUP(A173,PARAMETROS!A:A,PARAMETROS!E:E))</f>
        <v/>
      </c>
      <c r="E173" t="str">
        <f>IF(_xlfn.XLOOKUP('PREENCHIMENTO|NÃO-LETIVAS'!A173,PARAMETROS!A:A,PARAMETROS!I:I)=0,"",_xlfn.XLOOKUP('PREENCHIMENTO|NÃO-LETIVAS'!A173,PARAMETROS!A:A,PARAMETROS!I:I))</f>
        <v/>
      </c>
      <c r="F173" s="3"/>
      <c r="G173" s="3"/>
      <c r="H173" s="3"/>
      <c r="I173" s="3"/>
      <c r="Y173" s="6">
        <f>_xlfn.XLOOKUP(G:G,PARAMETROS!Y:Y,PARAMETROS!AD:AD)</f>
        <v>0</v>
      </c>
    </row>
    <row r="174" spans="1:25">
      <c r="A174" s="3"/>
      <c r="B174" t="str">
        <f>IF(_xlfn.XLOOKUP(A174,PARAMETROS!A:A,PARAMETROS!B:B)=0,"",_xlfn.XLOOKUP(A174,PARAMETROS!A:A,PARAMETROS!B:B))</f>
        <v/>
      </c>
      <c r="C174" t="str">
        <f>IF(_xlfn.XLOOKUP(A174,PARAMETROS!A:A,PARAMETROS!C:C)=0,"",_xlfn.XLOOKUP(A174,PARAMETROS!A:A,PARAMETROS!C:C))</f>
        <v/>
      </c>
      <c r="D174" t="str">
        <f>IF(_xlfn.XLOOKUP(A174,PARAMETROS!A:A,PARAMETROS!E:E)=0,"",_xlfn.XLOOKUP(A174,PARAMETROS!A:A,PARAMETROS!E:E))</f>
        <v/>
      </c>
      <c r="E174" t="str">
        <f>IF(_xlfn.XLOOKUP('PREENCHIMENTO|NÃO-LETIVAS'!A174,PARAMETROS!A:A,PARAMETROS!I:I)=0,"",_xlfn.XLOOKUP('PREENCHIMENTO|NÃO-LETIVAS'!A174,PARAMETROS!A:A,PARAMETROS!I:I))</f>
        <v/>
      </c>
      <c r="F174" s="3"/>
      <c r="G174" s="3"/>
      <c r="H174" s="3"/>
      <c r="I174" s="3"/>
      <c r="Y174" s="6">
        <f>_xlfn.XLOOKUP(G:G,PARAMETROS!Y:Y,PARAMETROS!AD:AD)</f>
        <v>0</v>
      </c>
    </row>
    <row r="175" spans="1:25">
      <c r="A175" s="3"/>
      <c r="B175" t="str">
        <f>IF(_xlfn.XLOOKUP(A175,PARAMETROS!A:A,PARAMETROS!B:B)=0,"",_xlfn.XLOOKUP(A175,PARAMETROS!A:A,PARAMETROS!B:B))</f>
        <v/>
      </c>
      <c r="C175" t="str">
        <f>IF(_xlfn.XLOOKUP(A175,PARAMETROS!A:A,PARAMETROS!C:C)=0,"",_xlfn.XLOOKUP(A175,PARAMETROS!A:A,PARAMETROS!C:C))</f>
        <v/>
      </c>
      <c r="D175" t="str">
        <f>IF(_xlfn.XLOOKUP(A175,PARAMETROS!A:A,PARAMETROS!E:E)=0,"",_xlfn.XLOOKUP(A175,PARAMETROS!A:A,PARAMETROS!E:E))</f>
        <v/>
      </c>
      <c r="E175" t="str">
        <f>IF(_xlfn.XLOOKUP('PREENCHIMENTO|NÃO-LETIVAS'!A175,PARAMETROS!A:A,PARAMETROS!I:I)=0,"",_xlfn.XLOOKUP('PREENCHIMENTO|NÃO-LETIVAS'!A175,PARAMETROS!A:A,PARAMETROS!I:I))</f>
        <v/>
      </c>
      <c r="F175" s="3"/>
      <c r="G175" s="3"/>
      <c r="H175" s="3"/>
      <c r="I175" s="3"/>
      <c r="Y175" s="6">
        <f>_xlfn.XLOOKUP(G:G,PARAMETROS!Y:Y,PARAMETROS!AD:AD)</f>
        <v>0</v>
      </c>
    </row>
    <row r="176" spans="1:25">
      <c r="A176" s="3"/>
      <c r="B176" t="str">
        <f>IF(_xlfn.XLOOKUP(A176,PARAMETROS!A:A,PARAMETROS!B:B)=0,"",_xlfn.XLOOKUP(A176,PARAMETROS!A:A,PARAMETROS!B:B))</f>
        <v/>
      </c>
      <c r="C176" t="str">
        <f>IF(_xlfn.XLOOKUP(A176,PARAMETROS!A:A,PARAMETROS!C:C)=0,"",_xlfn.XLOOKUP(A176,PARAMETROS!A:A,PARAMETROS!C:C))</f>
        <v/>
      </c>
      <c r="D176" t="str">
        <f>IF(_xlfn.XLOOKUP(A176,PARAMETROS!A:A,PARAMETROS!E:E)=0,"",_xlfn.XLOOKUP(A176,PARAMETROS!A:A,PARAMETROS!E:E))</f>
        <v/>
      </c>
      <c r="E176" t="str">
        <f>IF(_xlfn.XLOOKUP('PREENCHIMENTO|NÃO-LETIVAS'!A176,PARAMETROS!A:A,PARAMETROS!I:I)=0,"",_xlfn.XLOOKUP('PREENCHIMENTO|NÃO-LETIVAS'!A176,PARAMETROS!A:A,PARAMETROS!I:I))</f>
        <v/>
      </c>
      <c r="F176" s="3"/>
      <c r="G176" s="3"/>
      <c r="H176" s="3"/>
      <c r="I176" s="3"/>
      <c r="Y176" s="6">
        <f>_xlfn.XLOOKUP(G:G,PARAMETROS!Y:Y,PARAMETROS!AD:AD)</f>
        <v>0</v>
      </c>
    </row>
    <row r="177" spans="1:25">
      <c r="A177" s="3"/>
      <c r="B177" t="str">
        <f>IF(_xlfn.XLOOKUP(A177,PARAMETROS!A:A,PARAMETROS!B:B)=0,"",_xlfn.XLOOKUP(A177,PARAMETROS!A:A,PARAMETROS!B:B))</f>
        <v/>
      </c>
      <c r="C177" t="str">
        <f>IF(_xlfn.XLOOKUP(A177,PARAMETROS!A:A,PARAMETROS!C:C)=0,"",_xlfn.XLOOKUP(A177,PARAMETROS!A:A,PARAMETROS!C:C))</f>
        <v/>
      </c>
      <c r="D177" t="str">
        <f>IF(_xlfn.XLOOKUP(A177,PARAMETROS!A:A,PARAMETROS!E:E)=0,"",_xlfn.XLOOKUP(A177,PARAMETROS!A:A,PARAMETROS!E:E))</f>
        <v/>
      </c>
      <c r="E177" t="str">
        <f>IF(_xlfn.XLOOKUP('PREENCHIMENTO|NÃO-LETIVAS'!A177,PARAMETROS!A:A,PARAMETROS!I:I)=0,"",_xlfn.XLOOKUP('PREENCHIMENTO|NÃO-LETIVAS'!A177,PARAMETROS!A:A,PARAMETROS!I:I))</f>
        <v/>
      </c>
      <c r="F177" s="3"/>
      <c r="G177" s="3"/>
      <c r="H177" s="3"/>
      <c r="I177" s="3"/>
      <c r="Y177" s="6">
        <f>_xlfn.XLOOKUP(G:G,PARAMETROS!Y:Y,PARAMETROS!AD:AD)</f>
        <v>0</v>
      </c>
    </row>
    <row r="178" spans="1:25">
      <c r="A178" s="3"/>
      <c r="B178" t="str">
        <f>IF(_xlfn.XLOOKUP(A178,PARAMETROS!A:A,PARAMETROS!B:B)=0,"",_xlfn.XLOOKUP(A178,PARAMETROS!A:A,PARAMETROS!B:B))</f>
        <v/>
      </c>
      <c r="C178" t="str">
        <f>IF(_xlfn.XLOOKUP(A178,PARAMETROS!A:A,PARAMETROS!C:C)=0,"",_xlfn.XLOOKUP(A178,PARAMETROS!A:A,PARAMETROS!C:C))</f>
        <v/>
      </c>
      <c r="D178" t="str">
        <f>IF(_xlfn.XLOOKUP(A178,PARAMETROS!A:A,PARAMETROS!E:E)=0,"",_xlfn.XLOOKUP(A178,PARAMETROS!A:A,PARAMETROS!E:E))</f>
        <v/>
      </c>
      <c r="E178" t="str">
        <f>IF(_xlfn.XLOOKUP('PREENCHIMENTO|NÃO-LETIVAS'!A178,PARAMETROS!A:A,PARAMETROS!I:I)=0,"",_xlfn.XLOOKUP('PREENCHIMENTO|NÃO-LETIVAS'!A178,PARAMETROS!A:A,PARAMETROS!I:I))</f>
        <v/>
      </c>
      <c r="F178" s="3"/>
      <c r="G178" s="3"/>
      <c r="H178" s="3"/>
      <c r="I178" s="3"/>
      <c r="Y178" s="6">
        <f>_xlfn.XLOOKUP(G:G,PARAMETROS!Y:Y,PARAMETROS!AD:AD)</f>
        <v>0</v>
      </c>
    </row>
    <row r="179" spans="1:25">
      <c r="A179" s="3"/>
      <c r="B179" t="str">
        <f>IF(_xlfn.XLOOKUP(A179,PARAMETROS!A:A,PARAMETROS!B:B)=0,"",_xlfn.XLOOKUP(A179,PARAMETROS!A:A,PARAMETROS!B:B))</f>
        <v/>
      </c>
      <c r="C179" t="str">
        <f>IF(_xlfn.XLOOKUP(A179,PARAMETROS!A:A,PARAMETROS!C:C)=0,"",_xlfn.XLOOKUP(A179,PARAMETROS!A:A,PARAMETROS!C:C))</f>
        <v/>
      </c>
      <c r="D179" t="str">
        <f>IF(_xlfn.XLOOKUP(A179,PARAMETROS!A:A,PARAMETROS!E:E)=0,"",_xlfn.XLOOKUP(A179,PARAMETROS!A:A,PARAMETROS!E:E))</f>
        <v/>
      </c>
      <c r="E179" t="str">
        <f>IF(_xlfn.XLOOKUP('PREENCHIMENTO|NÃO-LETIVAS'!A179,PARAMETROS!A:A,PARAMETROS!I:I)=0,"",_xlfn.XLOOKUP('PREENCHIMENTO|NÃO-LETIVAS'!A179,PARAMETROS!A:A,PARAMETROS!I:I))</f>
        <v/>
      </c>
      <c r="F179" s="3"/>
      <c r="G179" s="3"/>
      <c r="H179" s="3"/>
      <c r="I179" s="3"/>
      <c r="Y179" s="6">
        <f>_xlfn.XLOOKUP(G:G,PARAMETROS!Y:Y,PARAMETROS!AD:AD)</f>
        <v>0</v>
      </c>
    </row>
    <row r="180" spans="1:25">
      <c r="A180" s="3"/>
      <c r="B180" t="str">
        <f>IF(_xlfn.XLOOKUP(A180,PARAMETROS!A:A,PARAMETROS!B:B)=0,"",_xlfn.XLOOKUP(A180,PARAMETROS!A:A,PARAMETROS!B:B))</f>
        <v/>
      </c>
      <c r="C180" t="str">
        <f>IF(_xlfn.XLOOKUP(A180,PARAMETROS!A:A,PARAMETROS!C:C)=0,"",_xlfn.XLOOKUP(A180,PARAMETROS!A:A,PARAMETROS!C:C))</f>
        <v/>
      </c>
      <c r="D180" t="str">
        <f>IF(_xlfn.XLOOKUP(A180,PARAMETROS!A:A,PARAMETROS!E:E)=0,"",_xlfn.XLOOKUP(A180,PARAMETROS!A:A,PARAMETROS!E:E))</f>
        <v/>
      </c>
      <c r="E180" t="str">
        <f>IF(_xlfn.XLOOKUP('PREENCHIMENTO|NÃO-LETIVAS'!A180,PARAMETROS!A:A,PARAMETROS!I:I)=0,"",_xlfn.XLOOKUP('PREENCHIMENTO|NÃO-LETIVAS'!A180,PARAMETROS!A:A,PARAMETROS!I:I))</f>
        <v/>
      </c>
      <c r="F180" s="3"/>
      <c r="G180" s="3"/>
      <c r="H180" s="3"/>
      <c r="I180" s="3"/>
      <c r="Y180" s="6">
        <f>_xlfn.XLOOKUP(G:G,PARAMETROS!Y:Y,PARAMETROS!AD:AD)</f>
        <v>0</v>
      </c>
    </row>
    <row r="181" spans="1:25">
      <c r="A181" s="3"/>
      <c r="B181" t="str">
        <f>IF(_xlfn.XLOOKUP(A181,PARAMETROS!A:A,PARAMETROS!B:B)=0,"",_xlfn.XLOOKUP(A181,PARAMETROS!A:A,PARAMETROS!B:B))</f>
        <v/>
      </c>
      <c r="C181" t="str">
        <f>IF(_xlfn.XLOOKUP(A181,PARAMETROS!A:A,PARAMETROS!C:C)=0,"",_xlfn.XLOOKUP(A181,PARAMETROS!A:A,PARAMETROS!C:C))</f>
        <v/>
      </c>
      <c r="D181" t="str">
        <f>IF(_xlfn.XLOOKUP(A181,PARAMETROS!A:A,PARAMETROS!E:E)=0,"",_xlfn.XLOOKUP(A181,PARAMETROS!A:A,PARAMETROS!E:E))</f>
        <v/>
      </c>
      <c r="E181" t="str">
        <f>IF(_xlfn.XLOOKUP('PREENCHIMENTO|NÃO-LETIVAS'!A181,PARAMETROS!A:A,PARAMETROS!I:I)=0,"",_xlfn.XLOOKUP('PREENCHIMENTO|NÃO-LETIVAS'!A181,PARAMETROS!A:A,PARAMETROS!I:I))</f>
        <v/>
      </c>
      <c r="F181" s="3"/>
      <c r="G181" s="3"/>
      <c r="H181" s="3"/>
      <c r="I181" s="3"/>
      <c r="Y181" s="6">
        <f>_xlfn.XLOOKUP(G:G,PARAMETROS!Y:Y,PARAMETROS!AD:AD)</f>
        <v>0</v>
      </c>
    </row>
    <row r="182" spans="1:25">
      <c r="A182" s="3"/>
      <c r="B182" t="str">
        <f>IF(_xlfn.XLOOKUP(A182,PARAMETROS!A:A,PARAMETROS!B:B)=0,"",_xlfn.XLOOKUP(A182,PARAMETROS!A:A,PARAMETROS!B:B))</f>
        <v/>
      </c>
      <c r="C182" t="str">
        <f>IF(_xlfn.XLOOKUP(A182,PARAMETROS!A:A,PARAMETROS!C:C)=0,"",_xlfn.XLOOKUP(A182,PARAMETROS!A:A,PARAMETROS!C:C))</f>
        <v/>
      </c>
      <c r="D182" t="str">
        <f>IF(_xlfn.XLOOKUP(A182,PARAMETROS!A:A,PARAMETROS!E:E)=0,"",_xlfn.XLOOKUP(A182,PARAMETROS!A:A,PARAMETROS!E:E))</f>
        <v/>
      </c>
      <c r="E182" t="str">
        <f>IF(_xlfn.XLOOKUP('PREENCHIMENTO|NÃO-LETIVAS'!A182,PARAMETROS!A:A,PARAMETROS!I:I)=0,"",_xlfn.XLOOKUP('PREENCHIMENTO|NÃO-LETIVAS'!A182,PARAMETROS!A:A,PARAMETROS!I:I))</f>
        <v/>
      </c>
      <c r="F182" s="3"/>
      <c r="G182" s="3"/>
      <c r="H182" s="3"/>
      <c r="I182" s="3"/>
      <c r="Y182" s="6">
        <f>_xlfn.XLOOKUP(G:G,PARAMETROS!Y:Y,PARAMETROS!AD:AD)</f>
        <v>0</v>
      </c>
    </row>
    <row r="183" spans="1:25">
      <c r="A183" s="3"/>
      <c r="B183" t="str">
        <f>IF(_xlfn.XLOOKUP(A183,PARAMETROS!A:A,PARAMETROS!B:B)=0,"",_xlfn.XLOOKUP(A183,PARAMETROS!A:A,PARAMETROS!B:B))</f>
        <v/>
      </c>
      <c r="C183" t="str">
        <f>IF(_xlfn.XLOOKUP(A183,PARAMETROS!A:A,PARAMETROS!C:C)=0,"",_xlfn.XLOOKUP(A183,PARAMETROS!A:A,PARAMETROS!C:C))</f>
        <v/>
      </c>
      <c r="D183" t="str">
        <f>IF(_xlfn.XLOOKUP(A183,PARAMETROS!A:A,PARAMETROS!E:E)=0,"",_xlfn.XLOOKUP(A183,PARAMETROS!A:A,PARAMETROS!E:E))</f>
        <v/>
      </c>
      <c r="E183" t="str">
        <f>IF(_xlfn.XLOOKUP('PREENCHIMENTO|NÃO-LETIVAS'!A183,PARAMETROS!A:A,PARAMETROS!I:I)=0,"",_xlfn.XLOOKUP('PREENCHIMENTO|NÃO-LETIVAS'!A183,PARAMETROS!A:A,PARAMETROS!I:I))</f>
        <v/>
      </c>
      <c r="F183" s="3"/>
      <c r="G183" s="3"/>
      <c r="H183" s="3"/>
      <c r="I183" s="3"/>
      <c r="Y183" s="6">
        <f>_xlfn.XLOOKUP(G:G,PARAMETROS!Y:Y,PARAMETROS!AD:AD)</f>
        <v>0</v>
      </c>
    </row>
    <row r="184" spans="1:25">
      <c r="A184" s="3"/>
      <c r="B184" t="str">
        <f>IF(_xlfn.XLOOKUP(A184,PARAMETROS!A:A,PARAMETROS!B:B)=0,"",_xlfn.XLOOKUP(A184,PARAMETROS!A:A,PARAMETROS!B:B))</f>
        <v/>
      </c>
      <c r="C184" t="str">
        <f>IF(_xlfn.XLOOKUP(A184,PARAMETROS!A:A,PARAMETROS!C:C)=0,"",_xlfn.XLOOKUP(A184,PARAMETROS!A:A,PARAMETROS!C:C))</f>
        <v/>
      </c>
      <c r="D184" t="str">
        <f>IF(_xlfn.XLOOKUP(A184,PARAMETROS!A:A,PARAMETROS!E:E)=0,"",_xlfn.XLOOKUP(A184,PARAMETROS!A:A,PARAMETROS!E:E))</f>
        <v/>
      </c>
      <c r="E184" t="str">
        <f>IF(_xlfn.XLOOKUP('PREENCHIMENTO|NÃO-LETIVAS'!A184,PARAMETROS!A:A,PARAMETROS!I:I)=0,"",_xlfn.XLOOKUP('PREENCHIMENTO|NÃO-LETIVAS'!A184,PARAMETROS!A:A,PARAMETROS!I:I))</f>
        <v/>
      </c>
      <c r="F184" s="3"/>
      <c r="G184" s="3"/>
      <c r="H184" s="3"/>
      <c r="I184" s="3"/>
      <c r="Y184" s="6">
        <f>_xlfn.XLOOKUP(G:G,PARAMETROS!Y:Y,PARAMETROS!AD:AD)</f>
        <v>0</v>
      </c>
    </row>
    <row r="185" spans="1:25">
      <c r="A185" s="3"/>
      <c r="B185" t="str">
        <f>IF(_xlfn.XLOOKUP(A185,PARAMETROS!A:A,PARAMETROS!B:B)=0,"",_xlfn.XLOOKUP(A185,PARAMETROS!A:A,PARAMETROS!B:B))</f>
        <v/>
      </c>
      <c r="C185" t="str">
        <f>IF(_xlfn.XLOOKUP(A185,PARAMETROS!A:A,PARAMETROS!C:C)=0,"",_xlfn.XLOOKUP(A185,PARAMETROS!A:A,PARAMETROS!C:C))</f>
        <v/>
      </c>
      <c r="D185" t="str">
        <f>IF(_xlfn.XLOOKUP(A185,PARAMETROS!A:A,PARAMETROS!E:E)=0,"",_xlfn.XLOOKUP(A185,PARAMETROS!A:A,PARAMETROS!E:E))</f>
        <v/>
      </c>
      <c r="E185" t="str">
        <f>IF(_xlfn.XLOOKUP('PREENCHIMENTO|NÃO-LETIVAS'!A185,PARAMETROS!A:A,PARAMETROS!I:I)=0,"",_xlfn.XLOOKUP('PREENCHIMENTO|NÃO-LETIVAS'!A185,PARAMETROS!A:A,PARAMETROS!I:I))</f>
        <v/>
      </c>
      <c r="F185" s="3"/>
      <c r="G185" s="3"/>
      <c r="H185" s="3"/>
      <c r="I185" s="3"/>
      <c r="Y185" s="6">
        <f>_xlfn.XLOOKUP(G:G,PARAMETROS!Y:Y,PARAMETROS!AD:AD)</f>
        <v>0</v>
      </c>
    </row>
    <row r="186" spans="1:25">
      <c r="A186" s="3"/>
      <c r="B186" t="str">
        <f>IF(_xlfn.XLOOKUP(A186,PARAMETROS!A:A,PARAMETROS!B:B)=0,"",_xlfn.XLOOKUP(A186,PARAMETROS!A:A,PARAMETROS!B:B))</f>
        <v/>
      </c>
      <c r="C186" t="str">
        <f>IF(_xlfn.XLOOKUP(A186,PARAMETROS!A:A,PARAMETROS!C:C)=0,"",_xlfn.XLOOKUP(A186,PARAMETROS!A:A,PARAMETROS!C:C))</f>
        <v/>
      </c>
      <c r="D186" t="str">
        <f>IF(_xlfn.XLOOKUP(A186,PARAMETROS!A:A,PARAMETROS!E:E)=0,"",_xlfn.XLOOKUP(A186,PARAMETROS!A:A,PARAMETROS!E:E))</f>
        <v/>
      </c>
      <c r="E186" t="str">
        <f>IF(_xlfn.XLOOKUP('PREENCHIMENTO|NÃO-LETIVAS'!A186,PARAMETROS!A:A,PARAMETROS!I:I)=0,"",_xlfn.XLOOKUP('PREENCHIMENTO|NÃO-LETIVAS'!A186,PARAMETROS!A:A,PARAMETROS!I:I))</f>
        <v/>
      </c>
      <c r="F186" s="3"/>
      <c r="G186" s="3"/>
      <c r="H186" s="3"/>
      <c r="I186" s="3"/>
      <c r="Y186" s="6">
        <f>_xlfn.XLOOKUP(G:G,PARAMETROS!Y:Y,PARAMETROS!AD:AD)</f>
        <v>0</v>
      </c>
    </row>
    <row r="187" spans="1:25">
      <c r="A187" s="3"/>
      <c r="B187" t="str">
        <f>IF(_xlfn.XLOOKUP(A187,PARAMETROS!A:A,PARAMETROS!B:B)=0,"",_xlfn.XLOOKUP(A187,PARAMETROS!A:A,PARAMETROS!B:B))</f>
        <v/>
      </c>
      <c r="C187" t="str">
        <f>IF(_xlfn.XLOOKUP(A187,PARAMETROS!A:A,PARAMETROS!C:C)=0,"",_xlfn.XLOOKUP(A187,PARAMETROS!A:A,PARAMETROS!C:C))</f>
        <v/>
      </c>
      <c r="D187" t="str">
        <f>IF(_xlfn.XLOOKUP(A187,PARAMETROS!A:A,PARAMETROS!E:E)=0,"",_xlfn.XLOOKUP(A187,PARAMETROS!A:A,PARAMETROS!E:E))</f>
        <v/>
      </c>
      <c r="E187" t="str">
        <f>IF(_xlfn.XLOOKUP('PREENCHIMENTO|NÃO-LETIVAS'!A187,PARAMETROS!A:A,PARAMETROS!I:I)=0,"",_xlfn.XLOOKUP('PREENCHIMENTO|NÃO-LETIVAS'!A187,PARAMETROS!A:A,PARAMETROS!I:I))</f>
        <v/>
      </c>
      <c r="F187" s="3"/>
      <c r="G187" s="3"/>
      <c r="H187" s="3"/>
      <c r="I187" s="3"/>
      <c r="Y187" s="6">
        <f>_xlfn.XLOOKUP(G:G,PARAMETROS!Y:Y,PARAMETROS!AD:AD)</f>
        <v>0</v>
      </c>
    </row>
    <row r="188" spans="1:25">
      <c r="A188" s="3"/>
      <c r="B188" t="str">
        <f>IF(_xlfn.XLOOKUP(A188,PARAMETROS!A:A,PARAMETROS!B:B)=0,"",_xlfn.XLOOKUP(A188,PARAMETROS!A:A,PARAMETROS!B:B))</f>
        <v/>
      </c>
      <c r="C188" t="str">
        <f>IF(_xlfn.XLOOKUP(A188,PARAMETROS!A:A,PARAMETROS!C:C)=0,"",_xlfn.XLOOKUP(A188,PARAMETROS!A:A,PARAMETROS!C:C))</f>
        <v/>
      </c>
      <c r="D188" t="str">
        <f>IF(_xlfn.XLOOKUP(A188,PARAMETROS!A:A,PARAMETROS!E:E)=0,"",_xlfn.XLOOKUP(A188,PARAMETROS!A:A,PARAMETROS!E:E))</f>
        <v/>
      </c>
      <c r="E188" t="str">
        <f>IF(_xlfn.XLOOKUP('PREENCHIMENTO|NÃO-LETIVAS'!A188,PARAMETROS!A:A,PARAMETROS!I:I)=0,"",_xlfn.XLOOKUP('PREENCHIMENTO|NÃO-LETIVAS'!A188,PARAMETROS!A:A,PARAMETROS!I:I))</f>
        <v/>
      </c>
      <c r="F188" s="3"/>
      <c r="G188" s="3"/>
      <c r="H188" s="3"/>
      <c r="I188" s="3"/>
      <c r="Y188" s="6">
        <f>_xlfn.XLOOKUP(G:G,PARAMETROS!Y:Y,PARAMETROS!AD:AD)</f>
        <v>0</v>
      </c>
    </row>
    <row r="189" spans="1:25">
      <c r="A189" s="3"/>
      <c r="B189" t="str">
        <f>IF(_xlfn.XLOOKUP(A189,PARAMETROS!A:A,PARAMETROS!B:B)=0,"",_xlfn.XLOOKUP(A189,PARAMETROS!A:A,PARAMETROS!B:B))</f>
        <v/>
      </c>
      <c r="C189" t="str">
        <f>IF(_xlfn.XLOOKUP(A189,PARAMETROS!A:A,PARAMETROS!C:C)=0,"",_xlfn.XLOOKUP(A189,PARAMETROS!A:A,PARAMETROS!C:C))</f>
        <v/>
      </c>
      <c r="D189" t="str">
        <f>IF(_xlfn.XLOOKUP(A189,PARAMETROS!A:A,PARAMETROS!E:E)=0,"",_xlfn.XLOOKUP(A189,PARAMETROS!A:A,PARAMETROS!E:E))</f>
        <v/>
      </c>
      <c r="E189" t="str">
        <f>IF(_xlfn.XLOOKUP('PREENCHIMENTO|NÃO-LETIVAS'!A189,PARAMETROS!A:A,PARAMETROS!I:I)=0,"",_xlfn.XLOOKUP('PREENCHIMENTO|NÃO-LETIVAS'!A189,PARAMETROS!A:A,PARAMETROS!I:I))</f>
        <v/>
      </c>
      <c r="F189" s="3"/>
      <c r="G189" s="3"/>
      <c r="H189" s="3"/>
      <c r="I189" s="3"/>
      <c r="Y189" s="6">
        <f>_xlfn.XLOOKUP(G:G,PARAMETROS!Y:Y,PARAMETROS!AD:AD)</f>
        <v>0</v>
      </c>
    </row>
    <row r="190" spans="1:25">
      <c r="A190" s="3"/>
      <c r="B190" t="str">
        <f>IF(_xlfn.XLOOKUP(A190,PARAMETROS!A:A,PARAMETROS!B:B)=0,"",_xlfn.XLOOKUP(A190,PARAMETROS!A:A,PARAMETROS!B:B))</f>
        <v/>
      </c>
      <c r="C190" t="str">
        <f>IF(_xlfn.XLOOKUP(A190,PARAMETROS!A:A,PARAMETROS!C:C)=0,"",_xlfn.XLOOKUP(A190,PARAMETROS!A:A,PARAMETROS!C:C))</f>
        <v/>
      </c>
      <c r="D190" t="str">
        <f>IF(_xlfn.XLOOKUP(A190,PARAMETROS!A:A,PARAMETROS!E:E)=0,"",_xlfn.XLOOKUP(A190,PARAMETROS!A:A,PARAMETROS!E:E))</f>
        <v/>
      </c>
      <c r="E190" t="str">
        <f>IF(_xlfn.XLOOKUP('PREENCHIMENTO|NÃO-LETIVAS'!A190,PARAMETROS!A:A,PARAMETROS!I:I)=0,"",_xlfn.XLOOKUP('PREENCHIMENTO|NÃO-LETIVAS'!A190,PARAMETROS!A:A,PARAMETROS!I:I))</f>
        <v/>
      </c>
      <c r="F190" s="3"/>
      <c r="G190" s="3"/>
      <c r="H190" s="3"/>
      <c r="I190" s="3"/>
      <c r="Y190" s="6">
        <f>_xlfn.XLOOKUP(G:G,PARAMETROS!Y:Y,PARAMETROS!AD:AD)</f>
        <v>0</v>
      </c>
    </row>
    <row r="191" spans="1:25">
      <c r="A191" s="3"/>
      <c r="B191" t="str">
        <f>IF(_xlfn.XLOOKUP(A191,PARAMETROS!A:A,PARAMETROS!B:B)=0,"",_xlfn.XLOOKUP(A191,PARAMETROS!A:A,PARAMETROS!B:B))</f>
        <v/>
      </c>
      <c r="C191" t="str">
        <f>IF(_xlfn.XLOOKUP(A191,PARAMETROS!A:A,PARAMETROS!C:C)=0,"",_xlfn.XLOOKUP(A191,PARAMETROS!A:A,PARAMETROS!C:C))</f>
        <v/>
      </c>
      <c r="D191" t="str">
        <f>IF(_xlfn.XLOOKUP(A191,PARAMETROS!A:A,PARAMETROS!E:E)=0,"",_xlfn.XLOOKUP(A191,PARAMETROS!A:A,PARAMETROS!E:E))</f>
        <v/>
      </c>
      <c r="E191" t="str">
        <f>IF(_xlfn.XLOOKUP('PREENCHIMENTO|NÃO-LETIVAS'!A191,PARAMETROS!A:A,PARAMETROS!I:I)=0,"",_xlfn.XLOOKUP('PREENCHIMENTO|NÃO-LETIVAS'!A191,PARAMETROS!A:A,PARAMETROS!I:I))</f>
        <v/>
      </c>
      <c r="F191" s="3"/>
      <c r="G191" s="3"/>
      <c r="H191" s="3"/>
      <c r="I191" s="3"/>
      <c r="Y191" s="6">
        <f>_xlfn.XLOOKUP(G:G,PARAMETROS!Y:Y,PARAMETROS!AD:AD)</f>
        <v>0</v>
      </c>
    </row>
    <row r="192" spans="1:25">
      <c r="A192" s="3"/>
      <c r="B192" t="str">
        <f>IF(_xlfn.XLOOKUP(A192,PARAMETROS!A:A,PARAMETROS!B:B)=0,"",_xlfn.XLOOKUP(A192,PARAMETROS!A:A,PARAMETROS!B:B))</f>
        <v/>
      </c>
      <c r="C192" t="str">
        <f>IF(_xlfn.XLOOKUP(A192,PARAMETROS!A:A,PARAMETROS!C:C)=0,"",_xlfn.XLOOKUP(A192,PARAMETROS!A:A,PARAMETROS!C:C))</f>
        <v/>
      </c>
      <c r="D192" t="str">
        <f>IF(_xlfn.XLOOKUP(A192,PARAMETROS!A:A,PARAMETROS!E:E)=0,"",_xlfn.XLOOKUP(A192,PARAMETROS!A:A,PARAMETROS!E:E))</f>
        <v/>
      </c>
      <c r="E192" t="str">
        <f>IF(_xlfn.XLOOKUP('PREENCHIMENTO|NÃO-LETIVAS'!A192,PARAMETROS!A:A,PARAMETROS!I:I)=0,"",_xlfn.XLOOKUP('PREENCHIMENTO|NÃO-LETIVAS'!A192,PARAMETROS!A:A,PARAMETROS!I:I))</f>
        <v/>
      </c>
      <c r="F192" s="3"/>
      <c r="G192" s="3"/>
      <c r="H192" s="3"/>
      <c r="I192" s="3"/>
      <c r="Y192" s="6">
        <f>_xlfn.XLOOKUP(G:G,PARAMETROS!Y:Y,PARAMETROS!AD:AD)</f>
        <v>0</v>
      </c>
    </row>
    <row r="193" spans="1:25">
      <c r="A193" s="3"/>
      <c r="B193" t="str">
        <f>IF(_xlfn.XLOOKUP(A193,PARAMETROS!A:A,PARAMETROS!B:B)=0,"",_xlfn.XLOOKUP(A193,PARAMETROS!A:A,PARAMETROS!B:B))</f>
        <v/>
      </c>
      <c r="C193" t="str">
        <f>IF(_xlfn.XLOOKUP(A193,PARAMETROS!A:A,PARAMETROS!C:C)=0,"",_xlfn.XLOOKUP(A193,PARAMETROS!A:A,PARAMETROS!C:C))</f>
        <v/>
      </c>
      <c r="D193" t="str">
        <f>IF(_xlfn.XLOOKUP(A193,PARAMETROS!A:A,PARAMETROS!E:E)=0,"",_xlfn.XLOOKUP(A193,PARAMETROS!A:A,PARAMETROS!E:E))</f>
        <v/>
      </c>
      <c r="E193" t="str">
        <f>IF(_xlfn.XLOOKUP('PREENCHIMENTO|NÃO-LETIVAS'!A193,PARAMETROS!A:A,PARAMETROS!I:I)=0,"",_xlfn.XLOOKUP('PREENCHIMENTO|NÃO-LETIVAS'!A193,PARAMETROS!A:A,PARAMETROS!I:I))</f>
        <v/>
      </c>
      <c r="F193" s="3"/>
      <c r="G193" s="3"/>
      <c r="H193" s="3"/>
      <c r="I193" s="3"/>
      <c r="Y193" s="6">
        <f>_xlfn.XLOOKUP(G:G,PARAMETROS!Y:Y,PARAMETROS!AD:AD)</f>
        <v>0</v>
      </c>
    </row>
    <row r="194" spans="1:25">
      <c r="A194" s="3"/>
      <c r="B194" t="str">
        <f>IF(_xlfn.XLOOKUP(A194,PARAMETROS!A:A,PARAMETROS!B:B)=0,"",_xlfn.XLOOKUP(A194,PARAMETROS!A:A,PARAMETROS!B:B))</f>
        <v/>
      </c>
      <c r="C194" t="str">
        <f>IF(_xlfn.XLOOKUP(A194,PARAMETROS!A:A,PARAMETROS!C:C)=0,"",_xlfn.XLOOKUP(A194,PARAMETROS!A:A,PARAMETROS!C:C))</f>
        <v/>
      </c>
      <c r="D194" t="str">
        <f>IF(_xlfn.XLOOKUP(A194,PARAMETROS!A:A,PARAMETROS!E:E)=0,"",_xlfn.XLOOKUP(A194,PARAMETROS!A:A,PARAMETROS!E:E))</f>
        <v/>
      </c>
      <c r="E194" t="str">
        <f>IF(_xlfn.XLOOKUP('PREENCHIMENTO|NÃO-LETIVAS'!A194,PARAMETROS!A:A,PARAMETROS!I:I)=0,"",_xlfn.XLOOKUP('PREENCHIMENTO|NÃO-LETIVAS'!A194,PARAMETROS!A:A,PARAMETROS!I:I))</f>
        <v/>
      </c>
      <c r="F194" s="3"/>
      <c r="G194" s="3"/>
      <c r="H194" s="3"/>
      <c r="I194" s="3"/>
      <c r="Y194" s="6">
        <f>_xlfn.XLOOKUP(G:G,PARAMETROS!Y:Y,PARAMETROS!AD:AD)</f>
        <v>0</v>
      </c>
    </row>
    <row r="195" spans="1:25">
      <c r="A195" s="3"/>
      <c r="B195" t="str">
        <f>IF(_xlfn.XLOOKUP(A195,PARAMETROS!A:A,PARAMETROS!B:B)=0,"",_xlfn.XLOOKUP(A195,PARAMETROS!A:A,PARAMETROS!B:B))</f>
        <v/>
      </c>
      <c r="C195" t="str">
        <f>IF(_xlfn.XLOOKUP(A195,PARAMETROS!A:A,PARAMETROS!C:C)=0,"",_xlfn.XLOOKUP(A195,PARAMETROS!A:A,PARAMETROS!C:C))</f>
        <v/>
      </c>
      <c r="D195" t="str">
        <f>IF(_xlfn.XLOOKUP(A195,PARAMETROS!A:A,PARAMETROS!E:E)=0,"",_xlfn.XLOOKUP(A195,PARAMETROS!A:A,PARAMETROS!E:E))</f>
        <v/>
      </c>
      <c r="E195" t="str">
        <f>IF(_xlfn.XLOOKUP('PREENCHIMENTO|NÃO-LETIVAS'!A195,PARAMETROS!A:A,PARAMETROS!I:I)=0,"",_xlfn.XLOOKUP('PREENCHIMENTO|NÃO-LETIVAS'!A195,PARAMETROS!A:A,PARAMETROS!I:I))</f>
        <v/>
      </c>
      <c r="F195" s="3"/>
      <c r="G195" s="3"/>
      <c r="H195" s="3"/>
      <c r="I195" s="3"/>
      <c r="Y195" s="6">
        <f>_xlfn.XLOOKUP(G:G,PARAMETROS!Y:Y,PARAMETROS!AD:AD)</f>
        <v>0</v>
      </c>
    </row>
    <row r="196" spans="1:25">
      <c r="A196" s="3"/>
      <c r="B196" t="str">
        <f>IF(_xlfn.XLOOKUP(A196,PARAMETROS!A:A,PARAMETROS!B:B)=0,"",_xlfn.XLOOKUP(A196,PARAMETROS!A:A,PARAMETROS!B:B))</f>
        <v/>
      </c>
      <c r="C196" t="str">
        <f>IF(_xlfn.XLOOKUP(A196,PARAMETROS!A:A,PARAMETROS!C:C)=0,"",_xlfn.XLOOKUP(A196,PARAMETROS!A:A,PARAMETROS!C:C))</f>
        <v/>
      </c>
      <c r="D196" t="str">
        <f>IF(_xlfn.XLOOKUP(A196,PARAMETROS!A:A,PARAMETROS!E:E)=0,"",_xlfn.XLOOKUP(A196,PARAMETROS!A:A,PARAMETROS!E:E))</f>
        <v/>
      </c>
      <c r="E196" t="str">
        <f>IF(_xlfn.XLOOKUP('PREENCHIMENTO|NÃO-LETIVAS'!A196,PARAMETROS!A:A,PARAMETROS!I:I)=0,"",_xlfn.XLOOKUP('PREENCHIMENTO|NÃO-LETIVAS'!A196,PARAMETROS!A:A,PARAMETROS!I:I))</f>
        <v/>
      </c>
      <c r="F196" s="3"/>
      <c r="G196" s="3"/>
      <c r="H196" s="3"/>
      <c r="I196" s="3"/>
      <c r="Y196" s="6">
        <f>_xlfn.XLOOKUP(G:G,PARAMETROS!Y:Y,PARAMETROS!AD:AD)</f>
        <v>0</v>
      </c>
    </row>
    <row r="197" spans="1:25">
      <c r="A197" s="3"/>
      <c r="B197" t="str">
        <f>IF(_xlfn.XLOOKUP(A197,PARAMETROS!A:A,PARAMETROS!B:B)=0,"",_xlfn.XLOOKUP(A197,PARAMETROS!A:A,PARAMETROS!B:B))</f>
        <v/>
      </c>
      <c r="C197" t="str">
        <f>IF(_xlfn.XLOOKUP(A197,PARAMETROS!A:A,PARAMETROS!C:C)=0,"",_xlfn.XLOOKUP(A197,PARAMETROS!A:A,PARAMETROS!C:C))</f>
        <v/>
      </c>
      <c r="D197" t="str">
        <f>IF(_xlfn.XLOOKUP(A197,PARAMETROS!A:A,PARAMETROS!E:E)=0,"",_xlfn.XLOOKUP(A197,PARAMETROS!A:A,PARAMETROS!E:E))</f>
        <v/>
      </c>
      <c r="E197" t="str">
        <f>IF(_xlfn.XLOOKUP('PREENCHIMENTO|NÃO-LETIVAS'!A197,PARAMETROS!A:A,PARAMETROS!I:I)=0,"",_xlfn.XLOOKUP('PREENCHIMENTO|NÃO-LETIVAS'!A197,PARAMETROS!A:A,PARAMETROS!I:I))</f>
        <v/>
      </c>
      <c r="F197" s="3"/>
      <c r="G197" s="3"/>
      <c r="H197" s="3"/>
      <c r="I197" s="3"/>
      <c r="Y197" s="6">
        <f>_xlfn.XLOOKUP(G:G,PARAMETROS!Y:Y,PARAMETROS!AD:AD)</f>
        <v>0</v>
      </c>
    </row>
    <row r="198" spans="1:25">
      <c r="A198" s="3"/>
      <c r="B198" t="str">
        <f>IF(_xlfn.XLOOKUP(A198,PARAMETROS!A:A,PARAMETROS!B:B)=0,"",_xlfn.XLOOKUP(A198,PARAMETROS!A:A,PARAMETROS!B:B))</f>
        <v/>
      </c>
      <c r="C198" t="str">
        <f>IF(_xlfn.XLOOKUP(A198,PARAMETROS!A:A,PARAMETROS!C:C)=0,"",_xlfn.XLOOKUP(A198,PARAMETROS!A:A,PARAMETROS!C:C))</f>
        <v/>
      </c>
      <c r="D198" t="str">
        <f>IF(_xlfn.XLOOKUP(A198,PARAMETROS!A:A,PARAMETROS!E:E)=0,"",_xlfn.XLOOKUP(A198,PARAMETROS!A:A,PARAMETROS!E:E))</f>
        <v/>
      </c>
      <c r="E198" t="str">
        <f>IF(_xlfn.XLOOKUP('PREENCHIMENTO|NÃO-LETIVAS'!A198,PARAMETROS!A:A,PARAMETROS!I:I)=0,"",_xlfn.XLOOKUP('PREENCHIMENTO|NÃO-LETIVAS'!A198,PARAMETROS!A:A,PARAMETROS!I:I))</f>
        <v/>
      </c>
      <c r="F198" s="3"/>
      <c r="G198" s="3"/>
      <c r="H198" s="3"/>
      <c r="I198" s="3"/>
      <c r="Y198" s="6">
        <f>_xlfn.XLOOKUP(G:G,PARAMETROS!Y:Y,PARAMETROS!AD:AD)</f>
        <v>0</v>
      </c>
    </row>
    <row r="199" spans="1:25">
      <c r="A199" s="3"/>
      <c r="B199" t="str">
        <f>IF(_xlfn.XLOOKUP(A199,PARAMETROS!A:A,PARAMETROS!B:B)=0,"",_xlfn.XLOOKUP(A199,PARAMETROS!A:A,PARAMETROS!B:B))</f>
        <v/>
      </c>
      <c r="C199" t="str">
        <f>IF(_xlfn.XLOOKUP(A199,PARAMETROS!A:A,PARAMETROS!C:C)=0,"",_xlfn.XLOOKUP(A199,PARAMETROS!A:A,PARAMETROS!C:C))</f>
        <v/>
      </c>
      <c r="D199" t="str">
        <f>IF(_xlfn.XLOOKUP(A199,PARAMETROS!A:A,PARAMETROS!E:E)=0,"",_xlfn.XLOOKUP(A199,PARAMETROS!A:A,PARAMETROS!E:E))</f>
        <v/>
      </c>
      <c r="E199" t="str">
        <f>IF(_xlfn.XLOOKUP('PREENCHIMENTO|NÃO-LETIVAS'!A199,PARAMETROS!A:A,PARAMETROS!I:I)=0,"",_xlfn.XLOOKUP('PREENCHIMENTO|NÃO-LETIVAS'!A199,PARAMETROS!A:A,PARAMETROS!I:I))</f>
        <v/>
      </c>
      <c r="F199" s="3"/>
      <c r="G199" s="3"/>
      <c r="H199" s="3"/>
      <c r="I199" s="3"/>
      <c r="Y199" s="6">
        <f>_xlfn.XLOOKUP(G:G,PARAMETROS!Y:Y,PARAMETROS!AD:AD)</f>
        <v>0</v>
      </c>
    </row>
    <row r="200" spans="1:25">
      <c r="A200" s="3"/>
      <c r="B200" t="str">
        <f>IF(_xlfn.XLOOKUP(A200,PARAMETROS!A:A,PARAMETROS!B:B)=0,"",_xlfn.XLOOKUP(A200,PARAMETROS!A:A,PARAMETROS!B:B))</f>
        <v/>
      </c>
      <c r="C200" t="str">
        <f>IF(_xlfn.XLOOKUP(A200,PARAMETROS!A:A,PARAMETROS!C:C)=0,"",_xlfn.XLOOKUP(A200,PARAMETROS!A:A,PARAMETROS!C:C))</f>
        <v/>
      </c>
      <c r="D200" t="str">
        <f>IF(_xlfn.XLOOKUP(A200,PARAMETROS!A:A,PARAMETROS!E:E)=0,"",_xlfn.XLOOKUP(A200,PARAMETROS!A:A,PARAMETROS!E:E))</f>
        <v/>
      </c>
      <c r="E200" t="str">
        <f>IF(_xlfn.XLOOKUP('PREENCHIMENTO|NÃO-LETIVAS'!A200,PARAMETROS!A:A,PARAMETROS!I:I)=0,"",_xlfn.XLOOKUP('PREENCHIMENTO|NÃO-LETIVAS'!A200,PARAMETROS!A:A,PARAMETROS!I:I))</f>
        <v/>
      </c>
      <c r="F200" s="3"/>
      <c r="G200" s="3"/>
      <c r="H200" s="3"/>
      <c r="I200" s="3"/>
      <c r="Y200" s="6">
        <f>_xlfn.XLOOKUP(G:G,PARAMETROS!Y:Y,PARAMETROS!AD:AD)</f>
        <v>0</v>
      </c>
    </row>
    <row r="201" spans="1:25">
      <c r="A201" s="3"/>
      <c r="B201" t="str">
        <f>IF(_xlfn.XLOOKUP(A201,PARAMETROS!A:A,PARAMETROS!B:B)=0,"",_xlfn.XLOOKUP(A201,PARAMETROS!A:A,PARAMETROS!B:B))</f>
        <v/>
      </c>
      <c r="C201" t="str">
        <f>IF(_xlfn.XLOOKUP(A201,PARAMETROS!A:A,PARAMETROS!C:C)=0,"",_xlfn.XLOOKUP(A201,PARAMETROS!A:A,PARAMETROS!C:C))</f>
        <v/>
      </c>
      <c r="D201" t="str">
        <f>IF(_xlfn.XLOOKUP(A201,PARAMETROS!A:A,PARAMETROS!E:E)=0,"",_xlfn.XLOOKUP(A201,PARAMETROS!A:A,PARAMETROS!E:E))</f>
        <v/>
      </c>
      <c r="E201" t="str">
        <f>IF(_xlfn.XLOOKUP('PREENCHIMENTO|NÃO-LETIVAS'!A201,PARAMETROS!A:A,PARAMETROS!I:I)=0,"",_xlfn.XLOOKUP('PREENCHIMENTO|NÃO-LETIVAS'!A201,PARAMETROS!A:A,PARAMETROS!I:I))</f>
        <v/>
      </c>
      <c r="F201" s="3"/>
      <c r="G201" s="3"/>
      <c r="H201" s="3"/>
      <c r="I201" s="3"/>
      <c r="Y201" s="6">
        <f>_xlfn.XLOOKUP(G:G,PARAMETROS!Y:Y,PARAMETROS!AD:AD)</f>
        <v>0</v>
      </c>
    </row>
    <row r="202" spans="1:25">
      <c r="A202" s="3"/>
      <c r="B202" t="str">
        <f>IF(_xlfn.XLOOKUP(A202,PARAMETROS!A:A,PARAMETROS!B:B)=0,"",_xlfn.XLOOKUP(A202,PARAMETROS!A:A,PARAMETROS!B:B))</f>
        <v/>
      </c>
      <c r="C202" t="str">
        <f>IF(_xlfn.XLOOKUP(A202,PARAMETROS!A:A,PARAMETROS!C:C)=0,"",_xlfn.XLOOKUP(A202,PARAMETROS!A:A,PARAMETROS!C:C))</f>
        <v/>
      </c>
      <c r="D202" t="str">
        <f>IF(_xlfn.XLOOKUP(A202,PARAMETROS!A:A,PARAMETROS!E:E)=0,"",_xlfn.XLOOKUP(A202,PARAMETROS!A:A,PARAMETROS!E:E))</f>
        <v/>
      </c>
      <c r="E202" t="str">
        <f>IF(_xlfn.XLOOKUP('PREENCHIMENTO|NÃO-LETIVAS'!A202,PARAMETROS!A:A,PARAMETROS!I:I)=0,"",_xlfn.XLOOKUP('PREENCHIMENTO|NÃO-LETIVAS'!A202,PARAMETROS!A:A,PARAMETROS!I:I))</f>
        <v/>
      </c>
      <c r="F202" s="3"/>
      <c r="G202" s="3"/>
      <c r="H202" s="3"/>
      <c r="I202" s="3"/>
      <c r="Y202" s="6">
        <f>_xlfn.XLOOKUP(G:G,PARAMETROS!Y:Y,PARAMETROS!AD:AD)</f>
        <v>0</v>
      </c>
    </row>
    <row r="203" spans="1:25">
      <c r="A203" s="3"/>
      <c r="B203" t="str">
        <f>IF(_xlfn.XLOOKUP(A203,PARAMETROS!A:A,PARAMETROS!B:B)=0,"",_xlfn.XLOOKUP(A203,PARAMETROS!A:A,PARAMETROS!B:B))</f>
        <v/>
      </c>
      <c r="C203" t="str">
        <f>IF(_xlfn.XLOOKUP(A203,PARAMETROS!A:A,PARAMETROS!C:C)=0,"",_xlfn.XLOOKUP(A203,PARAMETROS!A:A,PARAMETROS!C:C))</f>
        <v/>
      </c>
      <c r="D203" t="str">
        <f>IF(_xlfn.XLOOKUP(A203,PARAMETROS!A:A,PARAMETROS!E:E)=0,"",_xlfn.XLOOKUP(A203,PARAMETROS!A:A,PARAMETROS!E:E))</f>
        <v/>
      </c>
      <c r="E203" t="str">
        <f>IF(_xlfn.XLOOKUP('PREENCHIMENTO|NÃO-LETIVAS'!A203,PARAMETROS!A:A,PARAMETROS!I:I)=0,"",_xlfn.XLOOKUP('PREENCHIMENTO|NÃO-LETIVAS'!A203,PARAMETROS!A:A,PARAMETROS!I:I))</f>
        <v/>
      </c>
      <c r="F203" s="3"/>
      <c r="G203" s="3"/>
      <c r="H203" s="3"/>
      <c r="I203" s="3"/>
      <c r="Y203" s="6">
        <f>_xlfn.XLOOKUP(G:G,PARAMETROS!Y:Y,PARAMETROS!AD:AD)</f>
        <v>0</v>
      </c>
    </row>
    <row r="204" spans="1:25">
      <c r="A204" s="3"/>
      <c r="B204" t="str">
        <f>IF(_xlfn.XLOOKUP(A204,PARAMETROS!A:A,PARAMETROS!B:B)=0,"",_xlfn.XLOOKUP(A204,PARAMETROS!A:A,PARAMETROS!B:B))</f>
        <v/>
      </c>
      <c r="C204" t="str">
        <f>IF(_xlfn.XLOOKUP(A204,PARAMETROS!A:A,PARAMETROS!C:C)=0,"",_xlfn.XLOOKUP(A204,PARAMETROS!A:A,PARAMETROS!C:C))</f>
        <v/>
      </c>
      <c r="D204" t="str">
        <f>IF(_xlfn.XLOOKUP(A204,PARAMETROS!A:A,PARAMETROS!E:E)=0,"",_xlfn.XLOOKUP(A204,PARAMETROS!A:A,PARAMETROS!E:E))</f>
        <v/>
      </c>
      <c r="E204" t="str">
        <f>IF(_xlfn.XLOOKUP('PREENCHIMENTO|NÃO-LETIVAS'!A204,PARAMETROS!A:A,PARAMETROS!I:I)=0,"",_xlfn.XLOOKUP('PREENCHIMENTO|NÃO-LETIVAS'!A204,PARAMETROS!A:A,PARAMETROS!I:I))</f>
        <v/>
      </c>
      <c r="F204" s="3"/>
      <c r="G204" s="3"/>
      <c r="H204" s="3"/>
      <c r="I204" s="3"/>
      <c r="Y204" s="6">
        <f>_xlfn.XLOOKUP(G:G,PARAMETROS!Y:Y,PARAMETROS!AD:AD)</f>
        <v>0</v>
      </c>
    </row>
    <row r="205" spans="1:25">
      <c r="A205" s="3"/>
      <c r="B205" t="str">
        <f>IF(_xlfn.XLOOKUP(A205,PARAMETROS!A:A,PARAMETROS!B:B)=0,"",_xlfn.XLOOKUP(A205,PARAMETROS!A:A,PARAMETROS!B:B))</f>
        <v/>
      </c>
      <c r="C205" t="str">
        <f>IF(_xlfn.XLOOKUP(A205,PARAMETROS!A:A,PARAMETROS!C:C)=0,"",_xlfn.XLOOKUP(A205,PARAMETROS!A:A,PARAMETROS!C:C))</f>
        <v/>
      </c>
      <c r="D205" t="str">
        <f>IF(_xlfn.XLOOKUP(A205,PARAMETROS!A:A,PARAMETROS!E:E)=0,"",_xlfn.XLOOKUP(A205,PARAMETROS!A:A,PARAMETROS!E:E))</f>
        <v/>
      </c>
      <c r="E205" t="str">
        <f>IF(_xlfn.XLOOKUP('PREENCHIMENTO|NÃO-LETIVAS'!A205,PARAMETROS!A:A,PARAMETROS!I:I)=0,"",_xlfn.XLOOKUP('PREENCHIMENTO|NÃO-LETIVAS'!A205,PARAMETROS!A:A,PARAMETROS!I:I))</f>
        <v/>
      </c>
      <c r="F205" s="3"/>
      <c r="G205" s="3"/>
      <c r="H205" s="3"/>
      <c r="I205" s="3"/>
      <c r="Y205" s="6">
        <f>_xlfn.XLOOKUP(G:G,PARAMETROS!Y:Y,PARAMETROS!AD:AD)</f>
        <v>0</v>
      </c>
    </row>
    <row r="206" spans="1:25">
      <c r="A206" s="3"/>
      <c r="B206" t="str">
        <f>IF(_xlfn.XLOOKUP(A206,PARAMETROS!A:A,PARAMETROS!B:B)=0,"",_xlfn.XLOOKUP(A206,PARAMETROS!A:A,PARAMETROS!B:B))</f>
        <v/>
      </c>
      <c r="C206" t="str">
        <f>IF(_xlfn.XLOOKUP(A206,PARAMETROS!A:A,PARAMETROS!C:C)=0,"",_xlfn.XLOOKUP(A206,PARAMETROS!A:A,PARAMETROS!C:C))</f>
        <v/>
      </c>
      <c r="D206" t="str">
        <f>IF(_xlfn.XLOOKUP(A206,PARAMETROS!A:A,PARAMETROS!E:E)=0,"",_xlfn.XLOOKUP(A206,PARAMETROS!A:A,PARAMETROS!E:E))</f>
        <v/>
      </c>
      <c r="E206" t="str">
        <f>IF(_xlfn.XLOOKUP('PREENCHIMENTO|NÃO-LETIVAS'!A206,PARAMETROS!A:A,PARAMETROS!I:I)=0,"",_xlfn.XLOOKUP('PREENCHIMENTO|NÃO-LETIVAS'!A206,PARAMETROS!A:A,PARAMETROS!I:I))</f>
        <v/>
      </c>
      <c r="F206" s="3"/>
      <c r="G206" s="3"/>
      <c r="H206" s="3"/>
      <c r="I206" s="3"/>
      <c r="Y206" s="6">
        <f>_xlfn.XLOOKUP(G:G,PARAMETROS!Y:Y,PARAMETROS!AD:AD)</f>
        <v>0</v>
      </c>
    </row>
    <row r="207" spans="1:25">
      <c r="A207" s="3"/>
      <c r="B207" t="str">
        <f>IF(_xlfn.XLOOKUP(A207,PARAMETROS!A:A,PARAMETROS!B:B)=0,"",_xlfn.XLOOKUP(A207,PARAMETROS!A:A,PARAMETROS!B:B))</f>
        <v/>
      </c>
      <c r="C207" t="str">
        <f>IF(_xlfn.XLOOKUP(A207,PARAMETROS!A:A,PARAMETROS!C:C)=0,"",_xlfn.XLOOKUP(A207,PARAMETROS!A:A,PARAMETROS!C:C))</f>
        <v/>
      </c>
      <c r="D207" t="str">
        <f>IF(_xlfn.XLOOKUP(A207,PARAMETROS!A:A,PARAMETROS!E:E)=0,"",_xlfn.XLOOKUP(A207,PARAMETROS!A:A,PARAMETROS!E:E))</f>
        <v/>
      </c>
      <c r="E207" t="str">
        <f>IF(_xlfn.XLOOKUP('PREENCHIMENTO|NÃO-LETIVAS'!A207,PARAMETROS!A:A,PARAMETROS!I:I)=0,"",_xlfn.XLOOKUP('PREENCHIMENTO|NÃO-LETIVAS'!A207,PARAMETROS!A:A,PARAMETROS!I:I))</f>
        <v/>
      </c>
      <c r="F207" s="3"/>
      <c r="G207" s="3"/>
      <c r="H207" s="3"/>
      <c r="I207" s="3"/>
      <c r="Y207" s="6">
        <f>_xlfn.XLOOKUP(G:G,PARAMETROS!Y:Y,PARAMETROS!AD:AD)</f>
        <v>0</v>
      </c>
    </row>
    <row r="208" spans="1:25">
      <c r="A208" s="3"/>
      <c r="B208" t="str">
        <f>IF(_xlfn.XLOOKUP(A208,PARAMETROS!A:A,PARAMETROS!B:B)=0,"",_xlfn.XLOOKUP(A208,PARAMETROS!A:A,PARAMETROS!B:B))</f>
        <v/>
      </c>
      <c r="C208" t="str">
        <f>IF(_xlfn.XLOOKUP(A208,PARAMETROS!A:A,PARAMETROS!C:C)=0,"",_xlfn.XLOOKUP(A208,PARAMETROS!A:A,PARAMETROS!C:C))</f>
        <v/>
      </c>
      <c r="D208" t="str">
        <f>IF(_xlfn.XLOOKUP(A208,PARAMETROS!A:A,PARAMETROS!E:E)=0,"",_xlfn.XLOOKUP(A208,PARAMETROS!A:A,PARAMETROS!E:E))</f>
        <v/>
      </c>
      <c r="E208" t="str">
        <f>IF(_xlfn.XLOOKUP('PREENCHIMENTO|NÃO-LETIVAS'!A208,PARAMETROS!A:A,PARAMETROS!I:I)=0,"",_xlfn.XLOOKUP('PREENCHIMENTO|NÃO-LETIVAS'!A208,PARAMETROS!A:A,PARAMETROS!I:I))</f>
        <v/>
      </c>
      <c r="F208" s="3"/>
      <c r="G208" s="3"/>
      <c r="H208" s="3"/>
      <c r="I208" s="3"/>
      <c r="Y208" s="6">
        <f>_xlfn.XLOOKUP(G:G,PARAMETROS!Y:Y,PARAMETROS!AD:AD)</f>
        <v>0</v>
      </c>
    </row>
    <row r="209" spans="1:25">
      <c r="A209" s="3"/>
      <c r="B209" t="str">
        <f>IF(_xlfn.XLOOKUP(A209,PARAMETROS!A:A,PARAMETROS!B:B)=0,"",_xlfn.XLOOKUP(A209,PARAMETROS!A:A,PARAMETROS!B:B))</f>
        <v/>
      </c>
      <c r="C209" t="str">
        <f>IF(_xlfn.XLOOKUP(A209,PARAMETROS!A:A,PARAMETROS!C:C)=0,"",_xlfn.XLOOKUP(A209,PARAMETROS!A:A,PARAMETROS!C:C))</f>
        <v/>
      </c>
      <c r="D209" t="str">
        <f>IF(_xlfn.XLOOKUP(A209,PARAMETROS!A:A,PARAMETROS!E:E)=0,"",_xlfn.XLOOKUP(A209,PARAMETROS!A:A,PARAMETROS!E:E))</f>
        <v/>
      </c>
      <c r="E209" t="str">
        <f>IF(_xlfn.XLOOKUP('PREENCHIMENTO|NÃO-LETIVAS'!A209,PARAMETROS!A:A,PARAMETROS!I:I)=0,"",_xlfn.XLOOKUP('PREENCHIMENTO|NÃO-LETIVAS'!A209,PARAMETROS!A:A,PARAMETROS!I:I))</f>
        <v/>
      </c>
      <c r="F209" s="3"/>
      <c r="G209" s="3"/>
      <c r="H209" s="3"/>
      <c r="I209" s="3"/>
      <c r="Y209" s="6">
        <f>_xlfn.XLOOKUP(G:G,PARAMETROS!Y:Y,PARAMETROS!AD:AD)</f>
        <v>0</v>
      </c>
    </row>
    <row r="210" spans="1:25">
      <c r="A210" s="3"/>
      <c r="B210" t="str">
        <f>IF(_xlfn.XLOOKUP(A210,PARAMETROS!A:A,PARAMETROS!B:B)=0,"",_xlfn.XLOOKUP(A210,PARAMETROS!A:A,PARAMETROS!B:B))</f>
        <v/>
      </c>
      <c r="C210" t="str">
        <f>IF(_xlfn.XLOOKUP(A210,PARAMETROS!A:A,PARAMETROS!C:C)=0,"",_xlfn.XLOOKUP(A210,PARAMETROS!A:A,PARAMETROS!C:C))</f>
        <v/>
      </c>
      <c r="D210" t="str">
        <f>IF(_xlfn.XLOOKUP(A210,PARAMETROS!A:A,PARAMETROS!E:E)=0,"",_xlfn.XLOOKUP(A210,PARAMETROS!A:A,PARAMETROS!E:E))</f>
        <v/>
      </c>
      <c r="E210" t="str">
        <f>IF(_xlfn.XLOOKUP('PREENCHIMENTO|NÃO-LETIVAS'!A210,PARAMETROS!A:A,PARAMETROS!I:I)=0,"",_xlfn.XLOOKUP('PREENCHIMENTO|NÃO-LETIVAS'!A210,PARAMETROS!A:A,PARAMETROS!I:I))</f>
        <v/>
      </c>
      <c r="F210" s="3"/>
      <c r="G210" s="3"/>
      <c r="H210" s="3"/>
      <c r="I210" s="3"/>
      <c r="Y210" s="6">
        <f>_xlfn.XLOOKUP(G:G,PARAMETROS!Y:Y,PARAMETROS!AD:AD)</f>
        <v>0</v>
      </c>
    </row>
    <row r="211" spans="1:25">
      <c r="A211" s="3"/>
      <c r="B211" t="str">
        <f>IF(_xlfn.XLOOKUP(A211,PARAMETROS!A:A,PARAMETROS!B:B)=0,"",_xlfn.XLOOKUP(A211,PARAMETROS!A:A,PARAMETROS!B:B))</f>
        <v/>
      </c>
      <c r="C211" t="str">
        <f>IF(_xlfn.XLOOKUP(A211,PARAMETROS!A:A,PARAMETROS!C:C)=0,"",_xlfn.XLOOKUP(A211,PARAMETROS!A:A,PARAMETROS!C:C))</f>
        <v/>
      </c>
      <c r="D211" t="str">
        <f>IF(_xlfn.XLOOKUP(A211,PARAMETROS!A:A,PARAMETROS!E:E)=0,"",_xlfn.XLOOKUP(A211,PARAMETROS!A:A,PARAMETROS!E:E))</f>
        <v/>
      </c>
      <c r="E211" t="str">
        <f>IF(_xlfn.XLOOKUP('PREENCHIMENTO|NÃO-LETIVAS'!A211,PARAMETROS!A:A,PARAMETROS!I:I)=0,"",_xlfn.XLOOKUP('PREENCHIMENTO|NÃO-LETIVAS'!A211,PARAMETROS!A:A,PARAMETROS!I:I))</f>
        <v/>
      </c>
      <c r="F211" s="3"/>
      <c r="G211" s="3"/>
      <c r="H211" s="3"/>
      <c r="I211" s="3"/>
      <c r="Y211" s="6">
        <f>_xlfn.XLOOKUP(G:G,PARAMETROS!Y:Y,PARAMETROS!AD:AD)</f>
        <v>0</v>
      </c>
    </row>
    <row r="212" spans="1:25">
      <c r="A212" s="3"/>
      <c r="B212" t="str">
        <f>IF(_xlfn.XLOOKUP(A212,PARAMETROS!A:A,PARAMETROS!B:B)=0,"",_xlfn.XLOOKUP(A212,PARAMETROS!A:A,PARAMETROS!B:B))</f>
        <v/>
      </c>
      <c r="C212" t="str">
        <f>IF(_xlfn.XLOOKUP(A212,PARAMETROS!A:A,PARAMETROS!C:C)=0,"",_xlfn.XLOOKUP(A212,PARAMETROS!A:A,PARAMETROS!C:C))</f>
        <v/>
      </c>
      <c r="D212" t="str">
        <f>IF(_xlfn.XLOOKUP(A212,PARAMETROS!A:A,PARAMETROS!E:E)=0,"",_xlfn.XLOOKUP(A212,PARAMETROS!A:A,PARAMETROS!E:E))</f>
        <v/>
      </c>
      <c r="E212" t="str">
        <f>IF(_xlfn.XLOOKUP('PREENCHIMENTO|NÃO-LETIVAS'!A212,PARAMETROS!A:A,PARAMETROS!I:I)=0,"",_xlfn.XLOOKUP('PREENCHIMENTO|NÃO-LETIVAS'!A212,PARAMETROS!A:A,PARAMETROS!I:I))</f>
        <v/>
      </c>
      <c r="F212" s="3"/>
      <c r="G212" s="3"/>
      <c r="H212" s="3"/>
      <c r="I212" s="3"/>
      <c r="Y212" s="6">
        <f>_xlfn.XLOOKUP(G:G,PARAMETROS!Y:Y,PARAMETROS!AD:AD)</f>
        <v>0</v>
      </c>
    </row>
    <row r="213" spans="1:25">
      <c r="A213" s="3"/>
      <c r="B213" t="str">
        <f>IF(_xlfn.XLOOKUP(A213,PARAMETROS!A:A,PARAMETROS!B:B)=0,"",_xlfn.XLOOKUP(A213,PARAMETROS!A:A,PARAMETROS!B:B))</f>
        <v/>
      </c>
      <c r="C213" t="str">
        <f>IF(_xlfn.XLOOKUP(A213,PARAMETROS!A:A,PARAMETROS!C:C)=0,"",_xlfn.XLOOKUP(A213,PARAMETROS!A:A,PARAMETROS!C:C))</f>
        <v/>
      </c>
      <c r="D213" t="str">
        <f>IF(_xlfn.XLOOKUP(A213,PARAMETROS!A:A,PARAMETROS!E:E)=0,"",_xlfn.XLOOKUP(A213,PARAMETROS!A:A,PARAMETROS!E:E))</f>
        <v/>
      </c>
      <c r="E213" t="str">
        <f>IF(_xlfn.XLOOKUP('PREENCHIMENTO|NÃO-LETIVAS'!A213,PARAMETROS!A:A,PARAMETROS!I:I)=0,"",_xlfn.XLOOKUP('PREENCHIMENTO|NÃO-LETIVAS'!A213,PARAMETROS!A:A,PARAMETROS!I:I))</f>
        <v/>
      </c>
      <c r="F213" s="3"/>
      <c r="G213" s="3"/>
      <c r="H213" s="3"/>
      <c r="I213" s="3"/>
      <c r="Y213" s="6">
        <f>_xlfn.XLOOKUP(G:G,PARAMETROS!Y:Y,PARAMETROS!AD:AD)</f>
        <v>0</v>
      </c>
    </row>
    <row r="214" spans="1:25">
      <c r="A214" s="3"/>
      <c r="B214" t="str">
        <f>IF(_xlfn.XLOOKUP(A214,PARAMETROS!A:A,PARAMETROS!B:B)=0,"",_xlfn.XLOOKUP(A214,PARAMETROS!A:A,PARAMETROS!B:B))</f>
        <v/>
      </c>
      <c r="C214" t="str">
        <f>IF(_xlfn.XLOOKUP(A214,PARAMETROS!A:A,PARAMETROS!C:C)=0,"",_xlfn.XLOOKUP(A214,PARAMETROS!A:A,PARAMETROS!C:C))</f>
        <v/>
      </c>
      <c r="D214" t="str">
        <f>IF(_xlfn.XLOOKUP(A214,PARAMETROS!A:A,PARAMETROS!E:E)=0,"",_xlfn.XLOOKUP(A214,PARAMETROS!A:A,PARAMETROS!E:E))</f>
        <v/>
      </c>
      <c r="E214" t="str">
        <f>IF(_xlfn.XLOOKUP('PREENCHIMENTO|NÃO-LETIVAS'!A214,PARAMETROS!A:A,PARAMETROS!I:I)=0,"",_xlfn.XLOOKUP('PREENCHIMENTO|NÃO-LETIVAS'!A214,PARAMETROS!A:A,PARAMETROS!I:I))</f>
        <v/>
      </c>
      <c r="F214" s="3"/>
      <c r="G214" s="3"/>
      <c r="H214" s="3"/>
      <c r="I214" s="3"/>
      <c r="Y214" s="6">
        <f>_xlfn.XLOOKUP(G:G,PARAMETROS!Y:Y,PARAMETROS!AD:AD)</f>
        <v>0</v>
      </c>
    </row>
    <row r="215" spans="1:25">
      <c r="A215" s="3"/>
      <c r="B215" t="str">
        <f>IF(_xlfn.XLOOKUP(A215,PARAMETROS!A:A,PARAMETROS!B:B)=0,"",_xlfn.XLOOKUP(A215,PARAMETROS!A:A,PARAMETROS!B:B))</f>
        <v/>
      </c>
      <c r="C215" t="str">
        <f>IF(_xlfn.XLOOKUP(A215,PARAMETROS!A:A,PARAMETROS!C:C)=0,"",_xlfn.XLOOKUP(A215,PARAMETROS!A:A,PARAMETROS!C:C))</f>
        <v/>
      </c>
      <c r="D215" t="str">
        <f>IF(_xlfn.XLOOKUP(A215,PARAMETROS!A:A,PARAMETROS!E:E)=0,"",_xlfn.XLOOKUP(A215,PARAMETROS!A:A,PARAMETROS!E:E))</f>
        <v/>
      </c>
      <c r="E215" t="str">
        <f>IF(_xlfn.XLOOKUP('PREENCHIMENTO|NÃO-LETIVAS'!A215,PARAMETROS!A:A,PARAMETROS!I:I)=0,"",_xlfn.XLOOKUP('PREENCHIMENTO|NÃO-LETIVAS'!A215,PARAMETROS!A:A,PARAMETROS!I:I))</f>
        <v/>
      </c>
      <c r="F215" s="3"/>
      <c r="G215" s="3"/>
      <c r="H215" s="3"/>
      <c r="I215" s="3"/>
      <c r="Y215" s="6">
        <f>_xlfn.XLOOKUP(G:G,PARAMETROS!Y:Y,PARAMETROS!AD:AD)</f>
        <v>0</v>
      </c>
    </row>
    <row r="216" spans="1:25">
      <c r="A216" s="3"/>
      <c r="B216" t="str">
        <f>IF(_xlfn.XLOOKUP(A216,PARAMETROS!A:A,PARAMETROS!B:B)=0,"",_xlfn.XLOOKUP(A216,PARAMETROS!A:A,PARAMETROS!B:B))</f>
        <v/>
      </c>
      <c r="C216" t="str">
        <f>IF(_xlfn.XLOOKUP(A216,PARAMETROS!A:A,PARAMETROS!C:C)=0,"",_xlfn.XLOOKUP(A216,PARAMETROS!A:A,PARAMETROS!C:C))</f>
        <v/>
      </c>
      <c r="D216" t="str">
        <f>IF(_xlfn.XLOOKUP(A216,PARAMETROS!A:A,PARAMETROS!E:E)=0,"",_xlfn.XLOOKUP(A216,PARAMETROS!A:A,PARAMETROS!E:E))</f>
        <v/>
      </c>
      <c r="E216" t="str">
        <f>IF(_xlfn.XLOOKUP('PREENCHIMENTO|NÃO-LETIVAS'!A216,PARAMETROS!A:A,PARAMETROS!I:I)=0,"",_xlfn.XLOOKUP('PREENCHIMENTO|NÃO-LETIVAS'!A216,PARAMETROS!A:A,PARAMETROS!I:I))</f>
        <v/>
      </c>
      <c r="F216" s="3"/>
      <c r="G216" s="3"/>
      <c r="H216" s="3"/>
      <c r="I216" s="3"/>
      <c r="Y216" s="6">
        <f>_xlfn.XLOOKUP(G:G,PARAMETROS!Y:Y,PARAMETROS!AD:AD)</f>
        <v>0</v>
      </c>
    </row>
    <row r="217" spans="1:25">
      <c r="A217" s="3"/>
      <c r="B217" t="str">
        <f>IF(_xlfn.XLOOKUP(A217,PARAMETROS!A:A,PARAMETROS!B:B)=0,"",_xlfn.XLOOKUP(A217,PARAMETROS!A:A,PARAMETROS!B:B))</f>
        <v/>
      </c>
      <c r="C217" t="str">
        <f>IF(_xlfn.XLOOKUP(A217,PARAMETROS!A:A,PARAMETROS!C:C)=0,"",_xlfn.XLOOKUP(A217,PARAMETROS!A:A,PARAMETROS!C:C))</f>
        <v/>
      </c>
      <c r="D217" t="str">
        <f>IF(_xlfn.XLOOKUP(A217,PARAMETROS!A:A,PARAMETROS!E:E)=0,"",_xlfn.XLOOKUP(A217,PARAMETROS!A:A,PARAMETROS!E:E))</f>
        <v/>
      </c>
      <c r="E217" t="str">
        <f>IF(_xlfn.XLOOKUP('PREENCHIMENTO|NÃO-LETIVAS'!A217,PARAMETROS!A:A,PARAMETROS!I:I)=0,"",_xlfn.XLOOKUP('PREENCHIMENTO|NÃO-LETIVAS'!A217,PARAMETROS!A:A,PARAMETROS!I:I))</f>
        <v/>
      </c>
      <c r="F217" s="3"/>
      <c r="G217" s="3"/>
      <c r="H217" s="3"/>
      <c r="I217" s="3"/>
      <c r="Y217" s="6">
        <f>_xlfn.XLOOKUP(G:G,PARAMETROS!Y:Y,PARAMETROS!AD:AD)</f>
        <v>0</v>
      </c>
    </row>
    <row r="218" spans="1:25">
      <c r="A218" s="3"/>
      <c r="B218" t="str">
        <f>IF(_xlfn.XLOOKUP(A218,PARAMETROS!A:A,PARAMETROS!B:B)=0,"",_xlfn.XLOOKUP(A218,PARAMETROS!A:A,PARAMETROS!B:B))</f>
        <v/>
      </c>
      <c r="C218" t="str">
        <f>IF(_xlfn.XLOOKUP(A218,PARAMETROS!A:A,PARAMETROS!C:C)=0,"",_xlfn.XLOOKUP(A218,PARAMETROS!A:A,PARAMETROS!C:C))</f>
        <v/>
      </c>
      <c r="D218" t="str">
        <f>IF(_xlfn.XLOOKUP(A218,PARAMETROS!A:A,PARAMETROS!E:E)=0,"",_xlfn.XLOOKUP(A218,PARAMETROS!A:A,PARAMETROS!E:E))</f>
        <v/>
      </c>
      <c r="E218" t="str">
        <f>IF(_xlfn.XLOOKUP('PREENCHIMENTO|NÃO-LETIVAS'!A218,PARAMETROS!A:A,PARAMETROS!I:I)=0,"",_xlfn.XLOOKUP('PREENCHIMENTO|NÃO-LETIVAS'!A218,PARAMETROS!A:A,PARAMETROS!I:I))</f>
        <v/>
      </c>
      <c r="F218" s="3"/>
      <c r="G218" s="3"/>
      <c r="H218" s="3"/>
      <c r="I218" s="3"/>
      <c r="Y218" s="6">
        <f>_xlfn.XLOOKUP(G:G,PARAMETROS!Y:Y,PARAMETROS!AD:AD)</f>
        <v>0</v>
      </c>
    </row>
    <row r="219" spans="1:25">
      <c r="A219" s="3"/>
      <c r="B219" t="str">
        <f>IF(_xlfn.XLOOKUP(A219,PARAMETROS!A:A,PARAMETROS!B:B)=0,"",_xlfn.XLOOKUP(A219,PARAMETROS!A:A,PARAMETROS!B:B))</f>
        <v/>
      </c>
      <c r="C219" t="str">
        <f>IF(_xlfn.XLOOKUP(A219,PARAMETROS!A:A,PARAMETROS!C:C)=0,"",_xlfn.XLOOKUP(A219,PARAMETROS!A:A,PARAMETROS!C:C))</f>
        <v/>
      </c>
      <c r="D219" t="str">
        <f>IF(_xlfn.XLOOKUP(A219,PARAMETROS!A:A,PARAMETROS!E:E)=0,"",_xlfn.XLOOKUP(A219,PARAMETROS!A:A,PARAMETROS!E:E))</f>
        <v/>
      </c>
      <c r="E219" t="str">
        <f>IF(_xlfn.XLOOKUP('PREENCHIMENTO|NÃO-LETIVAS'!A219,PARAMETROS!A:A,PARAMETROS!I:I)=0,"",_xlfn.XLOOKUP('PREENCHIMENTO|NÃO-LETIVAS'!A219,PARAMETROS!A:A,PARAMETROS!I:I))</f>
        <v/>
      </c>
      <c r="F219" s="3"/>
      <c r="G219" s="3"/>
      <c r="H219" s="3"/>
      <c r="I219" s="3"/>
      <c r="Y219" s="6">
        <f>_xlfn.XLOOKUP(G:G,PARAMETROS!Y:Y,PARAMETROS!AD:AD)</f>
        <v>0</v>
      </c>
    </row>
    <row r="220" spans="1:25">
      <c r="A220" s="3"/>
      <c r="B220" t="str">
        <f>IF(_xlfn.XLOOKUP(A220,PARAMETROS!A:A,PARAMETROS!B:B)=0,"",_xlfn.XLOOKUP(A220,PARAMETROS!A:A,PARAMETROS!B:B))</f>
        <v/>
      </c>
      <c r="C220" t="str">
        <f>IF(_xlfn.XLOOKUP(A220,PARAMETROS!A:A,PARAMETROS!C:C)=0,"",_xlfn.XLOOKUP(A220,PARAMETROS!A:A,PARAMETROS!C:C))</f>
        <v/>
      </c>
      <c r="D220" t="str">
        <f>IF(_xlfn.XLOOKUP(A220,PARAMETROS!A:A,PARAMETROS!E:E)=0,"",_xlfn.XLOOKUP(A220,PARAMETROS!A:A,PARAMETROS!E:E))</f>
        <v/>
      </c>
      <c r="E220" t="str">
        <f>IF(_xlfn.XLOOKUP('PREENCHIMENTO|NÃO-LETIVAS'!A220,PARAMETROS!A:A,PARAMETROS!I:I)=0,"",_xlfn.XLOOKUP('PREENCHIMENTO|NÃO-LETIVAS'!A220,PARAMETROS!A:A,PARAMETROS!I:I))</f>
        <v/>
      </c>
      <c r="F220" s="3"/>
      <c r="G220" s="3"/>
      <c r="H220" s="3"/>
      <c r="I220" s="3"/>
      <c r="Y220" s="6">
        <f>_xlfn.XLOOKUP(G:G,PARAMETROS!Y:Y,PARAMETROS!AD:AD)</f>
        <v>0</v>
      </c>
    </row>
    <row r="221" spans="1:25">
      <c r="A221" s="3"/>
      <c r="B221" t="str">
        <f>IF(_xlfn.XLOOKUP(A221,PARAMETROS!A:A,PARAMETROS!B:B)=0,"",_xlfn.XLOOKUP(A221,PARAMETROS!A:A,PARAMETROS!B:B))</f>
        <v/>
      </c>
      <c r="C221" t="str">
        <f>IF(_xlfn.XLOOKUP(A221,PARAMETROS!A:A,PARAMETROS!C:C)=0,"",_xlfn.XLOOKUP(A221,PARAMETROS!A:A,PARAMETROS!C:C))</f>
        <v/>
      </c>
      <c r="D221" t="str">
        <f>IF(_xlfn.XLOOKUP(A221,PARAMETROS!A:A,PARAMETROS!E:E)=0,"",_xlfn.XLOOKUP(A221,PARAMETROS!A:A,PARAMETROS!E:E))</f>
        <v/>
      </c>
      <c r="E221" t="str">
        <f>IF(_xlfn.XLOOKUP('PREENCHIMENTO|NÃO-LETIVAS'!A221,PARAMETROS!A:A,PARAMETROS!I:I)=0,"",_xlfn.XLOOKUP('PREENCHIMENTO|NÃO-LETIVAS'!A221,PARAMETROS!A:A,PARAMETROS!I:I))</f>
        <v/>
      </c>
      <c r="F221" s="3"/>
      <c r="G221" s="3"/>
      <c r="H221" s="3"/>
      <c r="I221" s="3"/>
      <c r="Y221" s="6">
        <f>_xlfn.XLOOKUP(G:G,PARAMETROS!Y:Y,PARAMETROS!AD:AD)</f>
        <v>0</v>
      </c>
    </row>
    <row r="222" spans="1:25">
      <c r="A222" s="3"/>
      <c r="B222" t="str">
        <f>IF(_xlfn.XLOOKUP(A222,PARAMETROS!A:A,PARAMETROS!B:B)=0,"",_xlfn.XLOOKUP(A222,PARAMETROS!A:A,PARAMETROS!B:B))</f>
        <v/>
      </c>
      <c r="C222" t="str">
        <f>IF(_xlfn.XLOOKUP(A222,PARAMETROS!A:A,PARAMETROS!C:C)=0,"",_xlfn.XLOOKUP(A222,PARAMETROS!A:A,PARAMETROS!C:C))</f>
        <v/>
      </c>
      <c r="D222" t="str">
        <f>IF(_xlfn.XLOOKUP(A222,PARAMETROS!A:A,PARAMETROS!E:E)=0,"",_xlfn.XLOOKUP(A222,PARAMETROS!A:A,PARAMETROS!E:E))</f>
        <v/>
      </c>
      <c r="E222" t="str">
        <f>IF(_xlfn.XLOOKUP('PREENCHIMENTO|NÃO-LETIVAS'!A222,PARAMETROS!A:A,PARAMETROS!I:I)=0,"",_xlfn.XLOOKUP('PREENCHIMENTO|NÃO-LETIVAS'!A222,PARAMETROS!A:A,PARAMETROS!I:I))</f>
        <v/>
      </c>
      <c r="F222" s="3"/>
      <c r="G222" s="3"/>
      <c r="H222" s="3"/>
      <c r="I222" s="3"/>
      <c r="Y222" s="6">
        <f>_xlfn.XLOOKUP(G:G,PARAMETROS!Y:Y,PARAMETROS!AD:AD)</f>
        <v>0</v>
      </c>
    </row>
    <row r="223" spans="1:25">
      <c r="A223" s="3"/>
      <c r="B223" t="str">
        <f>IF(_xlfn.XLOOKUP(A223,PARAMETROS!A:A,PARAMETROS!B:B)=0,"",_xlfn.XLOOKUP(A223,PARAMETROS!A:A,PARAMETROS!B:B))</f>
        <v/>
      </c>
      <c r="C223" t="str">
        <f>IF(_xlfn.XLOOKUP(A223,PARAMETROS!A:A,PARAMETROS!C:C)=0,"",_xlfn.XLOOKUP(A223,PARAMETROS!A:A,PARAMETROS!C:C))</f>
        <v/>
      </c>
      <c r="D223" t="str">
        <f>IF(_xlfn.XLOOKUP(A223,PARAMETROS!A:A,PARAMETROS!E:E)=0,"",_xlfn.XLOOKUP(A223,PARAMETROS!A:A,PARAMETROS!E:E))</f>
        <v/>
      </c>
      <c r="E223" t="str">
        <f>IF(_xlfn.XLOOKUP('PREENCHIMENTO|NÃO-LETIVAS'!A223,PARAMETROS!A:A,PARAMETROS!I:I)=0,"",_xlfn.XLOOKUP('PREENCHIMENTO|NÃO-LETIVAS'!A223,PARAMETROS!A:A,PARAMETROS!I:I))</f>
        <v/>
      </c>
      <c r="F223" s="3"/>
      <c r="G223" s="3"/>
      <c r="H223" s="3"/>
      <c r="I223" s="3"/>
      <c r="Y223" s="6">
        <f>_xlfn.XLOOKUP(G:G,PARAMETROS!Y:Y,PARAMETROS!AD:AD)</f>
        <v>0</v>
      </c>
    </row>
    <row r="224" spans="1:25">
      <c r="A224" s="3"/>
      <c r="B224" t="str">
        <f>IF(_xlfn.XLOOKUP(A224,PARAMETROS!A:A,PARAMETROS!B:B)=0,"",_xlfn.XLOOKUP(A224,PARAMETROS!A:A,PARAMETROS!B:B))</f>
        <v/>
      </c>
      <c r="C224" t="str">
        <f>IF(_xlfn.XLOOKUP(A224,PARAMETROS!A:A,PARAMETROS!C:C)=0,"",_xlfn.XLOOKUP(A224,PARAMETROS!A:A,PARAMETROS!C:C))</f>
        <v/>
      </c>
      <c r="D224" t="str">
        <f>IF(_xlfn.XLOOKUP(A224,PARAMETROS!A:A,PARAMETROS!E:E)=0,"",_xlfn.XLOOKUP(A224,PARAMETROS!A:A,PARAMETROS!E:E))</f>
        <v/>
      </c>
      <c r="E224" t="str">
        <f>IF(_xlfn.XLOOKUP('PREENCHIMENTO|NÃO-LETIVAS'!A224,PARAMETROS!A:A,PARAMETROS!I:I)=0,"",_xlfn.XLOOKUP('PREENCHIMENTO|NÃO-LETIVAS'!A224,PARAMETROS!A:A,PARAMETROS!I:I))</f>
        <v/>
      </c>
      <c r="F224" s="3"/>
      <c r="G224" s="3"/>
      <c r="H224" s="3"/>
      <c r="I224" s="3"/>
      <c r="Y224" s="6">
        <f>_xlfn.XLOOKUP(G:G,PARAMETROS!Y:Y,PARAMETROS!AD:AD)</f>
        <v>0</v>
      </c>
    </row>
    <row r="225" spans="1:25">
      <c r="A225" s="3"/>
      <c r="B225" t="str">
        <f>IF(_xlfn.XLOOKUP(A225,PARAMETROS!A:A,PARAMETROS!B:B)=0,"",_xlfn.XLOOKUP(A225,PARAMETROS!A:A,PARAMETROS!B:B))</f>
        <v/>
      </c>
      <c r="C225" t="str">
        <f>IF(_xlfn.XLOOKUP(A225,PARAMETROS!A:A,PARAMETROS!C:C)=0,"",_xlfn.XLOOKUP(A225,PARAMETROS!A:A,PARAMETROS!C:C))</f>
        <v/>
      </c>
      <c r="D225" t="str">
        <f>IF(_xlfn.XLOOKUP(A225,PARAMETROS!A:A,PARAMETROS!E:E)=0,"",_xlfn.XLOOKUP(A225,PARAMETROS!A:A,PARAMETROS!E:E))</f>
        <v/>
      </c>
      <c r="E225" t="str">
        <f>IF(_xlfn.XLOOKUP('PREENCHIMENTO|NÃO-LETIVAS'!A225,PARAMETROS!A:A,PARAMETROS!I:I)=0,"",_xlfn.XLOOKUP('PREENCHIMENTO|NÃO-LETIVAS'!A225,PARAMETROS!A:A,PARAMETROS!I:I))</f>
        <v/>
      </c>
      <c r="F225" s="3"/>
      <c r="G225" s="3"/>
      <c r="H225" s="3"/>
      <c r="I225" s="3"/>
      <c r="Y225" s="6">
        <f>_xlfn.XLOOKUP(G:G,PARAMETROS!Y:Y,PARAMETROS!AD:AD)</f>
        <v>0</v>
      </c>
    </row>
    <row r="226" spans="1:25">
      <c r="A226" s="3"/>
      <c r="B226" t="str">
        <f>IF(_xlfn.XLOOKUP(A226,PARAMETROS!A:A,PARAMETROS!B:B)=0,"",_xlfn.XLOOKUP(A226,PARAMETROS!A:A,PARAMETROS!B:B))</f>
        <v/>
      </c>
      <c r="C226" t="str">
        <f>IF(_xlfn.XLOOKUP(A226,PARAMETROS!A:A,PARAMETROS!C:C)=0,"",_xlfn.XLOOKUP(A226,PARAMETROS!A:A,PARAMETROS!C:C))</f>
        <v/>
      </c>
      <c r="D226" t="str">
        <f>IF(_xlfn.XLOOKUP(A226,PARAMETROS!A:A,PARAMETROS!E:E)=0,"",_xlfn.XLOOKUP(A226,PARAMETROS!A:A,PARAMETROS!E:E))</f>
        <v/>
      </c>
      <c r="E226" t="str">
        <f>IF(_xlfn.XLOOKUP('PREENCHIMENTO|NÃO-LETIVAS'!A226,PARAMETROS!A:A,PARAMETROS!I:I)=0,"",_xlfn.XLOOKUP('PREENCHIMENTO|NÃO-LETIVAS'!A226,PARAMETROS!A:A,PARAMETROS!I:I))</f>
        <v/>
      </c>
      <c r="F226" s="3"/>
      <c r="G226" s="3"/>
      <c r="H226" s="3"/>
      <c r="I226" s="3"/>
      <c r="Y226" s="6">
        <f>_xlfn.XLOOKUP(G:G,PARAMETROS!Y:Y,PARAMETROS!AD:AD)</f>
        <v>0</v>
      </c>
    </row>
    <row r="227" spans="1:25">
      <c r="A227" s="3"/>
      <c r="B227" t="str">
        <f>IF(_xlfn.XLOOKUP(A227,PARAMETROS!A:A,PARAMETROS!B:B)=0,"",_xlfn.XLOOKUP(A227,PARAMETROS!A:A,PARAMETROS!B:B))</f>
        <v/>
      </c>
      <c r="C227" t="str">
        <f>IF(_xlfn.XLOOKUP(A227,PARAMETROS!A:A,PARAMETROS!C:C)=0,"",_xlfn.XLOOKUP(A227,PARAMETROS!A:A,PARAMETROS!C:C))</f>
        <v/>
      </c>
      <c r="D227" t="str">
        <f>IF(_xlfn.XLOOKUP(A227,PARAMETROS!A:A,PARAMETROS!E:E)=0,"",_xlfn.XLOOKUP(A227,PARAMETROS!A:A,PARAMETROS!E:E))</f>
        <v/>
      </c>
      <c r="E227" t="str">
        <f>IF(_xlfn.XLOOKUP('PREENCHIMENTO|NÃO-LETIVAS'!A227,PARAMETROS!A:A,PARAMETROS!I:I)=0,"",_xlfn.XLOOKUP('PREENCHIMENTO|NÃO-LETIVAS'!A227,PARAMETROS!A:A,PARAMETROS!I:I))</f>
        <v/>
      </c>
      <c r="F227" s="3"/>
      <c r="G227" s="3"/>
      <c r="H227" s="3"/>
      <c r="I227" s="3"/>
      <c r="Y227" s="6">
        <f>_xlfn.XLOOKUP(G:G,PARAMETROS!Y:Y,PARAMETROS!AD:AD)</f>
        <v>0</v>
      </c>
    </row>
    <row r="228" spans="1:25">
      <c r="A228" s="3"/>
      <c r="B228" t="str">
        <f>IF(_xlfn.XLOOKUP(A228,PARAMETROS!A:A,PARAMETROS!B:B)=0,"",_xlfn.XLOOKUP(A228,PARAMETROS!A:A,PARAMETROS!B:B))</f>
        <v/>
      </c>
      <c r="C228" t="str">
        <f>IF(_xlfn.XLOOKUP(A228,PARAMETROS!A:A,PARAMETROS!C:C)=0,"",_xlfn.XLOOKUP(A228,PARAMETROS!A:A,PARAMETROS!C:C))</f>
        <v/>
      </c>
      <c r="D228" t="str">
        <f>IF(_xlfn.XLOOKUP(A228,PARAMETROS!A:A,PARAMETROS!E:E)=0,"",_xlfn.XLOOKUP(A228,PARAMETROS!A:A,PARAMETROS!E:E))</f>
        <v/>
      </c>
      <c r="E228" t="str">
        <f>IF(_xlfn.XLOOKUP('PREENCHIMENTO|NÃO-LETIVAS'!A228,PARAMETROS!A:A,PARAMETROS!I:I)=0,"",_xlfn.XLOOKUP('PREENCHIMENTO|NÃO-LETIVAS'!A228,PARAMETROS!A:A,PARAMETROS!I:I))</f>
        <v/>
      </c>
      <c r="F228" s="3"/>
      <c r="G228" s="3"/>
      <c r="H228" s="3"/>
      <c r="I228" s="3"/>
      <c r="Y228" s="6">
        <f>_xlfn.XLOOKUP(G:G,PARAMETROS!Y:Y,PARAMETROS!AD:AD)</f>
        <v>0</v>
      </c>
    </row>
    <row r="229" spans="1:25">
      <c r="A229" s="3"/>
      <c r="B229" t="str">
        <f>IF(_xlfn.XLOOKUP(A229,PARAMETROS!A:A,PARAMETROS!B:B)=0,"",_xlfn.XLOOKUP(A229,PARAMETROS!A:A,PARAMETROS!B:B))</f>
        <v/>
      </c>
      <c r="C229" t="str">
        <f>IF(_xlfn.XLOOKUP(A229,PARAMETROS!A:A,PARAMETROS!C:C)=0,"",_xlfn.XLOOKUP(A229,PARAMETROS!A:A,PARAMETROS!C:C))</f>
        <v/>
      </c>
      <c r="D229" t="str">
        <f>IF(_xlfn.XLOOKUP(A229,PARAMETROS!A:A,PARAMETROS!E:E)=0,"",_xlfn.XLOOKUP(A229,PARAMETROS!A:A,PARAMETROS!E:E))</f>
        <v/>
      </c>
      <c r="E229" t="str">
        <f>IF(_xlfn.XLOOKUP('PREENCHIMENTO|NÃO-LETIVAS'!A229,PARAMETROS!A:A,PARAMETROS!I:I)=0,"",_xlfn.XLOOKUP('PREENCHIMENTO|NÃO-LETIVAS'!A229,PARAMETROS!A:A,PARAMETROS!I:I))</f>
        <v/>
      </c>
      <c r="F229" s="3"/>
      <c r="G229" s="3"/>
      <c r="H229" s="3"/>
      <c r="I229" s="3"/>
      <c r="Y229" s="6">
        <f>_xlfn.XLOOKUP(G:G,PARAMETROS!Y:Y,PARAMETROS!AD:AD)</f>
        <v>0</v>
      </c>
    </row>
    <row r="230" spans="1:25">
      <c r="A230" s="3"/>
      <c r="B230" t="str">
        <f>IF(_xlfn.XLOOKUP(A230,PARAMETROS!A:A,PARAMETROS!B:B)=0,"",_xlfn.XLOOKUP(A230,PARAMETROS!A:A,PARAMETROS!B:B))</f>
        <v/>
      </c>
      <c r="C230" t="str">
        <f>IF(_xlfn.XLOOKUP(A230,PARAMETROS!A:A,PARAMETROS!C:C)=0,"",_xlfn.XLOOKUP(A230,PARAMETROS!A:A,PARAMETROS!C:C))</f>
        <v/>
      </c>
      <c r="D230" t="str">
        <f>IF(_xlfn.XLOOKUP(A230,PARAMETROS!A:A,PARAMETROS!E:E)=0,"",_xlfn.XLOOKUP(A230,PARAMETROS!A:A,PARAMETROS!E:E))</f>
        <v/>
      </c>
      <c r="E230" t="str">
        <f>IF(_xlfn.XLOOKUP('PREENCHIMENTO|NÃO-LETIVAS'!A230,PARAMETROS!A:A,PARAMETROS!I:I)=0,"",_xlfn.XLOOKUP('PREENCHIMENTO|NÃO-LETIVAS'!A230,PARAMETROS!A:A,PARAMETROS!I:I))</f>
        <v/>
      </c>
      <c r="F230" s="3"/>
      <c r="G230" s="3"/>
      <c r="H230" s="3"/>
      <c r="I230" s="3"/>
      <c r="Y230" s="6">
        <f>_xlfn.XLOOKUP(G:G,PARAMETROS!Y:Y,PARAMETROS!AD:AD)</f>
        <v>0</v>
      </c>
    </row>
    <row r="231" spans="1:25">
      <c r="A231" s="3"/>
      <c r="B231" t="str">
        <f>IF(_xlfn.XLOOKUP(A231,PARAMETROS!A:A,PARAMETROS!B:B)=0,"",_xlfn.XLOOKUP(A231,PARAMETROS!A:A,PARAMETROS!B:B))</f>
        <v/>
      </c>
      <c r="C231" t="str">
        <f>IF(_xlfn.XLOOKUP(A231,PARAMETROS!A:A,PARAMETROS!C:C)=0,"",_xlfn.XLOOKUP(A231,PARAMETROS!A:A,PARAMETROS!C:C))</f>
        <v/>
      </c>
      <c r="D231" t="str">
        <f>IF(_xlfn.XLOOKUP(A231,PARAMETROS!A:A,PARAMETROS!E:E)=0,"",_xlfn.XLOOKUP(A231,PARAMETROS!A:A,PARAMETROS!E:E))</f>
        <v/>
      </c>
      <c r="E231" t="str">
        <f>IF(_xlfn.XLOOKUP('PREENCHIMENTO|NÃO-LETIVAS'!A231,PARAMETROS!A:A,PARAMETROS!I:I)=0,"",_xlfn.XLOOKUP('PREENCHIMENTO|NÃO-LETIVAS'!A231,PARAMETROS!A:A,PARAMETROS!I:I))</f>
        <v/>
      </c>
      <c r="F231" s="3"/>
      <c r="G231" s="3"/>
      <c r="H231" s="3"/>
      <c r="I231" s="3"/>
      <c r="Y231" s="6">
        <f>_xlfn.XLOOKUP(G:G,PARAMETROS!Y:Y,PARAMETROS!AD:AD)</f>
        <v>0</v>
      </c>
    </row>
    <row r="232" spans="1:25">
      <c r="A232" s="3"/>
      <c r="B232" t="str">
        <f>IF(_xlfn.XLOOKUP(A232,PARAMETROS!A:A,PARAMETROS!B:B)=0,"",_xlfn.XLOOKUP(A232,PARAMETROS!A:A,PARAMETROS!B:B))</f>
        <v/>
      </c>
      <c r="C232" t="str">
        <f>IF(_xlfn.XLOOKUP(A232,PARAMETROS!A:A,PARAMETROS!C:C)=0,"",_xlfn.XLOOKUP(A232,PARAMETROS!A:A,PARAMETROS!C:C))</f>
        <v/>
      </c>
      <c r="D232" t="str">
        <f>IF(_xlfn.XLOOKUP(A232,PARAMETROS!A:A,PARAMETROS!E:E)=0,"",_xlfn.XLOOKUP(A232,PARAMETROS!A:A,PARAMETROS!E:E))</f>
        <v/>
      </c>
      <c r="E232" t="str">
        <f>IF(_xlfn.XLOOKUP('PREENCHIMENTO|NÃO-LETIVAS'!A232,PARAMETROS!A:A,PARAMETROS!I:I)=0,"",_xlfn.XLOOKUP('PREENCHIMENTO|NÃO-LETIVAS'!A232,PARAMETROS!A:A,PARAMETROS!I:I))</f>
        <v/>
      </c>
      <c r="F232" s="3"/>
      <c r="G232" s="3"/>
      <c r="H232" s="3"/>
      <c r="I232" s="3"/>
      <c r="Y232" s="6">
        <f>_xlfn.XLOOKUP(G:G,PARAMETROS!Y:Y,PARAMETROS!AD:AD)</f>
        <v>0</v>
      </c>
    </row>
    <row r="233" spans="1:25">
      <c r="A233" s="3"/>
      <c r="B233" t="str">
        <f>IF(_xlfn.XLOOKUP(A233,PARAMETROS!A:A,PARAMETROS!B:B)=0,"",_xlfn.XLOOKUP(A233,PARAMETROS!A:A,PARAMETROS!B:B))</f>
        <v/>
      </c>
      <c r="C233" t="str">
        <f>IF(_xlfn.XLOOKUP(A233,PARAMETROS!A:A,PARAMETROS!C:C)=0,"",_xlfn.XLOOKUP(A233,PARAMETROS!A:A,PARAMETROS!C:C))</f>
        <v/>
      </c>
      <c r="D233" t="str">
        <f>IF(_xlfn.XLOOKUP(A233,PARAMETROS!A:A,PARAMETROS!E:E)=0,"",_xlfn.XLOOKUP(A233,PARAMETROS!A:A,PARAMETROS!E:E))</f>
        <v/>
      </c>
      <c r="E233" t="str">
        <f>IF(_xlfn.XLOOKUP('PREENCHIMENTO|NÃO-LETIVAS'!A233,PARAMETROS!A:A,PARAMETROS!I:I)=0,"",_xlfn.XLOOKUP('PREENCHIMENTO|NÃO-LETIVAS'!A233,PARAMETROS!A:A,PARAMETROS!I:I))</f>
        <v/>
      </c>
      <c r="F233" s="3"/>
      <c r="G233" s="3"/>
      <c r="H233" s="3"/>
      <c r="I233" s="3"/>
      <c r="Y233" s="6">
        <f>_xlfn.XLOOKUP(G:G,PARAMETROS!Y:Y,PARAMETROS!AD:AD)</f>
        <v>0</v>
      </c>
    </row>
    <row r="234" spans="1:25">
      <c r="A234" s="3"/>
      <c r="B234" t="str">
        <f>IF(_xlfn.XLOOKUP(A234,PARAMETROS!A:A,PARAMETROS!B:B)=0,"",_xlfn.XLOOKUP(A234,PARAMETROS!A:A,PARAMETROS!B:B))</f>
        <v/>
      </c>
      <c r="C234" t="str">
        <f>IF(_xlfn.XLOOKUP(A234,PARAMETROS!A:A,PARAMETROS!C:C)=0,"",_xlfn.XLOOKUP(A234,PARAMETROS!A:A,PARAMETROS!C:C))</f>
        <v/>
      </c>
      <c r="D234" t="str">
        <f>IF(_xlfn.XLOOKUP(A234,PARAMETROS!A:A,PARAMETROS!E:E)=0,"",_xlfn.XLOOKUP(A234,PARAMETROS!A:A,PARAMETROS!E:E))</f>
        <v/>
      </c>
      <c r="E234" t="str">
        <f>IF(_xlfn.XLOOKUP('PREENCHIMENTO|NÃO-LETIVAS'!A234,PARAMETROS!A:A,PARAMETROS!I:I)=0,"",_xlfn.XLOOKUP('PREENCHIMENTO|NÃO-LETIVAS'!A234,PARAMETROS!A:A,PARAMETROS!I:I))</f>
        <v/>
      </c>
      <c r="F234" s="3"/>
      <c r="G234" s="3"/>
      <c r="H234" s="3"/>
      <c r="I234" s="3"/>
      <c r="Y234" s="6">
        <f>_xlfn.XLOOKUP(G:G,PARAMETROS!Y:Y,PARAMETROS!AD:AD)</f>
        <v>0</v>
      </c>
    </row>
    <row r="235" spans="1:25">
      <c r="A235" s="3"/>
      <c r="B235" t="str">
        <f>IF(_xlfn.XLOOKUP(A235,PARAMETROS!A:A,PARAMETROS!B:B)=0,"",_xlfn.XLOOKUP(A235,PARAMETROS!A:A,PARAMETROS!B:B))</f>
        <v/>
      </c>
      <c r="C235" t="str">
        <f>IF(_xlfn.XLOOKUP(A235,PARAMETROS!A:A,PARAMETROS!C:C)=0,"",_xlfn.XLOOKUP(A235,PARAMETROS!A:A,PARAMETROS!C:C))</f>
        <v/>
      </c>
      <c r="D235" t="str">
        <f>IF(_xlfn.XLOOKUP(A235,PARAMETROS!A:A,PARAMETROS!E:E)=0,"",_xlfn.XLOOKUP(A235,PARAMETROS!A:A,PARAMETROS!E:E))</f>
        <v/>
      </c>
      <c r="E235" t="str">
        <f>IF(_xlfn.XLOOKUP('PREENCHIMENTO|NÃO-LETIVAS'!A235,PARAMETROS!A:A,PARAMETROS!I:I)=0,"",_xlfn.XLOOKUP('PREENCHIMENTO|NÃO-LETIVAS'!A235,PARAMETROS!A:A,PARAMETROS!I:I))</f>
        <v/>
      </c>
      <c r="F235" s="3"/>
      <c r="G235" s="3"/>
      <c r="H235" s="3"/>
      <c r="I235" s="3"/>
      <c r="Y235" s="6">
        <f>_xlfn.XLOOKUP(G:G,PARAMETROS!Y:Y,PARAMETROS!AD:AD)</f>
        <v>0</v>
      </c>
    </row>
    <row r="236" spans="1:25">
      <c r="A236" s="3"/>
      <c r="B236" t="str">
        <f>IF(_xlfn.XLOOKUP(A236,PARAMETROS!A:A,PARAMETROS!B:B)=0,"",_xlfn.XLOOKUP(A236,PARAMETROS!A:A,PARAMETROS!B:B))</f>
        <v/>
      </c>
      <c r="C236" t="str">
        <f>IF(_xlfn.XLOOKUP(A236,PARAMETROS!A:A,PARAMETROS!C:C)=0,"",_xlfn.XLOOKUP(A236,PARAMETROS!A:A,PARAMETROS!C:C))</f>
        <v/>
      </c>
      <c r="D236" t="str">
        <f>IF(_xlfn.XLOOKUP(A236,PARAMETROS!A:A,PARAMETROS!E:E)=0,"",_xlfn.XLOOKUP(A236,PARAMETROS!A:A,PARAMETROS!E:E))</f>
        <v/>
      </c>
      <c r="E236" t="str">
        <f>IF(_xlfn.XLOOKUP('PREENCHIMENTO|NÃO-LETIVAS'!A236,PARAMETROS!A:A,PARAMETROS!I:I)=0,"",_xlfn.XLOOKUP('PREENCHIMENTO|NÃO-LETIVAS'!A236,PARAMETROS!A:A,PARAMETROS!I:I))</f>
        <v/>
      </c>
      <c r="F236" s="3"/>
      <c r="G236" s="3"/>
      <c r="H236" s="3"/>
      <c r="I236" s="3"/>
      <c r="Y236" s="6">
        <f>_xlfn.XLOOKUP(G:G,PARAMETROS!Y:Y,PARAMETROS!AD:AD)</f>
        <v>0</v>
      </c>
    </row>
    <row r="237" spans="1:25">
      <c r="A237" s="3"/>
      <c r="B237" t="str">
        <f>IF(_xlfn.XLOOKUP(A237,PARAMETROS!A:A,PARAMETROS!B:B)=0,"",_xlfn.XLOOKUP(A237,PARAMETROS!A:A,PARAMETROS!B:B))</f>
        <v/>
      </c>
      <c r="C237" t="str">
        <f>IF(_xlfn.XLOOKUP(A237,PARAMETROS!A:A,PARAMETROS!C:C)=0,"",_xlfn.XLOOKUP(A237,PARAMETROS!A:A,PARAMETROS!C:C))</f>
        <v/>
      </c>
      <c r="D237" t="str">
        <f>IF(_xlfn.XLOOKUP(A237,PARAMETROS!A:A,PARAMETROS!E:E)=0,"",_xlfn.XLOOKUP(A237,PARAMETROS!A:A,PARAMETROS!E:E))</f>
        <v/>
      </c>
      <c r="E237" t="str">
        <f>IF(_xlfn.XLOOKUP('PREENCHIMENTO|NÃO-LETIVAS'!A237,PARAMETROS!A:A,PARAMETROS!I:I)=0,"",_xlfn.XLOOKUP('PREENCHIMENTO|NÃO-LETIVAS'!A237,PARAMETROS!A:A,PARAMETROS!I:I))</f>
        <v/>
      </c>
      <c r="F237" s="3"/>
      <c r="G237" s="3"/>
      <c r="H237" s="3"/>
      <c r="I237" s="3"/>
      <c r="Y237" s="6">
        <f>_xlfn.XLOOKUP(G:G,PARAMETROS!Y:Y,PARAMETROS!AD:AD)</f>
        <v>0</v>
      </c>
    </row>
    <row r="238" spans="1:25">
      <c r="A238" s="3"/>
      <c r="B238" t="str">
        <f>IF(_xlfn.XLOOKUP(A238,PARAMETROS!A:A,PARAMETROS!B:B)=0,"",_xlfn.XLOOKUP(A238,PARAMETROS!A:A,PARAMETROS!B:B))</f>
        <v/>
      </c>
      <c r="C238" t="str">
        <f>IF(_xlfn.XLOOKUP(A238,PARAMETROS!A:A,PARAMETROS!C:C)=0,"",_xlfn.XLOOKUP(A238,PARAMETROS!A:A,PARAMETROS!C:C))</f>
        <v/>
      </c>
      <c r="D238" t="str">
        <f>IF(_xlfn.XLOOKUP(A238,PARAMETROS!A:A,PARAMETROS!E:E)=0,"",_xlfn.XLOOKUP(A238,PARAMETROS!A:A,PARAMETROS!E:E))</f>
        <v/>
      </c>
      <c r="E238" t="str">
        <f>IF(_xlfn.XLOOKUP('PREENCHIMENTO|NÃO-LETIVAS'!A238,PARAMETROS!A:A,PARAMETROS!I:I)=0,"",_xlfn.XLOOKUP('PREENCHIMENTO|NÃO-LETIVAS'!A238,PARAMETROS!A:A,PARAMETROS!I:I))</f>
        <v/>
      </c>
      <c r="F238" s="3"/>
      <c r="G238" s="3"/>
      <c r="H238" s="3"/>
      <c r="I238" s="3"/>
      <c r="Y238" s="6">
        <f>_xlfn.XLOOKUP(G:G,PARAMETROS!Y:Y,PARAMETROS!AD:AD)</f>
        <v>0</v>
      </c>
    </row>
    <row r="239" spans="1:25">
      <c r="A239" s="3"/>
      <c r="B239" t="str">
        <f>IF(_xlfn.XLOOKUP(A239,PARAMETROS!A:A,PARAMETROS!B:B)=0,"",_xlfn.XLOOKUP(A239,PARAMETROS!A:A,PARAMETROS!B:B))</f>
        <v/>
      </c>
      <c r="C239" t="str">
        <f>IF(_xlfn.XLOOKUP(A239,PARAMETROS!A:A,PARAMETROS!C:C)=0,"",_xlfn.XLOOKUP(A239,PARAMETROS!A:A,PARAMETROS!C:C))</f>
        <v/>
      </c>
      <c r="D239" t="str">
        <f>IF(_xlfn.XLOOKUP(A239,PARAMETROS!A:A,PARAMETROS!E:E)=0,"",_xlfn.XLOOKUP(A239,PARAMETROS!A:A,PARAMETROS!E:E))</f>
        <v/>
      </c>
      <c r="E239" t="str">
        <f>IF(_xlfn.XLOOKUP('PREENCHIMENTO|NÃO-LETIVAS'!A239,PARAMETROS!A:A,PARAMETROS!I:I)=0,"",_xlfn.XLOOKUP('PREENCHIMENTO|NÃO-LETIVAS'!A239,PARAMETROS!A:A,PARAMETROS!I:I))</f>
        <v/>
      </c>
      <c r="F239" s="3"/>
      <c r="G239" s="3"/>
      <c r="H239" s="3"/>
      <c r="I239" s="3"/>
      <c r="Y239" s="6">
        <f>_xlfn.XLOOKUP(G:G,PARAMETROS!Y:Y,PARAMETROS!AD:AD)</f>
        <v>0</v>
      </c>
    </row>
    <row r="240" spans="1:25">
      <c r="A240" s="3"/>
      <c r="B240" t="str">
        <f>IF(_xlfn.XLOOKUP(A240,PARAMETROS!A:A,PARAMETROS!B:B)=0,"",_xlfn.XLOOKUP(A240,PARAMETROS!A:A,PARAMETROS!B:B))</f>
        <v/>
      </c>
      <c r="C240" t="str">
        <f>IF(_xlfn.XLOOKUP(A240,PARAMETROS!A:A,PARAMETROS!C:C)=0,"",_xlfn.XLOOKUP(A240,PARAMETROS!A:A,PARAMETROS!C:C))</f>
        <v/>
      </c>
      <c r="D240" t="str">
        <f>IF(_xlfn.XLOOKUP(A240,PARAMETROS!A:A,PARAMETROS!E:E)=0,"",_xlfn.XLOOKUP(A240,PARAMETROS!A:A,PARAMETROS!E:E))</f>
        <v/>
      </c>
      <c r="E240" t="str">
        <f>IF(_xlfn.XLOOKUP('PREENCHIMENTO|NÃO-LETIVAS'!A240,PARAMETROS!A:A,PARAMETROS!I:I)=0,"",_xlfn.XLOOKUP('PREENCHIMENTO|NÃO-LETIVAS'!A240,PARAMETROS!A:A,PARAMETROS!I:I))</f>
        <v/>
      </c>
      <c r="F240" s="3"/>
      <c r="G240" s="3"/>
      <c r="H240" s="3"/>
      <c r="I240" s="3"/>
      <c r="Y240" s="6">
        <f>_xlfn.XLOOKUP(G:G,PARAMETROS!Y:Y,PARAMETROS!AD:AD)</f>
        <v>0</v>
      </c>
    </row>
    <row r="241" spans="1:25">
      <c r="A241" s="3"/>
      <c r="B241" t="str">
        <f>IF(_xlfn.XLOOKUP(A241,PARAMETROS!A:A,PARAMETROS!B:B)=0,"",_xlfn.XLOOKUP(A241,PARAMETROS!A:A,PARAMETROS!B:B))</f>
        <v/>
      </c>
      <c r="C241" t="str">
        <f>IF(_xlfn.XLOOKUP(A241,PARAMETROS!A:A,PARAMETROS!C:C)=0,"",_xlfn.XLOOKUP(A241,PARAMETROS!A:A,PARAMETROS!C:C))</f>
        <v/>
      </c>
      <c r="D241" t="str">
        <f>IF(_xlfn.XLOOKUP(A241,PARAMETROS!A:A,PARAMETROS!E:E)=0,"",_xlfn.XLOOKUP(A241,PARAMETROS!A:A,PARAMETROS!E:E))</f>
        <v/>
      </c>
      <c r="E241" t="str">
        <f>IF(_xlfn.XLOOKUP('PREENCHIMENTO|NÃO-LETIVAS'!A241,PARAMETROS!A:A,PARAMETROS!I:I)=0,"",_xlfn.XLOOKUP('PREENCHIMENTO|NÃO-LETIVAS'!A241,PARAMETROS!A:A,PARAMETROS!I:I))</f>
        <v/>
      </c>
      <c r="F241" s="3"/>
      <c r="G241" s="3"/>
      <c r="H241" s="3"/>
      <c r="I241" s="3"/>
      <c r="Y241" s="6">
        <f>_xlfn.XLOOKUP(G:G,PARAMETROS!Y:Y,PARAMETROS!AD:AD)</f>
        <v>0</v>
      </c>
    </row>
    <row r="242" spans="1:25">
      <c r="A242" s="3"/>
      <c r="B242" t="str">
        <f>IF(_xlfn.XLOOKUP(A242,PARAMETROS!A:A,PARAMETROS!B:B)=0,"",_xlfn.XLOOKUP(A242,PARAMETROS!A:A,PARAMETROS!B:B))</f>
        <v/>
      </c>
      <c r="C242" t="str">
        <f>IF(_xlfn.XLOOKUP(A242,PARAMETROS!A:A,PARAMETROS!C:C)=0,"",_xlfn.XLOOKUP(A242,PARAMETROS!A:A,PARAMETROS!C:C))</f>
        <v/>
      </c>
      <c r="D242" t="str">
        <f>IF(_xlfn.XLOOKUP(A242,PARAMETROS!A:A,PARAMETROS!E:E)=0,"",_xlfn.XLOOKUP(A242,PARAMETROS!A:A,PARAMETROS!E:E))</f>
        <v/>
      </c>
      <c r="E242" t="str">
        <f>IF(_xlfn.XLOOKUP('PREENCHIMENTO|NÃO-LETIVAS'!A242,PARAMETROS!A:A,PARAMETROS!I:I)=0,"",_xlfn.XLOOKUP('PREENCHIMENTO|NÃO-LETIVAS'!A242,PARAMETROS!A:A,PARAMETROS!I:I))</f>
        <v/>
      </c>
      <c r="F242" s="3"/>
      <c r="G242" s="3"/>
      <c r="H242" s="3"/>
      <c r="I242" s="3"/>
      <c r="Y242" s="6">
        <f>_xlfn.XLOOKUP(G:G,PARAMETROS!Y:Y,PARAMETROS!AD:AD)</f>
        <v>0</v>
      </c>
    </row>
    <row r="243" spans="1:25">
      <c r="A243" s="3"/>
      <c r="B243" t="str">
        <f>IF(_xlfn.XLOOKUP(A243,PARAMETROS!A:A,PARAMETROS!B:B)=0,"",_xlfn.XLOOKUP(A243,PARAMETROS!A:A,PARAMETROS!B:B))</f>
        <v/>
      </c>
      <c r="C243" t="str">
        <f>IF(_xlfn.XLOOKUP(A243,PARAMETROS!A:A,PARAMETROS!C:C)=0,"",_xlfn.XLOOKUP(A243,PARAMETROS!A:A,PARAMETROS!C:C))</f>
        <v/>
      </c>
      <c r="D243" t="str">
        <f>IF(_xlfn.XLOOKUP(A243,PARAMETROS!A:A,PARAMETROS!E:E)=0,"",_xlfn.XLOOKUP(A243,PARAMETROS!A:A,PARAMETROS!E:E))</f>
        <v/>
      </c>
      <c r="E243" t="str">
        <f>IF(_xlfn.XLOOKUP('PREENCHIMENTO|NÃO-LETIVAS'!A243,PARAMETROS!A:A,PARAMETROS!I:I)=0,"",_xlfn.XLOOKUP('PREENCHIMENTO|NÃO-LETIVAS'!A243,PARAMETROS!A:A,PARAMETROS!I:I))</f>
        <v/>
      </c>
      <c r="F243" s="3"/>
      <c r="G243" s="3"/>
      <c r="H243" s="3"/>
      <c r="I243" s="3"/>
      <c r="Y243" s="6">
        <f>_xlfn.XLOOKUP(G:G,PARAMETROS!Y:Y,PARAMETROS!AD:AD)</f>
        <v>0</v>
      </c>
    </row>
    <row r="244" spans="1:25">
      <c r="A244" s="3"/>
      <c r="B244" t="str">
        <f>IF(_xlfn.XLOOKUP(A244,PARAMETROS!A:A,PARAMETROS!B:B)=0,"",_xlfn.XLOOKUP(A244,PARAMETROS!A:A,PARAMETROS!B:B))</f>
        <v/>
      </c>
      <c r="C244" t="str">
        <f>IF(_xlfn.XLOOKUP(A244,PARAMETROS!A:A,PARAMETROS!C:C)=0,"",_xlfn.XLOOKUP(A244,PARAMETROS!A:A,PARAMETROS!C:C))</f>
        <v/>
      </c>
      <c r="D244" t="str">
        <f>IF(_xlfn.XLOOKUP(A244,PARAMETROS!A:A,PARAMETROS!E:E)=0,"",_xlfn.XLOOKUP(A244,PARAMETROS!A:A,PARAMETROS!E:E))</f>
        <v/>
      </c>
      <c r="E244" t="str">
        <f>IF(_xlfn.XLOOKUP('PREENCHIMENTO|NÃO-LETIVAS'!A244,PARAMETROS!A:A,PARAMETROS!I:I)=0,"",_xlfn.XLOOKUP('PREENCHIMENTO|NÃO-LETIVAS'!A244,PARAMETROS!A:A,PARAMETROS!I:I))</f>
        <v/>
      </c>
      <c r="F244" s="3"/>
      <c r="G244" s="3"/>
      <c r="H244" s="3"/>
      <c r="I244" s="3"/>
      <c r="Y244" s="6">
        <f>_xlfn.XLOOKUP(G:G,PARAMETROS!Y:Y,PARAMETROS!AD:AD)</f>
        <v>0</v>
      </c>
    </row>
    <row r="245" spans="1:25">
      <c r="A245" s="3"/>
      <c r="B245" t="str">
        <f>IF(_xlfn.XLOOKUP(A245,PARAMETROS!A:A,PARAMETROS!B:B)=0,"",_xlfn.XLOOKUP(A245,PARAMETROS!A:A,PARAMETROS!B:B))</f>
        <v/>
      </c>
      <c r="C245" t="str">
        <f>IF(_xlfn.XLOOKUP(A245,PARAMETROS!A:A,PARAMETROS!C:C)=0,"",_xlfn.XLOOKUP(A245,PARAMETROS!A:A,PARAMETROS!C:C))</f>
        <v/>
      </c>
      <c r="D245" t="str">
        <f>IF(_xlfn.XLOOKUP(A245,PARAMETROS!A:A,PARAMETROS!E:E)=0,"",_xlfn.XLOOKUP(A245,PARAMETROS!A:A,PARAMETROS!E:E))</f>
        <v/>
      </c>
      <c r="E245" t="str">
        <f>IF(_xlfn.XLOOKUP('PREENCHIMENTO|NÃO-LETIVAS'!A245,PARAMETROS!A:A,PARAMETROS!I:I)=0,"",_xlfn.XLOOKUP('PREENCHIMENTO|NÃO-LETIVAS'!A245,PARAMETROS!A:A,PARAMETROS!I:I))</f>
        <v/>
      </c>
      <c r="F245" s="3"/>
      <c r="G245" s="3"/>
      <c r="H245" s="3"/>
      <c r="I245" s="3"/>
      <c r="Y245" s="6">
        <f>_xlfn.XLOOKUP(G:G,PARAMETROS!Y:Y,PARAMETROS!AD:AD)</f>
        <v>0</v>
      </c>
    </row>
    <row r="246" spans="1:25">
      <c r="A246" s="3"/>
      <c r="B246" t="str">
        <f>IF(_xlfn.XLOOKUP(A246,PARAMETROS!A:A,PARAMETROS!B:B)=0,"",_xlfn.XLOOKUP(A246,PARAMETROS!A:A,PARAMETROS!B:B))</f>
        <v/>
      </c>
      <c r="C246" t="str">
        <f>IF(_xlfn.XLOOKUP(A246,PARAMETROS!A:A,PARAMETROS!C:C)=0,"",_xlfn.XLOOKUP(A246,PARAMETROS!A:A,PARAMETROS!C:C))</f>
        <v/>
      </c>
      <c r="D246" t="str">
        <f>IF(_xlfn.XLOOKUP(A246,PARAMETROS!A:A,PARAMETROS!E:E)=0,"",_xlfn.XLOOKUP(A246,PARAMETROS!A:A,PARAMETROS!E:E))</f>
        <v/>
      </c>
      <c r="E246" t="str">
        <f>IF(_xlfn.XLOOKUP('PREENCHIMENTO|NÃO-LETIVAS'!A246,PARAMETROS!A:A,PARAMETROS!I:I)=0,"",_xlfn.XLOOKUP('PREENCHIMENTO|NÃO-LETIVAS'!A246,PARAMETROS!A:A,PARAMETROS!I:I))</f>
        <v/>
      </c>
      <c r="F246" s="3"/>
      <c r="G246" s="3"/>
      <c r="H246" s="3"/>
      <c r="I246" s="3"/>
      <c r="Y246" s="6">
        <f>_xlfn.XLOOKUP(G:G,PARAMETROS!Y:Y,PARAMETROS!AD:AD)</f>
        <v>0</v>
      </c>
    </row>
    <row r="247" spans="1:25">
      <c r="A247" s="3"/>
      <c r="B247" t="str">
        <f>IF(_xlfn.XLOOKUP(A247,PARAMETROS!A:A,PARAMETROS!B:B)=0,"",_xlfn.XLOOKUP(A247,PARAMETROS!A:A,PARAMETROS!B:B))</f>
        <v/>
      </c>
      <c r="C247" t="str">
        <f>IF(_xlfn.XLOOKUP(A247,PARAMETROS!A:A,PARAMETROS!C:C)=0,"",_xlfn.XLOOKUP(A247,PARAMETROS!A:A,PARAMETROS!C:C))</f>
        <v/>
      </c>
      <c r="D247" t="str">
        <f>IF(_xlfn.XLOOKUP(A247,PARAMETROS!A:A,PARAMETROS!E:E)=0,"",_xlfn.XLOOKUP(A247,PARAMETROS!A:A,PARAMETROS!E:E))</f>
        <v/>
      </c>
      <c r="E247" t="str">
        <f>IF(_xlfn.XLOOKUP('PREENCHIMENTO|NÃO-LETIVAS'!A247,PARAMETROS!A:A,PARAMETROS!I:I)=0,"",_xlfn.XLOOKUP('PREENCHIMENTO|NÃO-LETIVAS'!A247,PARAMETROS!A:A,PARAMETROS!I:I))</f>
        <v/>
      </c>
      <c r="F247" s="3"/>
      <c r="G247" s="3"/>
      <c r="H247" s="3"/>
      <c r="I247" s="3"/>
      <c r="Y247" s="6">
        <f>_xlfn.XLOOKUP(G:G,PARAMETROS!Y:Y,PARAMETROS!AD:AD)</f>
        <v>0</v>
      </c>
    </row>
    <row r="248" spans="1:25">
      <c r="A248" s="3"/>
      <c r="B248" t="str">
        <f>IF(_xlfn.XLOOKUP(A248,PARAMETROS!A:A,PARAMETROS!B:B)=0,"",_xlfn.XLOOKUP(A248,PARAMETROS!A:A,PARAMETROS!B:B))</f>
        <v/>
      </c>
      <c r="C248" t="str">
        <f>IF(_xlfn.XLOOKUP(A248,PARAMETROS!A:A,PARAMETROS!C:C)=0,"",_xlfn.XLOOKUP(A248,PARAMETROS!A:A,PARAMETROS!C:C))</f>
        <v/>
      </c>
      <c r="D248" t="str">
        <f>IF(_xlfn.XLOOKUP(A248,PARAMETROS!A:A,PARAMETROS!E:E)=0,"",_xlfn.XLOOKUP(A248,PARAMETROS!A:A,PARAMETROS!E:E))</f>
        <v/>
      </c>
      <c r="E248" t="str">
        <f>IF(_xlfn.XLOOKUP('PREENCHIMENTO|NÃO-LETIVAS'!A248,PARAMETROS!A:A,PARAMETROS!I:I)=0,"",_xlfn.XLOOKUP('PREENCHIMENTO|NÃO-LETIVAS'!A248,PARAMETROS!A:A,PARAMETROS!I:I))</f>
        <v/>
      </c>
      <c r="F248" s="3"/>
      <c r="G248" s="3"/>
      <c r="H248" s="3"/>
      <c r="I248" s="3"/>
      <c r="Y248" s="6">
        <f>_xlfn.XLOOKUP(G:G,PARAMETROS!Y:Y,PARAMETROS!AD:AD)</f>
        <v>0</v>
      </c>
    </row>
    <row r="249" spans="1:25">
      <c r="A249" s="3"/>
      <c r="B249" t="str">
        <f>IF(_xlfn.XLOOKUP(A249,PARAMETROS!A:A,PARAMETROS!B:B)=0,"",_xlfn.XLOOKUP(A249,PARAMETROS!A:A,PARAMETROS!B:B))</f>
        <v/>
      </c>
      <c r="C249" t="str">
        <f>IF(_xlfn.XLOOKUP(A249,PARAMETROS!A:A,PARAMETROS!C:C)=0,"",_xlfn.XLOOKUP(A249,PARAMETROS!A:A,PARAMETROS!C:C))</f>
        <v/>
      </c>
      <c r="D249" t="str">
        <f>IF(_xlfn.XLOOKUP(A249,PARAMETROS!A:A,PARAMETROS!E:E)=0,"",_xlfn.XLOOKUP(A249,PARAMETROS!A:A,PARAMETROS!E:E))</f>
        <v/>
      </c>
      <c r="E249" t="str">
        <f>IF(_xlfn.XLOOKUP('PREENCHIMENTO|NÃO-LETIVAS'!A249,PARAMETROS!A:A,PARAMETROS!I:I)=0,"",_xlfn.XLOOKUP('PREENCHIMENTO|NÃO-LETIVAS'!A249,PARAMETROS!A:A,PARAMETROS!I:I))</f>
        <v/>
      </c>
      <c r="F249" s="3"/>
      <c r="G249" s="3"/>
      <c r="H249" s="3"/>
      <c r="I249" s="3"/>
      <c r="Y249" s="6">
        <f>_xlfn.XLOOKUP(G:G,PARAMETROS!Y:Y,PARAMETROS!AD:AD)</f>
        <v>0</v>
      </c>
    </row>
    <row r="250" spans="1:25">
      <c r="A250" s="3"/>
      <c r="B250" t="str">
        <f>IF(_xlfn.XLOOKUP(A250,PARAMETROS!A:A,PARAMETROS!B:B)=0,"",_xlfn.XLOOKUP(A250,PARAMETROS!A:A,PARAMETROS!B:B))</f>
        <v/>
      </c>
      <c r="C250" t="str">
        <f>IF(_xlfn.XLOOKUP(A250,PARAMETROS!A:A,PARAMETROS!C:C)=0,"",_xlfn.XLOOKUP(A250,PARAMETROS!A:A,PARAMETROS!C:C))</f>
        <v/>
      </c>
      <c r="D250" t="str">
        <f>IF(_xlfn.XLOOKUP(A250,PARAMETROS!A:A,PARAMETROS!E:E)=0,"",_xlfn.XLOOKUP(A250,PARAMETROS!A:A,PARAMETROS!E:E))</f>
        <v/>
      </c>
      <c r="E250" t="str">
        <f>IF(_xlfn.XLOOKUP('PREENCHIMENTO|NÃO-LETIVAS'!A250,PARAMETROS!A:A,PARAMETROS!I:I)=0,"",_xlfn.XLOOKUP('PREENCHIMENTO|NÃO-LETIVAS'!A250,PARAMETROS!A:A,PARAMETROS!I:I))</f>
        <v/>
      </c>
      <c r="F250" s="3"/>
      <c r="G250" s="3"/>
      <c r="H250" s="3"/>
      <c r="I250" s="3"/>
      <c r="Y250" s="6">
        <f>_xlfn.XLOOKUP(G:G,PARAMETROS!Y:Y,PARAMETROS!AD:AD)</f>
        <v>0</v>
      </c>
    </row>
    <row r="251" spans="1:25">
      <c r="A251" s="3"/>
      <c r="B251" t="str">
        <f>IF(_xlfn.XLOOKUP(A251,PARAMETROS!A:A,PARAMETROS!B:B)=0,"",_xlfn.XLOOKUP(A251,PARAMETROS!A:A,PARAMETROS!B:B))</f>
        <v/>
      </c>
      <c r="C251" t="str">
        <f>IF(_xlfn.XLOOKUP(A251,PARAMETROS!A:A,PARAMETROS!C:C)=0,"",_xlfn.XLOOKUP(A251,PARAMETROS!A:A,PARAMETROS!C:C))</f>
        <v/>
      </c>
      <c r="D251" t="str">
        <f>IF(_xlfn.XLOOKUP(A251,PARAMETROS!A:A,PARAMETROS!E:E)=0,"",_xlfn.XLOOKUP(A251,PARAMETROS!A:A,PARAMETROS!E:E))</f>
        <v/>
      </c>
      <c r="E251" t="str">
        <f>IF(_xlfn.XLOOKUP('PREENCHIMENTO|NÃO-LETIVAS'!A251,PARAMETROS!A:A,PARAMETROS!I:I)=0,"",_xlfn.XLOOKUP('PREENCHIMENTO|NÃO-LETIVAS'!A251,PARAMETROS!A:A,PARAMETROS!I:I))</f>
        <v/>
      </c>
      <c r="F251" s="3"/>
      <c r="G251" s="3"/>
      <c r="H251" s="3"/>
      <c r="I251" s="3"/>
      <c r="Y251" s="6">
        <f>_xlfn.XLOOKUP(G:G,PARAMETROS!Y:Y,PARAMETROS!AD:AD)</f>
        <v>0</v>
      </c>
    </row>
    <row r="252" spans="1:25">
      <c r="A252" s="3"/>
      <c r="B252" t="str">
        <f>IF(_xlfn.XLOOKUP(A252,PARAMETROS!A:A,PARAMETROS!B:B)=0,"",_xlfn.XLOOKUP(A252,PARAMETROS!A:A,PARAMETROS!B:B))</f>
        <v/>
      </c>
      <c r="C252" t="str">
        <f>IF(_xlfn.XLOOKUP(A252,PARAMETROS!A:A,PARAMETROS!C:C)=0,"",_xlfn.XLOOKUP(A252,PARAMETROS!A:A,PARAMETROS!C:C))</f>
        <v/>
      </c>
      <c r="D252" t="str">
        <f>IF(_xlfn.XLOOKUP(A252,PARAMETROS!A:A,PARAMETROS!E:E)=0,"",_xlfn.XLOOKUP(A252,PARAMETROS!A:A,PARAMETROS!E:E))</f>
        <v/>
      </c>
      <c r="E252" t="str">
        <f>IF(_xlfn.XLOOKUP('PREENCHIMENTO|NÃO-LETIVAS'!A252,PARAMETROS!A:A,PARAMETROS!I:I)=0,"",_xlfn.XLOOKUP('PREENCHIMENTO|NÃO-LETIVAS'!A252,PARAMETROS!A:A,PARAMETROS!I:I))</f>
        <v/>
      </c>
      <c r="F252" s="3"/>
      <c r="G252" s="3"/>
      <c r="H252" s="3"/>
      <c r="I252" s="3"/>
      <c r="Y252" s="6">
        <f>_xlfn.XLOOKUP(G:G,PARAMETROS!Y:Y,PARAMETROS!AD:AD)</f>
        <v>0</v>
      </c>
    </row>
    <row r="253" spans="1:25">
      <c r="A253" s="3"/>
      <c r="B253" t="str">
        <f>IF(_xlfn.XLOOKUP(A253,PARAMETROS!A:A,PARAMETROS!B:B)=0,"",_xlfn.XLOOKUP(A253,PARAMETROS!A:A,PARAMETROS!B:B))</f>
        <v/>
      </c>
      <c r="C253" t="str">
        <f>IF(_xlfn.XLOOKUP(A253,PARAMETROS!A:A,PARAMETROS!C:C)=0,"",_xlfn.XLOOKUP(A253,PARAMETROS!A:A,PARAMETROS!C:C))</f>
        <v/>
      </c>
      <c r="D253" t="str">
        <f>IF(_xlfn.XLOOKUP(A253,PARAMETROS!A:A,PARAMETROS!E:E)=0,"",_xlfn.XLOOKUP(A253,PARAMETROS!A:A,PARAMETROS!E:E))</f>
        <v/>
      </c>
      <c r="E253" t="str">
        <f>IF(_xlfn.XLOOKUP('PREENCHIMENTO|NÃO-LETIVAS'!A253,PARAMETROS!A:A,PARAMETROS!I:I)=0,"",_xlfn.XLOOKUP('PREENCHIMENTO|NÃO-LETIVAS'!A253,PARAMETROS!A:A,PARAMETROS!I:I))</f>
        <v/>
      </c>
      <c r="F253" s="3"/>
      <c r="G253" s="3"/>
      <c r="H253" s="3"/>
      <c r="I253" s="3"/>
      <c r="Y253" s="6">
        <f>_xlfn.XLOOKUP(G:G,PARAMETROS!Y:Y,PARAMETROS!AD:AD)</f>
        <v>0</v>
      </c>
    </row>
    <row r="254" spans="1:25">
      <c r="A254" s="3"/>
      <c r="B254" t="str">
        <f>IF(_xlfn.XLOOKUP(A254,PARAMETROS!A:A,PARAMETROS!B:B)=0,"",_xlfn.XLOOKUP(A254,PARAMETROS!A:A,PARAMETROS!B:B))</f>
        <v/>
      </c>
      <c r="C254" t="str">
        <f>IF(_xlfn.XLOOKUP(A254,PARAMETROS!A:A,PARAMETROS!C:C)=0,"",_xlfn.XLOOKUP(A254,PARAMETROS!A:A,PARAMETROS!C:C))</f>
        <v/>
      </c>
      <c r="D254" t="str">
        <f>IF(_xlfn.XLOOKUP(A254,PARAMETROS!A:A,PARAMETROS!E:E)=0,"",_xlfn.XLOOKUP(A254,PARAMETROS!A:A,PARAMETROS!E:E))</f>
        <v/>
      </c>
      <c r="E254" t="str">
        <f>IF(_xlfn.XLOOKUP('PREENCHIMENTO|NÃO-LETIVAS'!A254,PARAMETROS!A:A,PARAMETROS!I:I)=0,"",_xlfn.XLOOKUP('PREENCHIMENTO|NÃO-LETIVAS'!A254,PARAMETROS!A:A,PARAMETROS!I:I))</f>
        <v/>
      </c>
      <c r="F254" s="3"/>
      <c r="G254" s="3"/>
      <c r="H254" s="3"/>
      <c r="I254" s="3"/>
      <c r="Y254" s="6">
        <f>_xlfn.XLOOKUP(G:G,PARAMETROS!Y:Y,PARAMETROS!AD:AD)</f>
        <v>0</v>
      </c>
    </row>
    <row r="255" spans="1:25">
      <c r="A255" s="3"/>
      <c r="B255" t="str">
        <f>IF(_xlfn.XLOOKUP(A255,PARAMETROS!A:A,PARAMETROS!B:B)=0,"",_xlfn.XLOOKUP(A255,PARAMETROS!A:A,PARAMETROS!B:B))</f>
        <v/>
      </c>
      <c r="C255" t="str">
        <f>IF(_xlfn.XLOOKUP(A255,PARAMETROS!A:A,PARAMETROS!C:C)=0,"",_xlfn.XLOOKUP(A255,PARAMETROS!A:A,PARAMETROS!C:C))</f>
        <v/>
      </c>
      <c r="D255" t="str">
        <f>IF(_xlfn.XLOOKUP(A255,PARAMETROS!A:A,PARAMETROS!E:E)=0,"",_xlfn.XLOOKUP(A255,PARAMETROS!A:A,PARAMETROS!E:E))</f>
        <v/>
      </c>
      <c r="E255" t="str">
        <f>IF(_xlfn.XLOOKUP('PREENCHIMENTO|NÃO-LETIVAS'!A255,PARAMETROS!A:A,PARAMETROS!I:I)=0,"",_xlfn.XLOOKUP('PREENCHIMENTO|NÃO-LETIVAS'!A255,PARAMETROS!A:A,PARAMETROS!I:I))</f>
        <v/>
      </c>
      <c r="F255" s="3"/>
      <c r="G255" s="3"/>
      <c r="H255" s="3"/>
      <c r="I255" s="3"/>
      <c r="Y255" s="6">
        <f>_xlfn.XLOOKUP(G:G,PARAMETROS!Y:Y,PARAMETROS!AD:AD)</f>
        <v>0</v>
      </c>
    </row>
    <row r="256" spans="1:25">
      <c r="A256" s="3"/>
      <c r="B256" t="str">
        <f>IF(_xlfn.XLOOKUP(A256,PARAMETROS!A:A,PARAMETROS!B:B)=0,"",_xlfn.XLOOKUP(A256,PARAMETROS!A:A,PARAMETROS!B:B))</f>
        <v/>
      </c>
      <c r="C256" t="str">
        <f>IF(_xlfn.XLOOKUP(A256,PARAMETROS!A:A,PARAMETROS!C:C)=0,"",_xlfn.XLOOKUP(A256,PARAMETROS!A:A,PARAMETROS!C:C))</f>
        <v/>
      </c>
      <c r="D256" t="str">
        <f>IF(_xlfn.XLOOKUP(A256,PARAMETROS!A:A,PARAMETROS!E:E)=0,"",_xlfn.XLOOKUP(A256,PARAMETROS!A:A,PARAMETROS!E:E))</f>
        <v/>
      </c>
      <c r="E256" t="str">
        <f>IF(_xlfn.XLOOKUP('PREENCHIMENTO|NÃO-LETIVAS'!A256,PARAMETROS!A:A,PARAMETROS!I:I)=0,"",_xlfn.XLOOKUP('PREENCHIMENTO|NÃO-LETIVAS'!A256,PARAMETROS!A:A,PARAMETROS!I:I))</f>
        <v/>
      </c>
      <c r="F256" s="3"/>
      <c r="G256" s="3"/>
      <c r="H256" s="3"/>
      <c r="I256" s="3"/>
      <c r="Y256" s="6">
        <f>_xlfn.XLOOKUP(G:G,PARAMETROS!Y:Y,PARAMETROS!AD:AD)</f>
        <v>0</v>
      </c>
    </row>
    <row r="257" spans="1:25">
      <c r="A257" s="3"/>
      <c r="B257" t="str">
        <f>IF(_xlfn.XLOOKUP(A257,PARAMETROS!A:A,PARAMETROS!B:B)=0,"",_xlfn.XLOOKUP(A257,PARAMETROS!A:A,PARAMETROS!B:B))</f>
        <v/>
      </c>
      <c r="C257" t="str">
        <f>IF(_xlfn.XLOOKUP(A257,PARAMETROS!A:A,PARAMETROS!C:C)=0,"",_xlfn.XLOOKUP(A257,PARAMETROS!A:A,PARAMETROS!C:C))</f>
        <v/>
      </c>
      <c r="D257" t="str">
        <f>IF(_xlfn.XLOOKUP(A257,PARAMETROS!A:A,PARAMETROS!E:E)=0,"",_xlfn.XLOOKUP(A257,PARAMETROS!A:A,PARAMETROS!E:E))</f>
        <v/>
      </c>
      <c r="E257" t="str">
        <f>IF(_xlfn.XLOOKUP('PREENCHIMENTO|NÃO-LETIVAS'!A257,PARAMETROS!A:A,PARAMETROS!I:I)=0,"",_xlfn.XLOOKUP('PREENCHIMENTO|NÃO-LETIVAS'!A257,PARAMETROS!A:A,PARAMETROS!I:I))</f>
        <v/>
      </c>
      <c r="F257" s="3"/>
      <c r="G257" s="3"/>
      <c r="H257" s="3"/>
      <c r="I257" s="3"/>
      <c r="Y257" s="6">
        <f>_xlfn.XLOOKUP(G:G,PARAMETROS!Y:Y,PARAMETROS!AD:AD)</f>
        <v>0</v>
      </c>
    </row>
    <row r="258" spans="1:25">
      <c r="A258" s="3"/>
      <c r="B258" t="str">
        <f>IF(_xlfn.XLOOKUP(A258,PARAMETROS!A:A,PARAMETROS!B:B)=0,"",_xlfn.XLOOKUP(A258,PARAMETROS!A:A,PARAMETROS!B:B))</f>
        <v/>
      </c>
      <c r="C258" t="str">
        <f>IF(_xlfn.XLOOKUP(A258,PARAMETROS!A:A,PARAMETROS!C:C)=0,"",_xlfn.XLOOKUP(A258,PARAMETROS!A:A,PARAMETROS!C:C))</f>
        <v/>
      </c>
      <c r="D258" t="str">
        <f>IF(_xlfn.XLOOKUP(A258,PARAMETROS!A:A,PARAMETROS!E:E)=0,"",_xlfn.XLOOKUP(A258,PARAMETROS!A:A,PARAMETROS!E:E))</f>
        <v/>
      </c>
      <c r="E258" t="str">
        <f>IF(_xlfn.XLOOKUP('PREENCHIMENTO|NÃO-LETIVAS'!A258,PARAMETROS!A:A,PARAMETROS!I:I)=0,"",_xlfn.XLOOKUP('PREENCHIMENTO|NÃO-LETIVAS'!A258,PARAMETROS!A:A,PARAMETROS!I:I))</f>
        <v/>
      </c>
      <c r="F258" s="3"/>
      <c r="G258" s="3"/>
      <c r="H258" s="3"/>
      <c r="I258" s="3"/>
      <c r="Y258" s="6">
        <f>_xlfn.XLOOKUP(G:G,PARAMETROS!Y:Y,PARAMETROS!AD:AD)</f>
        <v>0</v>
      </c>
    </row>
    <row r="259" spans="1:25">
      <c r="A259" s="3"/>
      <c r="B259" t="str">
        <f>IF(_xlfn.XLOOKUP(A259,PARAMETROS!A:A,PARAMETROS!B:B)=0,"",_xlfn.XLOOKUP(A259,PARAMETROS!A:A,PARAMETROS!B:B))</f>
        <v/>
      </c>
      <c r="C259" t="str">
        <f>IF(_xlfn.XLOOKUP(A259,PARAMETROS!A:A,PARAMETROS!C:C)=0,"",_xlfn.XLOOKUP(A259,PARAMETROS!A:A,PARAMETROS!C:C))</f>
        <v/>
      </c>
      <c r="D259" t="str">
        <f>IF(_xlfn.XLOOKUP(A259,PARAMETROS!A:A,PARAMETROS!E:E)=0,"",_xlfn.XLOOKUP(A259,PARAMETROS!A:A,PARAMETROS!E:E))</f>
        <v/>
      </c>
      <c r="E259" t="str">
        <f>IF(_xlfn.XLOOKUP('PREENCHIMENTO|NÃO-LETIVAS'!A259,PARAMETROS!A:A,PARAMETROS!I:I)=0,"",_xlfn.XLOOKUP('PREENCHIMENTO|NÃO-LETIVAS'!A259,PARAMETROS!A:A,PARAMETROS!I:I))</f>
        <v/>
      </c>
      <c r="F259" s="3"/>
      <c r="G259" s="3"/>
      <c r="H259" s="3"/>
      <c r="I259" s="3"/>
      <c r="Y259" s="6">
        <f>_xlfn.XLOOKUP(G:G,PARAMETROS!Y:Y,PARAMETROS!AD:AD)</f>
        <v>0</v>
      </c>
    </row>
    <row r="260" spans="1:25">
      <c r="A260" s="3"/>
      <c r="B260" t="str">
        <f>IF(_xlfn.XLOOKUP(A260,PARAMETROS!A:A,PARAMETROS!B:B)=0,"",_xlfn.XLOOKUP(A260,PARAMETROS!A:A,PARAMETROS!B:B))</f>
        <v/>
      </c>
      <c r="C260" t="str">
        <f>IF(_xlfn.XLOOKUP(A260,PARAMETROS!A:A,PARAMETROS!C:C)=0,"",_xlfn.XLOOKUP(A260,PARAMETROS!A:A,PARAMETROS!C:C))</f>
        <v/>
      </c>
      <c r="D260" t="str">
        <f>IF(_xlfn.XLOOKUP(A260,PARAMETROS!A:A,PARAMETROS!E:E)=0,"",_xlfn.XLOOKUP(A260,PARAMETROS!A:A,PARAMETROS!E:E))</f>
        <v/>
      </c>
      <c r="E260" t="str">
        <f>IF(_xlfn.XLOOKUP('PREENCHIMENTO|NÃO-LETIVAS'!A260,PARAMETROS!A:A,PARAMETROS!I:I)=0,"",_xlfn.XLOOKUP('PREENCHIMENTO|NÃO-LETIVAS'!A260,PARAMETROS!A:A,PARAMETROS!I:I))</f>
        <v/>
      </c>
      <c r="F260" s="3"/>
      <c r="G260" s="3"/>
      <c r="H260" s="3"/>
      <c r="I260" s="3"/>
      <c r="Y260" s="6">
        <f>_xlfn.XLOOKUP(G:G,PARAMETROS!Y:Y,PARAMETROS!AD:AD)</f>
        <v>0</v>
      </c>
    </row>
    <row r="261" spans="1:25">
      <c r="A261" s="3"/>
      <c r="B261" t="str">
        <f>IF(_xlfn.XLOOKUP(A261,PARAMETROS!A:A,PARAMETROS!B:B)=0,"",_xlfn.XLOOKUP(A261,PARAMETROS!A:A,PARAMETROS!B:B))</f>
        <v/>
      </c>
      <c r="C261" t="str">
        <f>IF(_xlfn.XLOOKUP(A261,PARAMETROS!A:A,PARAMETROS!C:C)=0,"",_xlfn.XLOOKUP(A261,PARAMETROS!A:A,PARAMETROS!C:C))</f>
        <v/>
      </c>
      <c r="D261" t="str">
        <f>IF(_xlfn.XLOOKUP(A261,PARAMETROS!A:A,PARAMETROS!E:E)=0,"",_xlfn.XLOOKUP(A261,PARAMETROS!A:A,PARAMETROS!E:E))</f>
        <v/>
      </c>
      <c r="E261" t="str">
        <f>IF(_xlfn.XLOOKUP('PREENCHIMENTO|NÃO-LETIVAS'!A261,PARAMETROS!A:A,PARAMETROS!I:I)=0,"",_xlfn.XLOOKUP('PREENCHIMENTO|NÃO-LETIVAS'!A261,PARAMETROS!A:A,PARAMETROS!I:I))</f>
        <v/>
      </c>
      <c r="F261" s="3"/>
      <c r="G261" s="3"/>
      <c r="H261" s="3"/>
      <c r="I261" s="3"/>
      <c r="Y261" s="6">
        <f>_xlfn.XLOOKUP(G:G,PARAMETROS!Y:Y,PARAMETROS!AD:AD)</f>
        <v>0</v>
      </c>
    </row>
    <row r="262" spans="1:25">
      <c r="A262" s="3"/>
      <c r="B262" t="str">
        <f>IF(_xlfn.XLOOKUP(A262,PARAMETROS!A:A,PARAMETROS!B:B)=0,"",_xlfn.XLOOKUP(A262,PARAMETROS!A:A,PARAMETROS!B:B))</f>
        <v/>
      </c>
      <c r="C262" t="str">
        <f>IF(_xlfn.XLOOKUP(A262,PARAMETROS!A:A,PARAMETROS!C:C)=0,"",_xlfn.XLOOKUP(A262,PARAMETROS!A:A,PARAMETROS!C:C))</f>
        <v/>
      </c>
      <c r="D262" t="str">
        <f>IF(_xlfn.XLOOKUP(A262,PARAMETROS!A:A,PARAMETROS!E:E)=0,"",_xlfn.XLOOKUP(A262,PARAMETROS!A:A,PARAMETROS!E:E))</f>
        <v/>
      </c>
      <c r="E262" t="str">
        <f>IF(_xlfn.XLOOKUP('PREENCHIMENTO|NÃO-LETIVAS'!A262,PARAMETROS!A:A,PARAMETROS!I:I)=0,"",_xlfn.XLOOKUP('PREENCHIMENTO|NÃO-LETIVAS'!A262,PARAMETROS!A:A,PARAMETROS!I:I))</f>
        <v/>
      </c>
      <c r="F262" s="3"/>
      <c r="G262" s="3"/>
      <c r="H262" s="3"/>
      <c r="I262" s="3"/>
      <c r="Y262" s="6">
        <f>_xlfn.XLOOKUP(G:G,PARAMETROS!Y:Y,PARAMETROS!AD:AD)</f>
        <v>0</v>
      </c>
    </row>
    <row r="263" spans="1:25">
      <c r="A263" s="3"/>
      <c r="B263" t="str">
        <f>IF(_xlfn.XLOOKUP(A263,PARAMETROS!A:A,PARAMETROS!B:B)=0,"",_xlfn.XLOOKUP(A263,PARAMETROS!A:A,PARAMETROS!B:B))</f>
        <v/>
      </c>
      <c r="C263" t="str">
        <f>IF(_xlfn.XLOOKUP(A263,PARAMETROS!A:A,PARAMETROS!C:C)=0,"",_xlfn.XLOOKUP(A263,PARAMETROS!A:A,PARAMETROS!C:C))</f>
        <v/>
      </c>
      <c r="D263" t="str">
        <f>IF(_xlfn.XLOOKUP(A263,PARAMETROS!A:A,PARAMETROS!E:E)=0,"",_xlfn.XLOOKUP(A263,PARAMETROS!A:A,PARAMETROS!E:E))</f>
        <v/>
      </c>
      <c r="E263" t="str">
        <f>IF(_xlfn.XLOOKUP('PREENCHIMENTO|NÃO-LETIVAS'!A263,PARAMETROS!A:A,PARAMETROS!I:I)=0,"",_xlfn.XLOOKUP('PREENCHIMENTO|NÃO-LETIVAS'!A263,PARAMETROS!A:A,PARAMETROS!I:I))</f>
        <v/>
      </c>
      <c r="F263" s="3"/>
      <c r="G263" s="3"/>
      <c r="H263" s="3"/>
      <c r="I263" s="3"/>
      <c r="Y263" s="6">
        <f>_xlfn.XLOOKUP(G:G,PARAMETROS!Y:Y,PARAMETROS!AD:AD)</f>
        <v>0</v>
      </c>
    </row>
    <row r="264" spans="1:25">
      <c r="A264" s="3"/>
      <c r="B264" t="str">
        <f>IF(_xlfn.XLOOKUP(A264,PARAMETROS!A:A,PARAMETROS!B:B)=0,"",_xlfn.XLOOKUP(A264,PARAMETROS!A:A,PARAMETROS!B:B))</f>
        <v/>
      </c>
      <c r="C264" t="str">
        <f>IF(_xlfn.XLOOKUP(A264,PARAMETROS!A:A,PARAMETROS!C:C)=0,"",_xlfn.XLOOKUP(A264,PARAMETROS!A:A,PARAMETROS!C:C))</f>
        <v/>
      </c>
      <c r="D264" t="str">
        <f>IF(_xlfn.XLOOKUP(A264,PARAMETROS!A:A,PARAMETROS!E:E)=0,"",_xlfn.XLOOKUP(A264,PARAMETROS!A:A,PARAMETROS!E:E))</f>
        <v/>
      </c>
      <c r="E264" t="str">
        <f>IF(_xlfn.XLOOKUP('PREENCHIMENTO|NÃO-LETIVAS'!A264,PARAMETROS!A:A,PARAMETROS!I:I)=0,"",_xlfn.XLOOKUP('PREENCHIMENTO|NÃO-LETIVAS'!A264,PARAMETROS!A:A,PARAMETROS!I:I))</f>
        <v/>
      </c>
      <c r="F264" s="3"/>
      <c r="G264" s="3"/>
      <c r="H264" s="3"/>
      <c r="I264" s="3"/>
      <c r="Y264" s="6">
        <f>_xlfn.XLOOKUP(G:G,PARAMETROS!Y:Y,PARAMETROS!AD:AD)</f>
        <v>0</v>
      </c>
    </row>
    <row r="265" spans="1:25">
      <c r="A265" s="3"/>
      <c r="B265" t="str">
        <f>IF(_xlfn.XLOOKUP(A265,PARAMETROS!A:A,PARAMETROS!B:B)=0,"",_xlfn.XLOOKUP(A265,PARAMETROS!A:A,PARAMETROS!B:B))</f>
        <v/>
      </c>
      <c r="C265" t="str">
        <f>IF(_xlfn.XLOOKUP(A265,PARAMETROS!A:A,PARAMETROS!C:C)=0,"",_xlfn.XLOOKUP(A265,PARAMETROS!A:A,PARAMETROS!C:C))</f>
        <v/>
      </c>
      <c r="D265" t="str">
        <f>IF(_xlfn.XLOOKUP(A265,PARAMETROS!A:A,PARAMETROS!E:E)=0,"",_xlfn.XLOOKUP(A265,PARAMETROS!A:A,PARAMETROS!E:E))</f>
        <v/>
      </c>
      <c r="E265" t="str">
        <f>IF(_xlfn.XLOOKUP('PREENCHIMENTO|NÃO-LETIVAS'!A265,PARAMETROS!A:A,PARAMETROS!I:I)=0,"",_xlfn.XLOOKUP('PREENCHIMENTO|NÃO-LETIVAS'!A265,PARAMETROS!A:A,PARAMETROS!I:I))</f>
        <v/>
      </c>
      <c r="F265" s="3"/>
      <c r="G265" s="3"/>
      <c r="H265" s="3"/>
      <c r="I265" s="3"/>
      <c r="Y265" s="6">
        <f>_xlfn.XLOOKUP(G:G,PARAMETROS!Y:Y,PARAMETROS!AD:AD)</f>
        <v>0</v>
      </c>
    </row>
    <row r="266" spans="1:25">
      <c r="A266" s="3"/>
      <c r="B266" t="str">
        <f>IF(_xlfn.XLOOKUP(A266,PARAMETROS!A:A,PARAMETROS!B:B)=0,"",_xlfn.XLOOKUP(A266,PARAMETROS!A:A,PARAMETROS!B:B))</f>
        <v/>
      </c>
      <c r="C266" t="str">
        <f>IF(_xlfn.XLOOKUP(A266,PARAMETROS!A:A,PARAMETROS!C:C)=0,"",_xlfn.XLOOKUP(A266,PARAMETROS!A:A,PARAMETROS!C:C))</f>
        <v/>
      </c>
      <c r="D266" t="str">
        <f>IF(_xlfn.XLOOKUP(A266,PARAMETROS!A:A,PARAMETROS!E:E)=0,"",_xlfn.XLOOKUP(A266,PARAMETROS!A:A,PARAMETROS!E:E))</f>
        <v/>
      </c>
      <c r="E266" t="str">
        <f>IF(_xlfn.XLOOKUP('PREENCHIMENTO|NÃO-LETIVAS'!A266,PARAMETROS!A:A,PARAMETROS!I:I)=0,"",_xlfn.XLOOKUP('PREENCHIMENTO|NÃO-LETIVAS'!A266,PARAMETROS!A:A,PARAMETROS!I:I))</f>
        <v/>
      </c>
      <c r="F266" s="3"/>
      <c r="G266" s="3"/>
      <c r="H266" s="3"/>
      <c r="I266" s="3"/>
      <c r="Y266" s="6">
        <f>_xlfn.XLOOKUP(G:G,PARAMETROS!Y:Y,PARAMETROS!AD:AD)</f>
        <v>0</v>
      </c>
    </row>
    <row r="267" spans="1:25">
      <c r="A267" s="3"/>
      <c r="B267" t="str">
        <f>IF(_xlfn.XLOOKUP(A267,PARAMETROS!A:A,PARAMETROS!B:B)=0,"",_xlfn.XLOOKUP(A267,PARAMETROS!A:A,PARAMETROS!B:B))</f>
        <v/>
      </c>
      <c r="C267" t="str">
        <f>IF(_xlfn.XLOOKUP(A267,PARAMETROS!A:A,PARAMETROS!C:C)=0,"",_xlfn.XLOOKUP(A267,PARAMETROS!A:A,PARAMETROS!C:C))</f>
        <v/>
      </c>
      <c r="D267" t="str">
        <f>IF(_xlfn.XLOOKUP(A267,PARAMETROS!A:A,PARAMETROS!E:E)=0,"",_xlfn.XLOOKUP(A267,PARAMETROS!A:A,PARAMETROS!E:E))</f>
        <v/>
      </c>
      <c r="E267" t="str">
        <f>IF(_xlfn.XLOOKUP('PREENCHIMENTO|NÃO-LETIVAS'!A267,PARAMETROS!A:A,PARAMETROS!I:I)=0,"",_xlfn.XLOOKUP('PREENCHIMENTO|NÃO-LETIVAS'!A267,PARAMETROS!A:A,PARAMETROS!I:I))</f>
        <v/>
      </c>
      <c r="F267" s="3"/>
      <c r="G267" s="3"/>
      <c r="H267" s="3"/>
      <c r="I267" s="3"/>
      <c r="Y267" s="6">
        <f>_xlfn.XLOOKUP(G:G,PARAMETROS!Y:Y,PARAMETROS!AD:AD)</f>
        <v>0</v>
      </c>
    </row>
    <row r="268" spans="1:25">
      <c r="A268" s="3"/>
      <c r="B268" t="str">
        <f>IF(_xlfn.XLOOKUP(A268,PARAMETROS!A:A,PARAMETROS!B:B)=0,"",_xlfn.XLOOKUP(A268,PARAMETROS!A:A,PARAMETROS!B:B))</f>
        <v/>
      </c>
      <c r="C268" t="str">
        <f>IF(_xlfn.XLOOKUP(A268,PARAMETROS!A:A,PARAMETROS!C:C)=0,"",_xlfn.XLOOKUP(A268,PARAMETROS!A:A,PARAMETROS!C:C))</f>
        <v/>
      </c>
      <c r="D268" t="str">
        <f>IF(_xlfn.XLOOKUP(A268,PARAMETROS!A:A,PARAMETROS!E:E)=0,"",_xlfn.XLOOKUP(A268,PARAMETROS!A:A,PARAMETROS!E:E))</f>
        <v/>
      </c>
      <c r="E268" t="str">
        <f>IF(_xlfn.XLOOKUP('PREENCHIMENTO|NÃO-LETIVAS'!A268,PARAMETROS!A:A,PARAMETROS!I:I)=0,"",_xlfn.XLOOKUP('PREENCHIMENTO|NÃO-LETIVAS'!A268,PARAMETROS!A:A,PARAMETROS!I:I))</f>
        <v/>
      </c>
      <c r="F268" s="3"/>
      <c r="G268" s="3"/>
      <c r="H268" s="3"/>
      <c r="I268" s="3"/>
      <c r="Y268" s="6">
        <f>_xlfn.XLOOKUP(G:G,PARAMETROS!Y:Y,PARAMETROS!AD:AD)</f>
        <v>0</v>
      </c>
    </row>
    <row r="269" spans="1:25">
      <c r="A269" s="3"/>
      <c r="B269" t="str">
        <f>IF(_xlfn.XLOOKUP(A269,PARAMETROS!A:A,PARAMETROS!B:B)=0,"",_xlfn.XLOOKUP(A269,PARAMETROS!A:A,PARAMETROS!B:B))</f>
        <v/>
      </c>
      <c r="C269" t="str">
        <f>IF(_xlfn.XLOOKUP(A269,PARAMETROS!A:A,PARAMETROS!C:C)=0,"",_xlfn.XLOOKUP(A269,PARAMETROS!A:A,PARAMETROS!C:C))</f>
        <v/>
      </c>
      <c r="D269" t="str">
        <f>IF(_xlfn.XLOOKUP(A269,PARAMETROS!A:A,PARAMETROS!E:E)=0,"",_xlfn.XLOOKUP(A269,PARAMETROS!A:A,PARAMETROS!E:E))</f>
        <v/>
      </c>
      <c r="E269" t="str">
        <f>IF(_xlfn.XLOOKUP('PREENCHIMENTO|NÃO-LETIVAS'!A269,PARAMETROS!A:A,PARAMETROS!I:I)=0,"",_xlfn.XLOOKUP('PREENCHIMENTO|NÃO-LETIVAS'!A269,PARAMETROS!A:A,PARAMETROS!I:I))</f>
        <v/>
      </c>
      <c r="F269" s="3"/>
      <c r="G269" s="3"/>
      <c r="H269" s="3"/>
      <c r="I269" s="3"/>
      <c r="Y269" s="6">
        <f>_xlfn.XLOOKUP(G:G,PARAMETROS!Y:Y,PARAMETROS!AD:AD)</f>
        <v>0</v>
      </c>
    </row>
    <row r="270" spans="1:25">
      <c r="A270" s="3"/>
      <c r="B270" t="str">
        <f>IF(_xlfn.XLOOKUP(A270,PARAMETROS!A:A,PARAMETROS!B:B)=0,"",_xlfn.XLOOKUP(A270,PARAMETROS!A:A,PARAMETROS!B:B))</f>
        <v/>
      </c>
      <c r="C270" t="str">
        <f>IF(_xlfn.XLOOKUP(A270,PARAMETROS!A:A,PARAMETROS!C:C)=0,"",_xlfn.XLOOKUP(A270,PARAMETROS!A:A,PARAMETROS!C:C))</f>
        <v/>
      </c>
      <c r="D270" t="str">
        <f>IF(_xlfn.XLOOKUP(A270,PARAMETROS!A:A,PARAMETROS!E:E)=0,"",_xlfn.XLOOKUP(A270,PARAMETROS!A:A,PARAMETROS!E:E))</f>
        <v/>
      </c>
      <c r="E270" t="str">
        <f>IF(_xlfn.XLOOKUP('PREENCHIMENTO|NÃO-LETIVAS'!A270,PARAMETROS!A:A,PARAMETROS!I:I)=0,"",_xlfn.XLOOKUP('PREENCHIMENTO|NÃO-LETIVAS'!A270,PARAMETROS!A:A,PARAMETROS!I:I))</f>
        <v/>
      </c>
      <c r="F270" s="3"/>
      <c r="G270" s="3"/>
      <c r="H270" s="3"/>
      <c r="I270" s="3"/>
      <c r="Y270" s="6">
        <f>_xlfn.XLOOKUP(G:G,PARAMETROS!Y:Y,PARAMETROS!AD:AD)</f>
        <v>0</v>
      </c>
    </row>
    <row r="271" spans="1:25">
      <c r="A271" s="3"/>
      <c r="B271" t="str">
        <f>IF(_xlfn.XLOOKUP(A271,PARAMETROS!A:A,PARAMETROS!B:B)=0,"",_xlfn.XLOOKUP(A271,PARAMETROS!A:A,PARAMETROS!B:B))</f>
        <v/>
      </c>
      <c r="C271" t="str">
        <f>IF(_xlfn.XLOOKUP(A271,PARAMETROS!A:A,PARAMETROS!C:C)=0,"",_xlfn.XLOOKUP(A271,PARAMETROS!A:A,PARAMETROS!C:C))</f>
        <v/>
      </c>
      <c r="D271" t="str">
        <f>IF(_xlfn.XLOOKUP(A271,PARAMETROS!A:A,PARAMETROS!E:E)=0,"",_xlfn.XLOOKUP(A271,PARAMETROS!A:A,PARAMETROS!E:E))</f>
        <v/>
      </c>
      <c r="E271" t="str">
        <f>IF(_xlfn.XLOOKUP('PREENCHIMENTO|NÃO-LETIVAS'!A271,PARAMETROS!A:A,PARAMETROS!I:I)=0,"",_xlfn.XLOOKUP('PREENCHIMENTO|NÃO-LETIVAS'!A271,PARAMETROS!A:A,PARAMETROS!I:I))</f>
        <v/>
      </c>
      <c r="F271" s="3"/>
      <c r="G271" s="3"/>
      <c r="H271" s="3"/>
      <c r="I271" s="3"/>
      <c r="Y271" s="6">
        <f>_xlfn.XLOOKUP(G:G,PARAMETROS!Y:Y,PARAMETROS!AD:AD)</f>
        <v>0</v>
      </c>
    </row>
    <row r="272" spans="1:25">
      <c r="A272" s="3"/>
      <c r="B272" t="str">
        <f>IF(_xlfn.XLOOKUP(A272,PARAMETROS!A:A,PARAMETROS!B:B)=0,"",_xlfn.XLOOKUP(A272,PARAMETROS!A:A,PARAMETROS!B:B))</f>
        <v/>
      </c>
      <c r="C272" t="str">
        <f>IF(_xlfn.XLOOKUP(A272,PARAMETROS!A:A,PARAMETROS!C:C)=0,"",_xlfn.XLOOKUP(A272,PARAMETROS!A:A,PARAMETROS!C:C))</f>
        <v/>
      </c>
      <c r="D272" t="str">
        <f>IF(_xlfn.XLOOKUP(A272,PARAMETROS!A:A,PARAMETROS!E:E)=0,"",_xlfn.XLOOKUP(A272,PARAMETROS!A:A,PARAMETROS!E:E))</f>
        <v/>
      </c>
      <c r="E272" t="str">
        <f>IF(_xlfn.XLOOKUP('PREENCHIMENTO|NÃO-LETIVAS'!A272,PARAMETROS!A:A,PARAMETROS!I:I)=0,"",_xlfn.XLOOKUP('PREENCHIMENTO|NÃO-LETIVAS'!A272,PARAMETROS!A:A,PARAMETROS!I:I))</f>
        <v/>
      </c>
      <c r="F272" s="3"/>
      <c r="G272" s="3"/>
      <c r="H272" s="3"/>
      <c r="I272" s="3"/>
      <c r="Y272" s="6">
        <f>_xlfn.XLOOKUP(G:G,PARAMETROS!Y:Y,PARAMETROS!AD:AD)</f>
        <v>0</v>
      </c>
    </row>
    <row r="273" spans="1:25">
      <c r="A273" s="3"/>
      <c r="B273" t="str">
        <f>IF(_xlfn.XLOOKUP(A273,PARAMETROS!A:A,PARAMETROS!B:B)=0,"",_xlfn.XLOOKUP(A273,PARAMETROS!A:A,PARAMETROS!B:B))</f>
        <v/>
      </c>
      <c r="C273" t="str">
        <f>IF(_xlfn.XLOOKUP(A273,PARAMETROS!A:A,PARAMETROS!C:C)=0,"",_xlfn.XLOOKUP(A273,PARAMETROS!A:A,PARAMETROS!C:C))</f>
        <v/>
      </c>
      <c r="D273" t="str">
        <f>IF(_xlfn.XLOOKUP(A273,PARAMETROS!A:A,PARAMETROS!E:E)=0,"",_xlfn.XLOOKUP(A273,PARAMETROS!A:A,PARAMETROS!E:E))</f>
        <v/>
      </c>
      <c r="E273" t="str">
        <f>IF(_xlfn.XLOOKUP('PREENCHIMENTO|NÃO-LETIVAS'!A273,PARAMETROS!A:A,PARAMETROS!I:I)=0,"",_xlfn.XLOOKUP('PREENCHIMENTO|NÃO-LETIVAS'!A273,PARAMETROS!A:A,PARAMETROS!I:I))</f>
        <v/>
      </c>
      <c r="F273" s="3"/>
      <c r="G273" s="3"/>
      <c r="H273" s="3"/>
      <c r="I273" s="3"/>
      <c r="Y273" s="6">
        <f>_xlfn.XLOOKUP(G:G,PARAMETROS!Y:Y,PARAMETROS!AD:AD)</f>
        <v>0</v>
      </c>
    </row>
    <row r="274" spans="1:25">
      <c r="A274" s="3"/>
      <c r="B274" t="str">
        <f>IF(_xlfn.XLOOKUP(A274,PARAMETROS!A:A,PARAMETROS!B:B)=0,"",_xlfn.XLOOKUP(A274,PARAMETROS!A:A,PARAMETROS!B:B))</f>
        <v/>
      </c>
      <c r="C274" t="str">
        <f>IF(_xlfn.XLOOKUP(A274,PARAMETROS!A:A,PARAMETROS!C:C)=0,"",_xlfn.XLOOKUP(A274,PARAMETROS!A:A,PARAMETROS!C:C))</f>
        <v/>
      </c>
      <c r="D274" t="str">
        <f>IF(_xlfn.XLOOKUP(A274,PARAMETROS!A:A,PARAMETROS!E:E)=0,"",_xlfn.XLOOKUP(A274,PARAMETROS!A:A,PARAMETROS!E:E))</f>
        <v/>
      </c>
      <c r="E274" t="str">
        <f>IF(_xlfn.XLOOKUP('PREENCHIMENTO|NÃO-LETIVAS'!A274,PARAMETROS!A:A,PARAMETROS!I:I)=0,"",_xlfn.XLOOKUP('PREENCHIMENTO|NÃO-LETIVAS'!A274,PARAMETROS!A:A,PARAMETROS!I:I))</f>
        <v/>
      </c>
      <c r="F274" s="3"/>
      <c r="G274" s="3"/>
      <c r="H274" s="3"/>
      <c r="I274" s="3"/>
      <c r="Y274" s="6">
        <f>_xlfn.XLOOKUP(G:G,PARAMETROS!Y:Y,PARAMETROS!AD:AD)</f>
        <v>0</v>
      </c>
    </row>
    <row r="275" spans="1:25">
      <c r="A275" s="3"/>
      <c r="B275" t="str">
        <f>IF(_xlfn.XLOOKUP(A275,PARAMETROS!A:A,PARAMETROS!B:B)=0,"",_xlfn.XLOOKUP(A275,PARAMETROS!A:A,PARAMETROS!B:B))</f>
        <v/>
      </c>
      <c r="C275" t="str">
        <f>IF(_xlfn.XLOOKUP(A275,PARAMETROS!A:A,PARAMETROS!C:C)=0,"",_xlfn.XLOOKUP(A275,PARAMETROS!A:A,PARAMETROS!C:C))</f>
        <v/>
      </c>
      <c r="D275" t="str">
        <f>IF(_xlfn.XLOOKUP(A275,PARAMETROS!A:A,PARAMETROS!E:E)=0,"",_xlfn.XLOOKUP(A275,PARAMETROS!A:A,PARAMETROS!E:E))</f>
        <v/>
      </c>
      <c r="E275" t="str">
        <f>IF(_xlfn.XLOOKUP('PREENCHIMENTO|NÃO-LETIVAS'!A275,PARAMETROS!A:A,PARAMETROS!I:I)=0,"",_xlfn.XLOOKUP('PREENCHIMENTO|NÃO-LETIVAS'!A275,PARAMETROS!A:A,PARAMETROS!I:I))</f>
        <v/>
      </c>
      <c r="F275" s="3"/>
      <c r="G275" s="3"/>
      <c r="H275" s="3"/>
      <c r="I275" s="3"/>
      <c r="Y275" s="6">
        <f>_xlfn.XLOOKUP(G:G,PARAMETROS!Y:Y,PARAMETROS!AD:AD)</f>
        <v>0</v>
      </c>
    </row>
    <row r="276" spans="1:25">
      <c r="A276" s="3"/>
      <c r="B276" t="str">
        <f>IF(_xlfn.XLOOKUP(A276,PARAMETROS!A:A,PARAMETROS!B:B)=0,"",_xlfn.XLOOKUP(A276,PARAMETROS!A:A,PARAMETROS!B:B))</f>
        <v/>
      </c>
      <c r="C276" t="str">
        <f>IF(_xlfn.XLOOKUP(A276,PARAMETROS!A:A,PARAMETROS!C:C)=0,"",_xlfn.XLOOKUP(A276,PARAMETROS!A:A,PARAMETROS!C:C))</f>
        <v/>
      </c>
      <c r="D276" t="str">
        <f>IF(_xlfn.XLOOKUP(A276,PARAMETROS!A:A,PARAMETROS!E:E)=0,"",_xlfn.XLOOKUP(A276,PARAMETROS!A:A,PARAMETROS!E:E))</f>
        <v/>
      </c>
      <c r="E276" t="str">
        <f>IF(_xlfn.XLOOKUP('PREENCHIMENTO|NÃO-LETIVAS'!A276,PARAMETROS!A:A,PARAMETROS!I:I)=0,"",_xlfn.XLOOKUP('PREENCHIMENTO|NÃO-LETIVAS'!A276,PARAMETROS!A:A,PARAMETROS!I:I))</f>
        <v/>
      </c>
      <c r="F276" s="3"/>
      <c r="G276" s="3"/>
      <c r="H276" s="3"/>
      <c r="I276" s="3"/>
      <c r="Y276" s="6">
        <f>_xlfn.XLOOKUP(G:G,PARAMETROS!Y:Y,PARAMETROS!AD:AD)</f>
        <v>0</v>
      </c>
    </row>
    <row r="277" spans="1:25">
      <c r="A277" s="3"/>
      <c r="B277" t="str">
        <f>IF(_xlfn.XLOOKUP(A277,PARAMETROS!A:A,PARAMETROS!B:B)=0,"",_xlfn.XLOOKUP(A277,PARAMETROS!A:A,PARAMETROS!B:B))</f>
        <v/>
      </c>
      <c r="C277" t="str">
        <f>IF(_xlfn.XLOOKUP(A277,PARAMETROS!A:A,PARAMETROS!C:C)=0,"",_xlfn.XLOOKUP(A277,PARAMETROS!A:A,PARAMETROS!C:C))</f>
        <v/>
      </c>
      <c r="D277" t="str">
        <f>IF(_xlfn.XLOOKUP(A277,PARAMETROS!A:A,PARAMETROS!E:E)=0,"",_xlfn.XLOOKUP(A277,PARAMETROS!A:A,PARAMETROS!E:E))</f>
        <v/>
      </c>
      <c r="E277" t="str">
        <f>IF(_xlfn.XLOOKUP('PREENCHIMENTO|NÃO-LETIVAS'!A277,PARAMETROS!A:A,PARAMETROS!I:I)=0,"",_xlfn.XLOOKUP('PREENCHIMENTO|NÃO-LETIVAS'!A277,PARAMETROS!A:A,PARAMETROS!I:I))</f>
        <v/>
      </c>
      <c r="F277" s="3"/>
      <c r="G277" s="3"/>
      <c r="H277" s="3"/>
      <c r="I277" s="3"/>
      <c r="Y277" s="6">
        <f>_xlfn.XLOOKUP(G:G,PARAMETROS!Y:Y,PARAMETROS!AD:AD)</f>
        <v>0</v>
      </c>
    </row>
    <row r="278" spans="1:25">
      <c r="A278" s="3"/>
      <c r="B278" t="str">
        <f>IF(_xlfn.XLOOKUP(A278,PARAMETROS!A:A,PARAMETROS!B:B)=0,"",_xlfn.XLOOKUP(A278,PARAMETROS!A:A,PARAMETROS!B:B))</f>
        <v/>
      </c>
      <c r="C278" t="str">
        <f>IF(_xlfn.XLOOKUP(A278,PARAMETROS!A:A,PARAMETROS!C:C)=0,"",_xlfn.XLOOKUP(A278,PARAMETROS!A:A,PARAMETROS!C:C))</f>
        <v/>
      </c>
      <c r="D278" t="str">
        <f>IF(_xlfn.XLOOKUP(A278,PARAMETROS!A:A,PARAMETROS!E:E)=0,"",_xlfn.XLOOKUP(A278,PARAMETROS!A:A,PARAMETROS!E:E))</f>
        <v/>
      </c>
      <c r="E278" t="str">
        <f>IF(_xlfn.XLOOKUP('PREENCHIMENTO|NÃO-LETIVAS'!A278,PARAMETROS!A:A,PARAMETROS!I:I)=0,"",_xlfn.XLOOKUP('PREENCHIMENTO|NÃO-LETIVAS'!A278,PARAMETROS!A:A,PARAMETROS!I:I))</f>
        <v/>
      </c>
      <c r="F278" s="3"/>
      <c r="G278" s="3"/>
      <c r="H278" s="3"/>
      <c r="I278" s="3"/>
      <c r="Y278" s="6">
        <f>_xlfn.XLOOKUP(G:G,PARAMETROS!Y:Y,PARAMETROS!AD:AD)</f>
        <v>0</v>
      </c>
    </row>
    <row r="279" spans="1:25">
      <c r="A279" s="3"/>
      <c r="B279" t="str">
        <f>IF(_xlfn.XLOOKUP(A279,PARAMETROS!A:A,PARAMETROS!B:B)=0,"",_xlfn.XLOOKUP(A279,PARAMETROS!A:A,PARAMETROS!B:B))</f>
        <v/>
      </c>
      <c r="C279" t="str">
        <f>IF(_xlfn.XLOOKUP(A279,PARAMETROS!A:A,PARAMETROS!C:C)=0,"",_xlfn.XLOOKUP(A279,PARAMETROS!A:A,PARAMETROS!C:C))</f>
        <v/>
      </c>
      <c r="D279" t="str">
        <f>IF(_xlfn.XLOOKUP(A279,PARAMETROS!A:A,PARAMETROS!E:E)=0,"",_xlfn.XLOOKUP(A279,PARAMETROS!A:A,PARAMETROS!E:E))</f>
        <v/>
      </c>
      <c r="E279" t="str">
        <f>IF(_xlfn.XLOOKUP('PREENCHIMENTO|NÃO-LETIVAS'!A279,PARAMETROS!A:A,PARAMETROS!I:I)=0,"",_xlfn.XLOOKUP('PREENCHIMENTO|NÃO-LETIVAS'!A279,PARAMETROS!A:A,PARAMETROS!I:I))</f>
        <v/>
      </c>
      <c r="F279" s="3"/>
      <c r="G279" s="3"/>
      <c r="H279" s="3"/>
      <c r="I279" s="3"/>
      <c r="Y279" s="6">
        <f>_xlfn.XLOOKUP(G:G,PARAMETROS!Y:Y,PARAMETROS!AD:AD)</f>
        <v>0</v>
      </c>
    </row>
    <row r="280" spans="1:25">
      <c r="A280" s="3"/>
      <c r="B280" t="str">
        <f>IF(_xlfn.XLOOKUP(A280,PARAMETROS!A:A,PARAMETROS!B:B)=0,"",_xlfn.XLOOKUP(A280,PARAMETROS!A:A,PARAMETROS!B:B))</f>
        <v/>
      </c>
      <c r="C280" t="str">
        <f>IF(_xlfn.XLOOKUP(A280,PARAMETROS!A:A,PARAMETROS!C:C)=0,"",_xlfn.XLOOKUP(A280,PARAMETROS!A:A,PARAMETROS!C:C))</f>
        <v/>
      </c>
      <c r="D280" t="str">
        <f>IF(_xlfn.XLOOKUP(A280,PARAMETROS!A:A,PARAMETROS!E:E)=0,"",_xlfn.XLOOKUP(A280,PARAMETROS!A:A,PARAMETROS!E:E))</f>
        <v/>
      </c>
      <c r="E280" t="str">
        <f>IF(_xlfn.XLOOKUP('PREENCHIMENTO|NÃO-LETIVAS'!A280,PARAMETROS!A:A,PARAMETROS!I:I)=0,"",_xlfn.XLOOKUP('PREENCHIMENTO|NÃO-LETIVAS'!A280,PARAMETROS!A:A,PARAMETROS!I:I))</f>
        <v/>
      </c>
      <c r="F280" s="3"/>
      <c r="G280" s="3"/>
      <c r="H280" s="3"/>
      <c r="I280" s="3"/>
      <c r="Y280" s="6">
        <f>_xlfn.XLOOKUP(G:G,PARAMETROS!Y:Y,PARAMETROS!AD:AD)</f>
        <v>0</v>
      </c>
    </row>
    <row r="281" spans="1:25">
      <c r="A281" s="3"/>
      <c r="B281" t="str">
        <f>IF(_xlfn.XLOOKUP(A281,PARAMETROS!A:A,PARAMETROS!B:B)=0,"",_xlfn.XLOOKUP(A281,PARAMETROS!A:A,PARAMETROS!B:B))</f>
        <v/>
      </c>
      <c r="C281" t="str">
        <f>IF(_xlfn.XLOOKUP(A281,PARAMETROS!A:A,PARAMETROS!C:C)=0,"",_xlfn.XLOOKUP(A281,PARAMETROS!A:A,PARAMETROS!C:C))</f>
        <v/>
      </c>
      <c r="D281" t="str">
        <f>IF(_xlfn.XLOOKUP(A281,PARAMETROS!A:A,PARAMETROS!E:E)=0,"",_xlfn.XLOOKUP(A281,PARAMETROS!A:A,PARAMETROS!E:E))</f>
        <v/>
      </c>
      <c r="E281" t="str">
        <f>IF(_xlfn.XLOOKUP('PREENCHIMENTO|NÃO-LETIVAS'!A281,PARAMETROS!A:A,PARAMETROS!I:I)=0,"",_xlfn.XLOOKUP('PREENCHIMENTO|NÃO-LETIVAS'!A281,PARAMETROS!A:A,PARAMETROS!I:I))</f>
        <v/>
      </c>
      <c r="F281" s="3"/>
      <c r="G281" s="3"/>
      <c r="H281" s="3"/>
      <c r="I281" s="3"/>
      <c r="Y281" s="6">
        <f>_xlfn.XLOOKUP(G:G,PARAMETROS!Y:Y,PARAMETROS!AD:AD)</f>
        <v>0</v>
      </c>
    </row>
    <row r="282" spans="1:25">
      <c r="A282" s="3"/>
      <c r="B282" t="str">
        <f>IF(_xlfn.XLOOKUP(A282,PARAMETROS!A:A,PARAMETROS!B:B)=0,"",_xlfn.XLOOKUP(A282,PARAMETROS!A:A,PARAMETROS!B:B))</f>
        <v/>
      </c>
      <c r="C282" t="str">
        <f>IF(_xlfn.XLOOKUP(A282,PARAMETROS!A:A,PARAMETROS!C:C)=0,"",_xlfn.XLOOKUP(A282,PARAMETROS!A:A,PARAMETROS!C:C))</f>
        <v/>
      </c>
      <c r="D282" t="str">
        <f>IF(_xlfn.XLOOKUP(A282,PARAMETROS!A:A,PARAMETROS!E:E)=0,"",_xlfn.XLOOKUP(A282,PARAMETROS!A:A,PARAMETROS!E:E))</f>
        <v/>
      </c>
      <c r="E282" t="str">
        <f>IF(_xlfn.XLOOKUP('PREENCHIMENTO|NÃO-LETIVAS'!A282,PARAMETROS!A:A,PARAMETROS!I:I)=0,"",_xlfn.XLOOKUP('PREENCHIMENTO|NÃO-LETIVAS'!A282,PARAMETROS!A:A,PARAMETROS!I:I))</f>
        <v/>
      </c>
      <c r="F282" s="3"/>
      <c r="G282" s="3"/>
      <c r="H282" s="3"/>
      <c r="I282" s="3"/>
      <c r="Y282" s="6">
        <f>_xlfn.XLOOKUP(G:G,PARAMETROS!Y:Y,PARAMETROS!AD:AD)</f>
        <v>0</v>
      </c>
    </row>
    <row r="283" spans="1:25">
      <c r="A283" s="3"/>
      <c r="B283" t="str">
        <f>IF(_xlfn.XLOOKUP(A283,PARAMETROS!A:A,PARAMETROS!B:B)=0,"",_xlfn.XLOOKUP(A283,PARAMETROS!A:A,PARAMETROS!B:B))</f>
        <v/>
      </c>
      <c r="C283" t="str">
        <f>IF(_xlfn.XLOOKUP(A283,PARAMETROS!A:A,PARAMETROS!C:C)=0,"",_xlfn.XLOOKUP(A283,PARAMETROS!A:A,PARAMETROS!C:C))</f>
        <v/>
      </c>
      <c r="D283" t="str">
        <f>IF(_xlfn.XLOOKUP(A283,PARAMETROS!A:A,PARAMETROS!E:E)=0,"",_xlfn.XLOOKUP(A283,PARAMETROS!A:A,PARAMETROS!E:E))</f>
        <v/>
      </c>
      <c r="E283" t="str">
        <f>IF(_xlfn.XLOOKUP('PREENCHIMENTO|NÃO-LETIVAS'!A283,PARAMETROS!A:A,PARAMETROS!I:I)=0,"",_xlfn.XLOOKUP('PREENCHIMENTO|NÃO-LETIVAS'!A283,PARAMETROS!A:A,PARAMETROS!I:I))</f>
        <v/>
      </c>
      <c r="F283" s="3"/>
      <c r="G283" s="3"/>
      <c r="H283" s="3"/>
      <c r="I283" s="3"/>
      <c r="Y283" s="6">
        <f>_xlfn.XLOOKUP(G:G,PARAMETROS!Y:Y,PARAMETROS!AD:AD)</f>
        <v>0</v>
      </c>
    </row>
    <row r="284" spans="1:25">
      <c r="A284" s="3"/>
      <c r="B284" t="str">
        <f>IF(_xlfn.XLOOKUP(A284,PARAMETROS!A:A,PARAMETROS!B:B)=0,"",_xlfn.XLOOKUP(A284,PARAMETROS!A:A,PARAMETROS!B:B))</f>
        <v/>
      </c>
      <c r="C284" t="str">
        <f>IF(_xlfn.XLOOKUP(A284,PARAMETROS!A:A,PARAMETROS!C:C)=0,"",_xlfn.XLOOKUP(A284,PARAMETROS!A:A,PARAMETROS!C:C))</f>
        <v/>
      </c>
      <c r="D284" t="str">
        <f>IF(_xlfn.XLOOKUP(A284,PARAMETROS!A:A,PARAMETROS!E:E)=0,"",_xlfn.XLOOKUP(A284,PARAMETROS!A:A,PARAMETROS!E:E))</f>
        <v/>
      </c>
      <c r="E284" t="str">
        <f>IF(_xlfn.XLOOKUP('PREENCHIMENTO|NÃO-LETIVAS'!A284,PARAMETROS!A:A,PARAMETROS!I:I)=0,"",_xlfn.XLOOKUP('PREENCHIMENTO|NÃO-LETIVAS'!A284,PARAMETROS!A:A,PARAMETROS!I:I))</f>
        <v/>
      </c>
      <c r="F284" s="3"/>
      <c r="G284" s="3"/>
      <c r="H284" s="3"/>
      <c r="I284" s="3"/>
      <c r="Y284" s="6">
        <f>_xlfn.XLOOKUP(G:G,PARAMETROS!Y:Y,PARAMETROS!AD:AD)</f>
        <v>0</v>
      </c>
    </row>
    <row r="285" spans="1:25">
      <c r="A285" s="3"/>
      <c r="B285" t="str">
        <f>IF(_xlfn.XLOOKUP(A285,PARAMETROS!A:A,PARAMETROS!B:B)=0,"",_xlfn.XLOOKUP(A285,PARAMETROS!A:A,PARAMETROS!B:B))</f>
        <v/>
      </c>
      <c r="C285" t="str">
        <f>IF(_xlfn.XLOOKUP(A285,PARAMETROS!A:A,PARAMETROS!C:C)=0,"",_xlfn.XLOOKUP(A285,PARAMETROS!A:A,PARAMETROS!C:C))</f>
        <v/>
      </c>
      <c r="D285" t="str">
        <f>IF(_xlfn.XLOOKUP(A285,PARAMETROS!A:A,PARAMETROS!E:E)=0,"",_xlfn.XLOOKUP(A285,PARAMETROS!A:A,PARAMETROS!E:E))</f>
        <v/>
      </c>
      <c r="E285" t="str">
        <f>IF(_xlfn.XLOOKUP('PREENCHIMENTO|NÃO-LETIVAS'!A285,PARAMETROS!A:A,PARAMETROS!I:I)=0,"",_xlfn.XLOOKUP('PREENCHIMENTO|NÃO-LETIVAS'!A285,PARAMETROS!A:A,PARAMETROS!I:I))</f>
        <v/>
      </c>
      <c r="F285" s="3"/>
      <c r="G285" s="3"/>
      <c r="H285" s="3"/>
      <c r="I285" s="3"/>
      <c r="Y285" s="6">
        <f>_xlfn.XLOOKUP(G:G,PARAMETROS!Y:Y,PARAMETROS!AD:AD)</f>
        <v>0</v>
      </c>
    </row>
    <row r="286" spans="1:25">
      <c r="A286" s="3"/>
      <c r="B286" t="str">
        <f>IF(_xlfn.XLOOKUP(A286,PARAMETROS!A:A,PARAMETROS!B:B)=0,"",_xlfn.XLOOKUP(A286,PARAMETROS!A:A,PARAMETROS!B:B))</f>
        <v/>
      </c>
      <c r="C286" t="str">
        <f>IF(_xlfn.XLOOKUP(A286,PARAMETROS!A:A,PARAMETROS!C:C)=0,"",_xlfn.XLOOKUP(A286,PARAMETROS!A:A,PARAMETROS!C:C))</f>
        <v/>
      </c>
      <c r="D286" t="str">
        <f>IF(_xlfn.XLOOKUP(A286,PARAMETROS!A:A,PARAMETROS!E:E)=0,"",_xlfn.XLOOKUP(A286,PARAMETROS!A:A,PARAMETROS!E:E))</f>
        <v/>
      </c>
      <c r="E286" t="str">
        <f>IF(_xlfn.XLOOKUP('PREENCHIMENTO|NÃO-LETIVAS'!A286,PARAMETROS!A:A,PARAMETROS!I:I)=0,"",_xlfn.XLOOKUP('PREENCHIMENTO|NÃO-LETIVAS'!A286,PARAMETROS!A:A,PARAMETROS!I:I))</f>
        <v/>
      </c>
      <c r="F286" s="3"/>
      <c r="G286" s="3"/>
      <c r="H286" s="3"/>
      <c r="I286" s="3"/>
      <c r="Y286" s="6">
        <f>_xlfn.XLOOKUP(G:G,PARAMETROS!Y:Y,PARAMETROS!AD:AD)</f>
        <v>0</v>
      </c>
    </row>
    <row r="287" spans="1:25">
      <c r="A287" s="3"/>
      <c r="B287" t="str">
        <f>IF(_xlfn.XLOOKUP(A287,PARAMETROS!A:A,PARAMETROS!B:B)=0,"",_xlfn.XLOOKUP(A287,PARAMETROS!A:A,PARAMETROS!B:B))</f>
        <v/>
      </c>
      <c r="C287" t="str">
        <f>IF(_xlfn.XLOOKUP(A287,PARAMETROS!A:A,PARAMETROS!C:C)=0,"",_xlfn.XLOOKUP(A287,PARAMETROS!A:A,PARAMETROS!C:C))</f>
        <v/>
      </c>
      <c r="D287" t="str">
        <f>IF(_xlfn.XLOOKUP(A287,PARAMETROS!A:A,PARAMETROS!E:E)=0,"",_xlfn.XLOOKUP(A287,PARAMETROS!A:A,PARAMETROS!E:E))</f>
        <v/>
      </c>
      <c r="E287" t="str">
        <f>IF(_xlfn.XLOOKUP('PREENCHIMENTO|NÃO-LETIVAS'!A287,PARAMETROS!A:A,PARAMETROS!I:I)=0,"",_xlfn.XLOOKUP('PREENCHIMENTO|NÃO-LETIVAS'!A287,PARAMETROS!A:A,PARAMETROS!I:I))</f>
        <v/>
      </c>
      <c r="F287" s="3"/>
      <c r="G287" s="3"/>
      <c r="H287" s="3"/>
      <c r="I287" s="3"/>
      <c r="Y287" s="6">
        <f>_xlfn.XLOOKUP(G:G,PARAMETROS!Y:Y,PARAMETROS!AD:AD)</f>
        <v>0</v>
      </c>
    </row>
    <row r="288" spans="1:25">
      <c r="A288" s="3"/>
      <c r="B288" t="str">
        <f>IF(_xlfn.XLOOKUP(A288,PARAMETROS!A:A,PARAMETROS!B:B)=0,"",_xlfn.XLOOKUP(A288,PARAMETROS!A:A,PARAMETROS!B:B))</f>
        <v/>
      </c>
      <c r="C288" t="str">
        <f>IF(_xlfn.XLOOKUP(A288,PARAMETROS!A:A,PARAMETROS!C:C)=0,"",_xlfn.XLOOKUP(A288,PARAMETROS!A:A,PARAMETROS!C:C))</f>
        <v/>
      </c>
      <c r="D288" t="str">
        <f>IF(_xlfn.XLOOKUP(A288,PARAMETROS!A:A,PARAMETROS!E:E)=0,"",_xlfn.XLOOKUP(A288,PARAMETROS!A:A,PARAMETROS!E:E))</f>
        <v/>
      </c>
      <c r="E288" t="str">
        <f>IF(_xlfn.XLOOKUP('PREENCHIMENTO|NÃO-LETIVAS'!A288,PARAMETROS!A:A,PARAMETROS!I:I)=0,"",_xlfn.XLOOKUP('PREENCHIMENTO|NÃO-LETIVAS'!A288,PARAMETROS!A:A,PARAMETROS!I:I))</f>
        <v/>
      </c>
      <c r="F288" s="3"/>
      <c r="G288" s="3"/>
      <c r="H288" s="3"/>
      <c r="I288" s="3"/>
      <c r="Y288" s="6">
        <f>_xlfn.XLOOKUP(G:G,PARAMETROS!Y:Y,PARAMETROS!AD:AD)</f>
        <v>0</v>
      </c>
    </row>
    <row r="289" spans="1:25">
      <c r="A289" s="3"/>
      <c r="B289" t="str">
        <f>IF(_xlfn.XLOOKUP(A289,PARAMETROS!A:A,PARAMETROS!B:B)=0,"",_xlfn.XLOOKUP(A289,PARAMETROS!A:A,PARAMETROS!B:B))</f>
        <v/>
      </c>
      <c r="C289" t="str">
        <f>IF(_xlfn.XLOOKUP(A289,PARAMETROS!A:A,PARAMETROS!C:C)=0,"",_xlfn.XLOOKUP(A289,PARAMETROS!A:A,PARAMETROS!C:C))</f>
        <v/>
      </c>
      <c r="D289" t="str">
        <f>IF(_xlfn.XLOOKUP(A289,PARAMETROS!A:A,PARAMETROS!E:E)=0,"",_xlfn.XLOOKUP(A289,PARAMETROS!A:A,PARAMETROS!E:E))</f>
        <v/>
      </c>
      <c r="E289" t="str">
        <f>IF(_xlfn.XLOOKUP('PREENCHIMENTO|NÃO-LETIVAS'!A289,PARAMETROS!A:A,PARAMETROS!I:I)=0,"",_xlfn.XLOOKUP('PREENCHIMENTO|NÃO-LETIVAS'!A289,PARAMETROS!A:A,PARAMETROS!I:I))</f>
        <v/>
      </c>
      <c r="F289" s="3"/>
      <c r="G289" s="3"/>
      <c r="H289" s="3"/>
      <c r="I289" s="3"/>
      <c r="Y289" s="6">
        <f>_xlfn.XLOOKUP(G:G,PARAMETROS!Y:Y,PARAMETROS!AD:AD)</f>
        <v>0</v>
      </c>
    </row>
    <row r="290" spans="1:25">
      <c r="A290" s="3"/>
      <c r="B290" t="str">
        <f>IF(_xlfn.XLOOKUP(A290,PARAMETROS!A:A,PARAMETROS!B:B)=0,"",_xlfn.XLOOKUP(A290,PARAMETROS!A:A,PARAMETROS!B:B))</f>
        <v/>
      </c>
      <c r="C290" t="str">
        <f>IF(_xlfn.XLOOKUP(A290,PARAMETROS!A:A,PARAMETROS!C:C)=0,"",_xlfn.XLOOKUP(A290,PARAMETROS!A:A,PARAMETROS!C:C))</f>
        <v/>
      </c>
      <c r="D290" t="str">
        <f>IF(_xlfn.XLOOKUP(A290,PARAMETROS!A:A,PARAMETROS!E:E)=0,"",_xlfn.XLOOKUP(A290,PARAMETROS!A:A,PARAMETROS!E:E))</f>
        <v/>
      </c>
      <c r="E290" t="str">
        <f>IF(_xlfn.XLOOKUP('PREENCHIMENTO|NÃO-LETIVAS'!A290,PARAMETROS!A:A,PARAMETROS!I:I)=0,"",_xlfn.XLOOKUP('PREENCHIMENTO|NÃO-LETIVAS'!A290,PARAMETROS!A:A,PARAMETROS!I:I))</f>
        <v/>
      </c>
      <c r="F290" s="3"/>
      <c r="G290" s="3"/>
      <c r="H290" s="3"/>
      <c r="I290" s="3"/>
      <c r="Y290" s="6">
        <f>_xlfn.XLOOKUP(G:G,PARAMETROS!Y:Y,PARAMETROS!AD:AD)</f>
        <v>0</v>
      </c>
    </row>
    <row r="291" spans="1:25">
      <c r="A291" s="3"/>
      <c r="B291" t="str">
        <f>IF(_xlfn.XLOOKUP(A291,PARAMETROS!A:A,PARAMETROS!B:B)=0,"",_xlfn.XLOOKUP(A291,PARAMETROS!A:A,PARAMETROS!B:B))</f>
        <v/>
      </c>
      <c r="C291" t="str">
        <f>IF(_xlfn.XLOOKUP(A291,PARAMETROS!A:A,PARAMETROS!C:C)=0,"",_xlfn.XLOOKUP(A291,PARAMETROS!A:A,PARAMETROS!C:C))</f>
        <v/>
      </c>
      <c r="D291" t="str">
        <f>IF(_xlfn.XLOOKUP(A291,PARAMETROS!A:A,PARAMETROS!E:E)=0,"",_xlfn.XLOOKUP(A291,PARAMETROS!A:A,PARAMETROS!E:E))</f>
        <v/>
      </c>
      <c r="E291" t="str">
        <f>IF(_xlfn.XLOOKUP('PREENCHIMENTO|NÃO-LETIVAS'!A291,PARAMETROS!A:A,PARAMETROS!I:I)=0,"",_xlfn.XLOOKUP('PREENCHIMENTO|NÃO-LETIVAS'!A291,PARAMETROS!A:A,PARAMETROS!I:I))</f>
        <v/>
      </c>
      <c r="F291" s="3"/>
      <c r="G291" s="3"/>
      <c r="H291" s="3"/>
      <c r="I291" s="3"/>
      <c r="Y291" s="6">
        <f>_xlfn.XLOOKUP(G:G,PARAMETROS!Y:Y,PARAMETROS!AD:AD)</f>
        <v>0</v>
      </c>
    </row>
    <row r="292" spans="1:25">
      <c r="A292" s="3"/>
      <c r="B292" t="str">
        <f>IF(_xlfn.XLOOKUP(A292,PARAMETROS!A:A,PARAMETROS!B:B)=0,"",_xlfn.XLOOKUP(A292,PARAMETROS!A:A,PARAMETROS!B:B))</f>
        <v/>
      </c>
      <c r="C292" t="str">
        <f>IF(_xlfn.XLOOKUP(A292,PARAMETROS!A:A,PARAMETROS!C:C)=0,"",_xlfn.XLOOKUP(A292,PARAMETROS!A:A,PARAMETROS!C:C))</f>
        <v/>
      </c>
      <c r="D292" t="str">
        <f>IF(_xlfn.XLOOKUP(A292,PARAMETROS!A:A,PARAMETROS!E:E)=0,"",_xlfn.XLOOKUP(A292,PARAMETROS!A:A,PARAMETROS!E:E))</f>
        <v/>
      </c>
      <c r="E292" t="str">
        <f>IF(_xlfn.XLOOKUP('PREENCHIMENTO|NÃO-LETIVAS'!A292,PARAMETROS!A:A,PARAMETROS!I:I)=0,"",_xlfn.XLOOKUP('PREENCHIMENTO|NÃO-LETIVAS'!A292,PARAMETROS!A:A,PARAMETROS!I:I))</f>
        <v/>
      </c>
      <c r="F292" s="3"/>
      <c r="G292" s="3"/>
      <c r="H292" s="3"/>
      <c r="I292" s="3"/>
      <c r="Y292" s="6">
        <f>_xlfn.XLOOKUP(G:G,PARAMETROS!Y:Y,PARAMETROS!AD:AD)</f>
        <v>0</v>
      </c>
    </row>
    <row r="293" spans="1:25">
      <c r="A293" s="3"/>
      <c r="B293" t="str">
        <f>IF(_xlfn.XLOOKUP(A293,PARAMETROS!A:A,PARAMETROS!B:B)=0,"",_xlfn.XLOOKUP(A293,PARAMETROS!A:A,PARAMETROS!B:B))</f>
        <v/>
      </c>
      <c r="C293" t="str">
        <f>IF(_xlfn.XLOOKUP(A293,PARAMETROS!A:A,PARAMETROS!C:C)=0,"",_xlfn.XLOOKUP(A293,PARAMETROS!A:A,PARAMETROS!C:C))</f>
        <v/>
      </c>
      <c r="D293" t="str">
        <f>IF(_xlfn.XLOOKUP(A293,PARAMETROS!A:A,PARAMETROS!E:E)=0,"",_xlfn.XLOOKUP(A293,PARAMETROS!A:A,PARAMETROS!E:E))</f>
        <v/>
      </c>
      <c r="E293" t="str">
        <f>IF(_xlfn.XLOOKUP('PREENCHIMENTO|NÃO-LETIVAS'!A293,PARAMETROS!A:A,PARAMETROS!I:I)=0,"",_xlfn.XLOOKUP('PREENCHIMENTO|NÃO-LETIVAS'!A293,PARAMETROS!A:A,PARAMETROS!I:I))</f>
        <v/>
      </c>
      <c r="F293" s="3"/>
      <c r="G293" s="3"/>
      <c r="H293" s="3"/>
      <c r="I293" s="3"/>
      <c r="Y293" s="6">
        <f>_xlfn.XLOOKUP(G:G,PARAMETROS!Y:Y,PARAMETROS!AD:AD)</f>
        <v>0</v>
      </c>
    </row>
    <row r="294" spans="1:25">
      <c r="A294" s="3"/>
      <c r="B294" t="str">
        <f>IF(_xlfn.XLOOKUP(A294,PARAMETROS!A:A,PARAMETROS!B:B)=0,"",_xlfn.XLOOKUP(A294,PARAMETROS!A:A,PARAMETROS!B:B))</f>
        <v/>
      </c>
      <c r="C294" t="str">
        <f>IF(_xlfn.XLOOKUP(A294,PARAMETROS!A:A,PARAMETROS!C:C)=0,"",_xlfn.XLOOKUP(A294,PARAMETROS!A:A,PARAMETROS!C:C))</f>
        <v/>
      </c>
      <c r="D294" t="str">
        <f>IF(_xlfn.XLOOKUP(A294,PARAMETROS!A:A,PARAMETROS!E:E)=0,"",_xlfn.XLOOKUP(A294,PARAMETROS!A:A,PARAMETROS!E:E))</f>
        <v/>
      </c>
      <c r="E294" t="str">
        <f>IF(_xlfn.XLOOKUP('PREENCHIMENTO|NÃO-LETIVAS'!A294,PARAMETROS!A:A,PARAMETROS!I:I)=0,"",_xlfn.XLOOKUP('PREENCHIMENTO|NÃO-LETIVAS'!A294,PARAMETROS!A:A,PARAMETROS!I:I))</f>
        <v/>
      </c>
      <c r="F294" s="3"/>
      <c r="G294" s="3"/>
      <c r="H294" s="3"/>
      <c r="I294" s="3"/>
      <c r="Y294" s="6">
        <f>_xlfn.XLOOKUP(G:G,PARAMETROS!Y:Y,PARAMETROS!AD:AD)</f>
        <v>0</v>
      </c>
    </row>
    <row r="295" spans="1:25">
      <c r="A295" s="3"/>
      <c r="B295" t="str">
        <f>IF(_xlfn.XLOOKUP(A295,PARAMETROS!A:A,PARAMETROS!B:B)=0,"",_xlfn.XLOOKUP(A295,PARAMETROS!A:A,PARAMETROS!B:B))</f>
        <v/>
      </c>
      <c r="C295" t="str">
        <f>IF(_xlfn.XLOOKUP(A295,PARAMETROS!A:A,PARAMETROS!C:C)=0,"",_xlfn.XLOOKUP(A295,PARAMETROS!A:A,PARAMETROS!C:C))</f>
        <v/>
      </c>
      <c r="D295" t="str">
        <f>IF(_xlfn.XLOOKUP(A295,PARAMETROS!A:A,PARAMETROS!E:E)=0,"",_xlfn.XLOOKUP(A295,PARAMETROS!A:A,PARAMETROS!E:E))</f>
        <v/>
      </c>
      <c r="E295" t="str">
        <f>IF(_xlfn.XLOOKUP('PREENCHIMENTO|NÃO-LETIVAS'!A295,PARAMETROS!A:A,PARAMETROS!I:I)=0,"",_xlfn.XLOOKUP('PREENCHIMENTO|NÃO-LETIVAS'!A295,PARAMETROS!A:A,PARAMETROS!I:I))</f>
        <v/>
      </c>
      <c r="F295" s="3"/>
      <c r="G295" s="3"/>
      <c r="H295" s="3"/>
      <c r="I295" s="3"/>
      <c r="Y295" s="6">
        <f>_xlfn.XLOOKUP(G:G,PARAMETROS!Y:Y,PARAMETROS!AD:AD)</f>
        <v>0</v>
      </c>
    </row>
    <row r="296" spans="1:25">
      <c r="A296" s="3"/>
      <c r="B296" t="str">
        <f>IF(_xlfn.XLOOKUP(A296,PARAMETROS!A:A,PARAMETROS!B:B)=0,"",_xlfn.XLOOKUP(A296,PARAMETROS!A:A,PARAMETROS!B:B))</f>
        <v/>
      </c>
      <c r="C296" t="str">
        <f>IF(_xlfn.XLOOKUP(A296,PARAMETROS!A:A,PARAMETROS!C:C)=0,"",_xlfn.XLOOKUP(A296,PARAMETROS!A:A,PARAMETROS!C:C))</f>
        <v/>
      </c>
      <c r="D296" t="str">
        <f>IF(_xlfn.XLOOKUP(A296,PARAMETROS!A:A,PARAMETROS!E:E)=0,"",_xlfn.XLOOKUP(A296,PARAMETROS!A:A,PARAMETROS!E:E))</f>
        <v/>
      </c>
      <c r="E296" t="str">
        <f>IF(_xlfn.XLOOKUP('PREENCHIMENTO|NÃO-LETIVAS'!A296,PARAMETROS!A:A,PARAMETROS!I:I)=0,"",_xlfn.XLOOKUP('PREENCHIMENTO|NÃO-LETIVAS'!A296,PARAMETROS!A:A,PARAMETROS!I:I))</f>
        <v/>
      </c>
      <c r="F296" s="3"/>
      <c r="G296" s="3"/>
      <c r="H296" s="3"/>
      <c r="I296" s="3"/>
      <c r="Y296" s="6">
        <f>_xlfn.XLOOKUP(G:G,PARAMETROS!Y:Y,PARAMETROS!AD:AD)</f>
        <v>0</v>
      </c>
    </row>
    <row r="297" spans="1:25">
      <c r="A297" s="3"/>
      <c r="B297" t="str">
        <f>IF(_xlfn.XLOOKUP(A297,PARAMETROS!A:A,PARAMETROS!B:B)=0,"",_xlfn.XLOOKUP(A297,PARAMETROS!A:A,PARAMETROS!B:B))</f>
        <v/>
      </c>
      <c r="C297" t="str">
        <f>IF(_xlfn.XLOOKUP(A297,PARAMETROS!A:A,PARAMETROS!C:C)=0,"",_xlfn.XLOOKUP(A297,PARAMETROS!A:A,PARAMETROS!C:C))</f>
        <v/>
      </c>
      <c r="D297" t="str">
        <f>IF(_xlfn.XLOOKUP(A297,PARAMETROS!A:A,PARAMETROS!E:E)=0,"",_xlfn.XLOOKUP(A297,PARAMETROS!A:A,PARAMETROS!E:E))</f>
        <v/>
      </c>
      <c r="E297" t="str">
        <f>IF(_xlfn.XLOOKUP('PREENCHIMENTO|NÃO-LETIVAS'!A297,PARAMETROS!A:A,PARAMETROS!I:I)=0,"",_xlfn.XLOOKUP('PREENCHIMENTO|NÃO-LETIVAS'!A297,PARAMETROS!A:A,PARAMETROS!I:I))</f>
        <v/>
      </c>
      <c r="F297" s="3"/>
      <c r="G297" s="3"/>
      <c r="H297" s="3"/>
      <c r="I297" s="3"/>
      <c r="Y297" s="6">
        <f>_xlfn.XLOOKUP(G:G,PARAMETROS!Y:Y,PARAMETROS!AD:AD)</f>
        <v>0</v>
      </c>
    </row>
    <row r="298" spans="1:25">
      <c r="A298" s="3"/>
      <c r="B298" t="str">
        <f>IF(_xlfn.XLOOKUP(A298,PARAMETROS!A:A,PARAMETROS!B:B)=0,"",_xlfn.XLOOKUP(A298,PARAMETROS!A:A,PARAMETROS!B:B))</f>
        <v/>
      </c>
      <c r="C298" t="str">
        <f>IF(_xlfn.XLOOKUP(A298,PARAMETROS!A:A,PARAMETROS!C:C)=0,"",_xlfn.XLOOKUP(A298,PARAMETROS!A:A,PARAMETROS!C:C))</f>
        <v/>
      </c>
      <c r="D298" t="str">
        <f>IF(_xlfn.XLOOKUP(A298,PARAMETROS!A:A,PARAMETROS!E:E)=0,"",_xlfn.XLOOKUP(A298,PARAMETROS!A:A,PARAMETROS!E:E))</f>
        <v/>
      </c>
      <c r="E298" t="str">
        <f>IF(_xlfn.XLOOKUP('PREENCHIMENTO|NÃO-LETIVAS'!A298,PARAMETROS!A:A,PARAMETROS!I:I)=0,"",_xlfn.XLOOKUP('PREENCHIMENTO|NÃO-LETIVAS'!A298,PARAMETROS!A:A,PARAMETROS!I:I))</f>
        <v/>
      </c>
      <c r="F298" s="3"/>
      <c r="G298" s="3"/>
      <c r="H298" s="3"/>
      <c r="I298" s="3"/>
      <c r="Y298" s="6">
        <f>_xlfn.XLOOKUP(G:G,PARAMETROS!Y:Y,PARAMETROS!AD:AD)</f>
        <v>0</v>
      </c>
    </row>
    <row r="299" spans="1:25">
      <c r="A299" s="3"/>
      <c r="B299" t="str">
        <f>IF(_xlfn.XLOOKUP(A299,PARAMETROS!A:A,PARAMETROS!B:B)=0,"",_xlfn.XLOOKUP(A299,PARAMETROS!A:A,PARAMETROS!B:B))</f>
        <v/>
      </c>
      <c r="C299" t="str">
        <f>IF(_xlfn.XLOOKUP(A299,PARAMETROS!A:A,PARAMETROS!C:C)=0,"",_xlfn.XLOOKUP(A299,PARAMETROS!A:A,PARAMETROS!C:C))</f>
        <v/>
      </c>
      <c r="D299" t="str">
        <f>IF(_xlfn.XLOOKUP(A299,PARAMETROS!A:A,PARAMETROS!E:E)=0,"",_xlfn.XLOOKUP(A299,PARAMETROS!A:A,PARAMETROS!E:E))</f>
        <v/>
      </c>
      <c r="E299" t="str">
        <f>IF(_xlfn.XLOOKUP('PREENCHIMENTO|NÃO-LETIVAS'!A299,PARAMETROS!A:A,PARAMETROS!I:I)=0,"",_xlfn.XLOOKUP('PREENCHIMENTO|NÃO-LETIVAS'!A299,PARAMETROS!A:A,PARAMETROS!I:I))</f>
        <v/>
      </c>
      <c r="F299" s="3"/>
      <c r="G299" s="3"/>
      <c r="H299" s="3"/>
      <c r="I299" s="3"/>
      <c r="Y299" s="6">
        <f>_xlfn.XLOOKUP(G:G,PARAMETROS!Y:Y,PARAMETROS!AD:AD)</f>
        <v>0</v>
      </c>
    </row>
    <row r="300" spans="1:25">
      <c r="A300" s="3"/>
      <c r="B300" t="str">
        <f>IF(_xlfn.XLOOKUP(A300,PARAMETROS!A:A,PARAMETROS!B:B)=0,"",_xlfn.XLOOKUP(A300,PARAMETROS!A:A,PARAMETROS!B:B))</f>
        <v/>
      </c>
      <c r="C300" t="str">
        <f>IF(_xlfn.XLOOKUP(A300,PARAMETROS!A:A,PARAMETROS!C:C)=0,"",_xlfn.XLOOKUP(A300,PARAMETROS!A:A,PARAMETROS!C:C))</f>
        <v/>
      </c>
      <c r="D300" t="str">
        <f>IF(_xlfn.XLOOKUP(A300,PARAMETROS!A:A,PARAMETROS!E:E)=0,"",_xlfn.XLOOKUP(A300,PARAMETROS!A:A,PARAMETROS!E:E))</f>
        <v/>
      </c>
      <c r="E300" t="str">
        <f>IF(_xlfn.XLOOKUP('PREENCHIMENTO|NÃO-LETIVAS'!A300,PARAMETROS!A:A,PARAMETROS!I:I)=0,"",_xlfn.XLOOKUP('PREENCHIMENTO|NÃO-LETIVAS'!A300,PARAMETROS!A:A,PARAMETROS!I:I))</f>
        <v/>
      </c>
      <c r="F300" s="3"/>
      <c r="G300" s="3"/>
      <c r="H300" s="3"/>
      <c r="I300" s="3"/>
      <c r="Y300" s="6">
        <f>_xlfn.XLOOKUP(G:G,PARAMETROS!Y:Y,PARAMETROS!AD:AD)</f>
        <v>0</v>
      </c>
    </row>
    <row r="301" spans="1:25">
      <c r="A301" s="3"/>
      <c r="B301" t="str">
        <f>IF(_xlfn.XLOOKUP(A301,PARAMETROS!A:A,PARAMETROS!B:B)=0,"",_xlfn.XLOOKUP(A301,PARAMETROS!A:A,PARAMETROS!B:B))</f>
        <v/>
      </c>
      <c r="C301" t="str">
        <f>IF(_xlfn.XLOOKUP(A301,PARAMETROS!A:A,PARAMETROS!C:C)=0,"",_xlfn.XLOOKUP(A301,PARAMETROS!A:A,PARAMETROS!C:C))</f>
        <v/>
      </c>
      <c r="D301" t="str">
        <f>IF(_xlfn.XLOOKUP(A301,PARAMETROS!A:A,PARAMETROS!E:E)=0,"",_xlfn.XLOOKUP(A301,PARAMETROS!A:A,PARAMETROS!E:E))</f>
        <v/>
      </c>
      <c r="E301" t="str">
        <f>IF(_xlfn.XLOOKUP('PREENCHIMENTO|NÃO-LETIVAS'!A301,PARAMETROS!A:A,PARAMETROS!I:I)=0,"",_xlfn.XLOOKUP('PREENCHIMENTO|NÃO-LETIVAS'!A301,PARAMETROS!A:A,PARAMETROS!I:I))</f>
        <v/>
      </c>
      <c r="F301" s="3"/>
      <c r="G301" s="3"/>
      <c r="H301" s="3"/>
      <c r="I301" s="3"/>
      <c r="Y301" s="6">
        <f>_xlfn.XLOOKUP(G:G,PARAMETROS!Y:Y,PARAMETROS!AD:AD)</f>
        <v>0</v>
      </c>
    </row>
    <row r="302" spans="1:25">
      <c r="A302" s="3"/>
      <c r="B302" t="str">
        <f>IF(_xlfn.XLOOKUP(A302,PARAMETROS!A:A,PARAMETROS!B:B)=0,"",_xlfn.XLOOKUP(A302,PARAMETROS!A:A,PARAMETROS!B:B))</f>
        <v/>
      </c>
      <c r="C302" t="str">
        <f>IF(_xlfn.XLOOKUP(A302,PARAMETROS!A:A,PARAMETROS!C:C)=0,"",_xlfn.XLOOKUP(A302,PARAMETROS!A:A,PARAMETROS!C:C))</f>
        <v/>
      </c>
      <c r="D302" t="str">
        <f>IF(_xlfn.XLOOKUP(A302,PARAMETROS!A:A,PARAMETROS!E:E)=0,"",_xlfn.XLOOKUP(A302,PARAMETROS!A:A,PARAMETROS!E:E))</f>
        <v/>
      </c>
      <c r="E302" t="str">
        <f>IF(_xlfn.XLOOKUP('PREENCHIMENTO|NÃO-LETIVAS'!A302,PARAMETROS!A:A,PARAMETROS!I:I)=0,"",_xlfn.XLOOKUP('PREENCHIMENTO|NÃO-LETIVAS'!A302,PARAMETROS!A:A,PARAMETROS!I:I))</f>
        <v/>
      </c>
      <c r="F302" s="3"/>
      <c r="G302" s="3"/>
      <c r="H302" s="3"/>
      <c r="I302" s="3"/>
      <c r="Y302" s="6">
        <f>_xlfn.XLOOKUP(G:G,PARAMETROS!Y:Y,PARAMETROS!AD:AD)</f>
        <v>0</v>
      </c>
    </row>
    <row r="303" spans="1:25">
      <c r="A303" s="3"/>
      <c r="B303" t="str">
        <f>IF(_xlfn.XLOOKUP(A303,PARAMETROS!A:A,PARAMETROS!B:B)=0,"",_xlfn.XLOOKUP(A303,PARAMETROS!A:A,PARAMETROS!B:B))</f>
        <v/>
      </c>
      <c r="C303" t="str">
        <f>IF(_xlfn.XLOOKUP(A303,PARAMETROS!A:A,PARAMETROS!C:C)=0,"",_xlfn.XLOOKUP(A303,PARAMETROS!A:A,PARAMETROS!C:C))</f>
        <v/>
      </c>
      <c r="D303" t="str">
        <f>IF(_xlfn.XLOOKUP(A303,PARAMETROS!A:A,PARAMETROS!E:E)=0,"",_xlfn.XLOOKUP(A303,PARAMETROS!A:A,PARAMETROS!E:E))</f>
        <v/>
      </c>
      <c r="E303" t="str">
        <f>IF(_xlfn.XLOOKUP('PREENCHIMENTO|NÃO-LETIVAS'!A303,PARAMETROS!A:A,PARAMETROS!I:I)=0,"",_xlfn.XLOOKUP('PREENCHIMENTO|NÃO-LETIVAS'!A303,PARAMETROS!A:A,PARAMETROS!I:I))</f>
        <v/>
      </c>
      <c r="F303" s="3"/>
      <c r="G303" s="3"/>
      <c r="H303" s="3"/>
      <c r="I303" s="3"/>
      <c r="Y303" s="6">
        <f>_xlfn.XLOOKUP(G:G,PARAMETROS!Y:Y,PARAMETROS!AD:AD)</f>
        <v>0</v>
      </c>
    </row>
    <row r="304" spans="1:25">
      <c r="A304" s="3"/>
      <c r="B304" t="str">
        <f>IF(_xlfn.XLOOKUP(A304,PARAMETROS!A:A,PARAMETROS!B:B)=0,"",_xlfn.XLOOKUP(A304,PARAMETROS!A:A,PARAMETROS!B:B))</f>
        <v/>
      </c>
      <c r="C304" t="str">
        <f>IF(_xlfn.XLOOKUP(A304,PARAMETROS!A:A,PARAMETROS!C:C)=0,"",_xlfn.XLOOKUP(A304,PARAMETROS!A:A,PARAMETROS!C:C))</f>
        <v/>
      </c>
      <c r="D304" t="str">
        <f>IF(_xlfn.XLOOKUP(A304,PARAMETROS!A:A,PARAMETROS!E:E)=0,"",_xlfn.XLOOKUP(A304,PARAMETROS!A:A,PARAMETROS!E:E))</f>
        <v/>
      </c>
      <c r="E304" t="str">
        <f>IF(_xlfn.XLOOKUP('PREENCHIMENTO|NÃO-LETIVAS'!A304,PARAMETROS!A:A,PARAMETROS!I:I)=0,"",_xlfn.XLOOKUP('PREENCHIMENTO|NÃO-LETIVAS'!A304,PARAMETROS!A:A,PARAMETROS!I:I))</f>
        <v/>
      </c>
      <c r="F304" s="3"/>
      <c r="G304" s="3"/>
      <c r="H304" s="3"/>
      <c r="I304" s="3"/>
      <c r="Y304" s="6">
        <f>_xlfn.XLOOKUP(G:G,PARAMETROS!Y:Y,PARAMETROS!AD:AD)</f>
        <v>0</v>
      </c>
    </row>
    <row r="305" spans="1:25">
      <c r="A305" s="3"/>
      <c r="B305" t="str">
        <f>IF(_xlfn.XLOOKUP(A305,PARAMETROS!A:A,PARAMETROS!B:B)=0,"",_xlfn.XLOOKUP(A305,PARAMETROS!A:A,PARAMETROS!B:B))</f>
        <v/>
      </c>
      <c r="C305" t="str">
        <f>IF(_xlfn.XLOOKUP(A305,PARAMETROS!A:A,PARAMETROS!C:C)=0,"",_xlfn.XLOOKUP(A305,PARAMETROS!A:A,PARAMETROS!C:C))</f>
        <v/>
      </c>
      <c r="D305" t="str">
        <f>IF(_xlfn.XLOOKUP(A305,PARAMETROS!A:A,PARAMETROS!E:E)=0,"",_xlfn.XLOOKUP(A305,PARAMETROS!A:A,PARAMETROS!E:E))</f>
        <v/>
      </c>
      <c r="E305" t="str">
        <f>IF(_xlfn.XLOOKUP('PREENCHIMENTO|NÃO-LETIVAS'!A305,PARAMETROS!A:A,PARAMETROS!I:I)=0,"",_xlfn.XLOOKUP('PREENCHIMENTO|NÃO-LETIVAS'!A305,PARAMETROS!A:A,PARAMETROS!I:I))</f>
        <v/>
      </c>
      <c r="F305" s="3"/>
      <c r="G305" s="3"/>
      <c r="H305" s="3"/>
      <c r="I305" s="3"/>
      <c r="Y305" s="6">
        <f>_xlfn.XLOOKUP(G:G,PARAMETROS!Y:Y,PARAMETROS!AD:AD)</f>
        <v>0</v>
      </c>
    </row>
    <row r="306" spans="1:25">
      <c r="A306" s="3"/>
      <c r="B306" t="str">
        <f>IF(_xlfn.XLOOKUP(A306,PARAMETROS!A:A,PARAMETROS!B:B)=0,"",_xlfn.XLOOKUP(A306,PARAMETROS!A:A,PARAMETROS!B:B))</f>
        <v/>
      </c>
      <c r="C306" t="str">
        <f>IF(_xlfn.XLOOKUP(A306,PARAMETROS!A:A,PARAMETROS!C:C)=0,"",_xlfn.XLOOKUP(A306,PARAMETROS!A:A,PARAMETROS!C:C))</f>
        <v/>
      </c>
      <c r="D306" t="str">
        <f>IF(_xlfn.XLOOKUP(A306,PARAMETROS!A:A,PARAMETROS!E:E)=0,"",_xlfn.XLOOKUP(A306,PARAMETROS!A:A,PARAMETROS!E:E))</f>
        <v/>
      </c>
      <c r="E306" t="str">
        <f>IF(_xlfn.XLOOKUP('PREENCHIMENTO|NÃO-LETIVAS'!A306,PARAMETROS!A:A,PARAMETROS!I:I)=0,"",_xlfn.XLOOKUP('PREENCHIMENTO|NÃO-LETIVAS'!A306,PARAMETROS!A:A,PARAMETROS!I:I))</f>
        <v/>
      </c>
      <c r="F306" s="3"/>
      <c r="G306" s="3"/>
      <c r="H306" s="3"/>
      <c r="I306" s="3"/>
      <c r="Y306" s="6">
        <f>_xlfn.XLOOKUP(G:G,PARAMETROS!Y:Y,PARAMETROS!AD:AD)</f>
        <v>0</v>
      </c>
    </row>
    <row r="307" spans="1:25">
      <c r="A307" s="3"/>
      <c r="B307" t="str">
        <f>IF(_xlfn.XLOOKUP(A307,PARAMETROS!A:A,PARAMETROS!B:B)=0,"",_xlfn.XLOOKUP(A307,PARAMETROS!A:A,PARAMETROS!B:B))</f>
        <v/>
      </c>
      <c r="C307" t="str">
        <f>IF(_xlfn.XLOOKUP(A307,PARAMETROS!A:A,PARAMETROS!C:C)=0,"",_xlfn.XLOOKUP(A307,PARAMETROS!A:A,PARAMETROS!C:C))</f>
        <v/>
      </c>
      <c r="D307" t="str">
        <f>IF(_xlfn.XLOOKUP(A307,PARAMETROS!A:A,PARAMETROS!E:E)=0,"",_xlfn.XLOOKUP(A307,PARAMETROS!A:A,PARAMETROS!E:E))</f>
        <v/>
      </c>
      <c r="E307" t="str">
        <f>IF(_xlfn.XLOOKUP('PREENCHIMENTO|NÃO-LETIVAS'!A307,PARAMETROS!A:A,PARAMETROS!I:I)=0,"",_xlfn.XLOOKUP('PREENCHIMENTO|NÃO-LETIVAS'!A307,PARAMETROS!A:A,PARAMETROS!I:I))</f>
        <v/>
      </c>
      <c r="F307" s="3"/>
      <c r="G307" s="3"/>
      <c r="H307" s="3"/>
      <c r="I307" s="3"/>
      <c r="Y307" s="6">
        <f>_xlfn.XLOOKUP(G:G,PARAMETROS!Y:Y,PARAMETROS!AD:AD)</f>
        <v>0</v>
      </c>
    </row>
    <row r="308" spans="1:25">
      <c r="A308" s="3"/>
      <c r="B308" t="str">
        <f>IF(_xlfn.XLOOKUP(A308,PARAMETROS!A:A,PARAMETROS!B:B)=0,"",_xlfn.XLOOKUP(A308,PARAMETROS!A:A,PARAMETROS!B:B))</f>
        <v/>
      </c>
      <c r="C308" t="str">
        <f>IF(_xlfn.XLOOKUP(A308,PARAMETROS!A:A,PARAMETROS!C:C)=0,"",_xlfn.XLOOKUP(A308,PARAMETROS!A:A,PARAMETROS!C:C))</f>
        <v/>
      </c>
      <c r="D308" t="str">
        <f>IF(_xlfn.XLOOKUP(A308,PARAMETROS!A:A,PARAMETROS!E:E)=0,"",_xlfn.XLOOKUP(A308,PARAMETROS!A:A,PARAMETROS!E:E))</f>
        <v/>
      </c>
      <c r="E308" t="str">
        <f>IF(_xlfn.XLOOKUP('PREENCHIMENTO|NÃO-LETIVAS'!A308,PARAMETROS!A:A,PARAMETROS!I:I)=0,"",_xlfn.XLOOKUP('PREENCHIMENTO|NÃO-LETIVAS'!A308,PARAMETROS!A:A,PARAMETROS!I:I))</f>
        <v/>
      </c>
      <c r="F308" s="3"/>
      <c r="G308" s="3"/>
      <c r="H308" s="3"/>
      <c r="I308" s="3"/>
      <c r="Y308" s="6">
        <f>_xlfn.XLOOKUP(G:G,PARAMETROS!Y:Y,PARAMETROS!AD:AD)</f>
        <v>0</v>
      </c>
    </row>
    <row r="309" spans="1:25">
      <c r="A309" s="3"/>
      <c r="B309" t="str">
        <f>IF(_xlfn.XLOOKUP(A309,PARAMETROS!A:A,PARAMETROS!B:B)=0,"",_xlfn.XLOOKUP(A309,PARAMETROS!A:A,PARAMETROS!B:B))</f>
        <v/>
      </c>
      <c r="C309" t="str">
        <f>IF(_xlfn.XLOOKUP(A309,PARAMETROS!A:A,PARAMETROS!C:C)=0,"",_xlfn.XLOOKUP(A309,PARAMETROS!A:A,PARAMETROS!C:C))</f>
        <v/>
      </c>
      <c r="D309" t="str">
        <f>IF(_xlfn.XLOOKUP(A309,PARAMETROS!A:A,PARAMETROS!E:E)=0,"",_xlfn.XLOOKUP(A309,PARAMETROS!A:A,PARAMETROS!E:E))</f>
        <v/>
      </c>
      <c r="E309" t="str">
        <f>IF(_xlfn.XLOOKUP('PREENCHIMENTO|NÃO-LETIVAS'!A309,PARAMETROS!A:A,PARAMETROS!I:I)=0,"",_xlfn.XLOOKUP('PREENCHIMENTO|NÃO-LETIVAS'!A309,PARAMETROS!A:A,PARAMETROS!I:I))</f>
        <v/>
      </c>
      <c r="F309" s="3"/>
      <c r="G309" s="3"/>
      <c r="H309" s="3"/>
      <c r="I309" s="3"/>
      <c r="Y309" s="6">
        <f>_xlfn.XLOOKUP(G:G,PARAMETROS!Y:Y,PARAMETROS!AD:AD)</f>
        <v>0</v>
      </c>
    </row>
    <row r="310" spans="1:25">
      <c r="A310" s="3"/>
      <c r="B310" t="str">
        <f>IF(_xlfn.XLOOKUP(A310,PARAMETROS!A:A,PARAMETROS!B:B)=0,"",_xlfn.XLOOKUP(A310,PARAMETROS!A:A,PARAMETROS!B:B))</f>
        <v/>
      </c>
      <c r="C310" t="str">
        <f>IF(_xlfn.XLOOKUP(A310,PARAMETROS!A:A,PARAMETROS!C:C)=0,"",_xlfn.XLOOKUP(A310,PARAMETROS!A:A,PARAMETROS!C:C))</f>
        <v/>
      </c>
      <c r="D310" t="str">
        <f>IF(_xlfn.XLOOKUP(A310,PARAMETROS!A:A,PARAMETROS!E:E)=0,"",_xlfn.XLOOKUP(A310,PARAMETROS!A:A,PARAMETROS!E:E))</f>
        <v/>
      </c>
      <c r="E310" t="str">
        <f>IF(_xlfn.XLOOKUP('PREENCHIMENTO|NÃO-LETIVAS'!A310,PARAMETROS!A:A,PARAMETROS!I:I)=0,"",_xlfn.XLOOKUP('PREENCHIMENTO|NÃO-LETIVAS'!A310,PARAMETROS!A:A,PARAMETROS!I:I))</f>
        <v/>
      </c>
      <c r="F310" s="3"/>
      <c r="G310" s="3"/>
      <c r="H310" s="3"/>
      <c r="I310" s="3"/>
      <c r="Y310" s="6">
        <f>_xlfn.XLOOKUP(G:G,PARAMETROS!Y:Y,PARAMETROS!AD:AD)</f>
        <v>0</v>
      </c>
    </row>
    <row r="311" spans="1:25">
      <c r="A311" s="3"/>
      <c r="B311" t="str">
        <f>IF(_xlfn.XLOOKUP(A311,PARAMETROS!A:A,PARAMETROS!B:B)=0,"",_xlfn.XLOOKUP(A311,PARAMETROS!A:A,PARAMETROS!B:B))</f>
        <v/>
      </c>
      <c r="C311" t="str">
        <f>IF(_xlfn.XLOOKUP(A311,PARAMETROS!A:A,PARAMETROS!C:C)=0,"",_xlfn.XLOOKUP(A311,PARAMETROS!A:A,PARAMETROS!C:C))</f>
        <v/>
      </c>
      <c r="D311" t="str">
        <f>IF(_xlfn.XLOOKUP(A311,PARAMETROS!A:A,PARAMETROS!E:E)=0,"",_xlfn.XLOOKUP(A311,PARAMETROS!A:A,PARAMETROS!E:E))</f>
        <v/>
      </c>
      <c r="E311" t="str">
        <f>IF(_xlfn.XLOOKUP('PREENCHIMENTO|NÃO-LETIVAS'!A311,PARAMETROS!A:A,PARAMETROS!I:I)=0,"",_xlfn.XLOOKUP('PREENCHIMENTO|NÃO-LETIVAS'!A311,PARAMETROS!A:A,PARAMETROS!I:I))</f>
        <v/>
      </c>
      <c r="F311" s="3"/>
      <c r="G311" s="3"/>
      <c r="H311" s="3"/>
      <c r="I311" s="3"/>
      <c r="Y311" s="6">
        <f>_xlfn.XLOOKUP(G:G,PARAMETROS!Y:Y,PARAMETROS!AD:AD)</f>
        <v>0</v>
      </c>
    </row>
    <row r="312" spans="1:25">
      <c r="A312" s="3"/>
      <c r="B312" t="str">
        <f>IF(_xlfn.XLOOKUP(A312,PARAMETROS!A:A,PARAMETROS!B:B)=0,"",_xlfn.XLOOKUP(A312,PARAMETROS!A:A,PARAMETROS!B:B))</f>
        <v/>
      </c>
      <c r="C312" t="str">
        <f>IF(_xlfn.XLOOKUP(A312,PARAMETROS!A:A,PARAMETROS!C:C)=0,"",_xlfn.XLOOKUP(A312,PARAMETROS!A:A,PARAMETROS!C:C))</f>
        <v/>
      </c>
      <c r="D312" t="str">
        <f>IF(_xlfn.XLOOKUP(A312,PARAMETROS!A:A,PARAMETROS!E:E)=0,"",_xlfn.XLOOKUP(A312,PARAMETROS!A:A,PARAMETROS!E:E))</f>
        <v/>
      </c>
      <c r="E312" t="str">
        <f>IF(_xlfn.XLOOKUP('PREENCHIMENTO|NÃO-LETIVAS'!A312,PARAMETROS!A:A,PARAMETROS!I:I)=0,"",_xlfn.XLOOKUP('PREENCHIMENTO|NÃO-LETIVAS'!A312,PARAMETROS!A:A,PARAMETROS!I:I))</f>
        <v/>
      </c>
      <c r="F312" s="3"/>
      <c r="G312" s="3"/>
      <c r="H312" s="3"/>
      <c r="I312" s="3"/>
      <c r="Y312" s="6">
        <f>_xlfn.XLOOKUP(G:G,PARAMETROS!Y:Y,PARAMETROS!AD:AD)</f>
        <v>0</v>
      </c>
    </row>
    <row r="313" spans="1:25">
      <c r="A313" s="3"/>
      <c r="B313" t="str">
        <f>IF(_xlfn.XLOOKUP(A313,PARAMETROS!A:A,PARAMETROS!B:B)=0,"",_xlfn.XLOOKUP(A313,PARAMETROS!A:A,PARAMETROS!B:B))</f>
        <v/>
      </c>
      <c r="C313" t="str">
        <f>IF(_xlfn.XLOOKUP(A313,PARAMETROS!A:A,PARAMETROS!C:C)=0,"",_xlfn.XLOOKUP(A313,PARAMETROS!A:A,PARAMETROS!C:C))</f>
        <v/>
      </c>
      <c r="D313" t="str">
        <f>IF(_xlfn.XLOOKUP(A313,PARAMETROS!A:A,PARAMETROS!E:E)=0,"",_xlfn.XLOOKUP(A313,PARAMETROS!A:A,PARAMETROS!E:E))</f>
        <v/>
      </c>
      <c r="E313" t="str">
        <f>IF(_xlfn.XLOOKUP('PREENCHIMENTO|NÃO-LETIVAS'!A313,PARAMETROS!A:A,PARAMETROS!I:I)=0,"",_xlfn.XLOOKUP('PREENCHIMENTO|NÃO-LETIVAS'!A313,PARAMETROS!A:A,PARAMETROS!I:I))</f>
        <v/>
      </c>
      <c r="F313" s="3"/>
      <c r="G313" s="3"/>
      <c r="H313" s="3"/>
      <c r="I313" s="3"/>
      <c r="Y313" s="6">
        <f>_xlfn.XLOOKUP(G:G,PARAMETROS!Y:Y,PARAMETROS!AD:AD)</f>
        <v>0</v>
      </c>
    </row>
    <row r="314" spans="1:25">
      <c r="A314" s="3"/>
      <c r="B314" t="str">
        <f>IF(_xlfn.XLOOKUP(A314,PARAMETROS!A:A,PARAMETROS!B:B)=0,"",_xlfn.XLOOKUP(A314,PARAMETROS!A:A,PARAMETROS!B:B))</f>
        <v/>
      </c>
      <c r="C314" t="str">
        <f>IF(_xlfn.XLOOKUP(A314,PARAMETROS!A:A,PARAMETROS!C:C)=0,"",_xlfn.XLOOKUP(A314,PARAMETROS!A:A,PARAMETROS!C:C))</f>
        <v/>
      </c>
      <c r="D314" t="str">
        <f>IF(_xlfn.XLOOKUP(A314,PARAMETROS!A:A,PARAMETROS!E:E)=0,"",_xlfn.XLOOKUP(A314,PARAMETROS!A:A,PARAMETROS!E:E))</f>
        <v/>
      </c>
      <c r="E314" t="str">
        <f>IF(_xlfn.XLOOKUP('PREENCHIMENTO|NÃO-LETIVAS'!A314,PARAMETROS!A:A,PARAMETROS!I:I)=0,"",_xlfn.XLOOKUP('PREENCHIMENTO|NÃO-LETIVAS'!A314,PARAMETROS!A:A,PARAMETROS!I:I))</f>
        <v/>
      </c>
      <c r="F314" s="3"/>
      <c r="G314" s="3"/>
      <c r="H314" s="3"/>
      <c r="I314" s="3"/>
      <c r="Y314" s="6">
        <f>_xlfn.XLOOKUP(G:G,PARAMETROS!Y:Y,PARAMETROS!AD:AD)</f>
        <v>0</v>
      </c>
    </row>
    <row r="315" spans="1:25">
      <c r="A315" s="3"/>
      <c r="B315" t="str">
        <f>IF(_xlfn.XLOOKUP(A315,PARAMETROS!A:A,PARAMETROS!B:B)=0,"",_xlfn.XLOOKUP(A315,PARAMETROS!A:A,PARAMETROS!B:B))</f>
        <v/>
      </c>
      <c r="C315" t="str">
        <f>IF(_xlfn.XLOOKUP(A315,PARAMETROS!A:A,PARAMETROS!C:C)=0,"",_xlfn.XLOOKUP(A315,PARAMETROS!A:A,PARAMETROS!C:C))</f>
        <v/>
      </c>
      <c r="D315" t="str">
        <f>IF(_xlfn.XLOOKUP(A315,PARAMETROS!A:A,PARAMETROS!E:E)=0,"",_xlfn.XLOOKUP(A315,PARAMETROS!A:A,PARAMETROS!E:E))</f>
        <v/>
      </c>
      <c r="E315" t="str">
        <f>IF(_xlfn.XLOOKUP('PREENCHIMENTO|NÃO-LETIVAS'!A315,PARAMETROS!A:A,PARAMETROS!I:I)=0,"",_xlfn.XLOOKUP('PREENCHIMENTO|NÃO-LETIVAS'!A315,PARAMETROS!A:A,PARAMETROS!I:I))</f>
        <v/>
      </c>
      <c r="F315" s="3"/>
      <c r="G315" s="3"/>
      <c r="H315" s="3"/>
      <c r="I315" s="3"/>
      <c r="Y315" s="6">
        <f>_xlfn.XLOOKUP(G:G,PARAMETROS!Y:Y,PARAMETROS!AD:AD)</f>
        <v>0</v>
      </c>
    </row>
    <row r="316" spans="1:25">
      <c r="A316" s="3"/>
      <c r="B316" t="str">
        <f>IF(_xlfn.XLOOKUP(A316,PARAMETROS!A:A,PARAMETROS!B:B)=0,"",_xlfn.XLOOKUP(A316,PARAMETROS!A:A,PARAMETROS!B:B))</f>
        <v/>
      </c>
      <c r="C316" t="str">
        <f>IF(_xlfn.XLOOKUP(A316,PARAMETROS!A:A,PARAMETROS!C:C)=0,"",_xlfn.XLOOKUP(A316,PARAMETROS!A:A,PARAMETROS!C:C))</f>
        <v/>
      </c>
      <c r="D316" t="str">
        <f>IF(_xlfn.XLOOKUP(A316,PARAMETROS!A:A,PARAMETROS!E:E)=0,"",_xlfn.XLOOKUP(A316,PARAMETROS!A:A,PARAMETROS!E:E))</f>
        <v/>
      </c>
      <c r="E316" t="str">
        <f>IF(_xlfn.XLOOKUP('PREENCHIMENTO|NÃO-LETIVAS'!A316,PARAMETROS!A:A,PARAMETROS!I:I)=0,"",_xlfn.XLOOKUP('PREENCHIMENTO|NÃO-LETIVAS'!A316,PARAMETROS!A:A,PARAMETROS!I:I))</f>
        <v/>
      </c>
      <c r="F316" s="3"/>
      <c r="G316" s="3"/>
      <c r="H316" s="3"/>
      <c r="I316" s="3"/>
      <c r="Y316" s="6">
        <f>_xlfn.XLOOKUP(G:G,PARAMETROS!Y:Y,PARAMETROS!AD:AD)</f>
        <v>0</v>
      </c>
    </row>
    <row r="317" spans="1:25">
      <c r="A317" s="3"/>
      <c r="B317" t="str">
        <f>IF(_xlfn.XLOOKUP(A317,PARAMETROS!A:A,PARAMETROS!B:B)=0,"",_xlfn.XLOOKUP(A317,PARAMETROS!A:A,PARAMETROS!B:B))</f>
        <v/>
      </c>
      <c r="C317" t="str">
        <f>IF(_xlfn.XLOOKUP(A317,PARAMETROS!A:A,PARAMETROS!C:C)=0,"",_xlfn.XLOOKUP(A317,PARAMETROS!A:A,PARAMETROS!C:C))</f>
        <v/>
      </c>
      <c r="D317" t="str">
        <f>IF(_xlfn.XLOOKUP(A317,PARAMETROS!A:A,PARAMETROS!E:E)=0,"",_xlfn.XLOOKUP(A317,PARAMETROS!A:A,PARAMETROS!E:E))</f>
        <v/>
      </c>
      <c r="E317" t="str">
        <f>IF(_xlfn.XLOOKUP('PREENCHIMENTO|NÃO-LETIVAS'!A317,PARAMETROS!A:A,PARAMETROS!I:I)=0,"",_xlfn.XLOOKUP('PREENCHIMENTO|NÃO-LETIVAS'!A317,PARAMETROS!A:A,PARAMETROS!I:I))</f>
        <v/>
      </c>
      <c r="F317" s="3"/>
      <c r="G317" s="3"/>
      <c r="H317" s="3"/>
      <c r="I317" s="3"/>
      <c r="Y317" s="6">
        <f>_xlfn.XLOOKUP(G:G,PARAMETROS!Y:Y,PARAMETROS!AD:AD)</f>
        <v>0</v>
      </c>
    </row>
    <row r="318" spans="1:25">
      <c r="A318" s="3"/>
      <c r="B318" t="str">
        <f>IF(_xlfn.XLOOKUP(A318,PARAMETROS!A:A,PARAMETROS!B:B)=0,"",_xlfn.XLOOKUP(A318,PARAMETROS!A:A,PARAMETROS!B:B))</f>
        <v/>
      </c>
      <c r="C318" t="str">
        <f>IF(_xlfn.XLOOKUP(A318,PARAMETROS!A:A,PARAMETROS!C:C)=0,"",_xlfn.XLOOKUP(A318,PARAMETROS!A:A,PARAMETROS!C:C))</f>
        <v/>
      </c>
      <c r="D318" t="str">
        <f>IF(_xlfn.XLOOKUP(A318,PARAMETROS!A:A,PARAMETROS!E:E)=0,"",_xlfn.XLOOKUP(A318,PARAMETROS!A:A,PARAMETROS!E:E))</f>
        <v/>
      </c>
      <c r="E318" t="str">
        <f>IF(_xlfn.XLOOKUP('PREENCHIMENTO|NÃO-LETIVAS'!A318,PARAMETROS!A:A,PARAMETROS!I:I)=0,"",_xlfn.XLOOKUP('PREENCHIMENTO|NÃO-LETIVAS'!A318,PARAMETROS!A:A,PARAMETROS!I:I))</f>
        <v/>
      </c>
      <c r="F318" s="3"/>
      <c r="G318" s="3"/>
      <c r="H318" s="3"/>
      <c r="I318" s="3"/>
      <c r="Y318" s="6">
        <f>_xlfn.XLOOKUP(G:G,PARAMETROS!Y:Y,PARAMETROS!AD:AD)</f>
        <v>0</v>
      </c>
    </row>
    <row r="319" spans="1:25">
      <c r="A319" s="3"/>
      <c r="B319" t="str">
        <f>IF(_xlfn.XLOOKUP(A319,PARAMETROS!A:A,PARAMETROS!B:B)=0,"",_xlfn.XLOOKUP(A319,PARAMETROS!A:A,PARAMETROS!B:B))</f>
        <v/>
      </c>
      <c r="C319" t="str">
        <f>IF(_xlfn.XLOOKUP(A319,PARAMETROS!A:A,PARAMETROS!C:C)=0,"",_xlfn.XLOOKUP(A319,PARAMETROS!A:A,PARAMETROS!C:C))</f>
        <v/>
      </c>
      <c r="D319" t="str">
        <f>IF(_xlfn.XLOOKUP(A319,PARAMETROS!A:A,PARAMETROS!E:E)=0,"",_xlfn.XLOOKUP(A319,PARAMETROS!A:A,PARAMETROS!E:E))</f>
        <v/>
      </c>
      <c r="E319" t="str">
        <f>IF(_xlfn.XLOOKUP('PREENCHIMENTO|NÃO-LETIVAS'!A319,PARAMETROS!A:A,PARAMETROS!I:I)=0,"",_xlfn.XLOOKUP('PREENCHIMENTO|NÃO-LETIVAS'!A319,PARAMETROS!A:A,PARAMETROS!I:I))</f>
        <v/>
      </c>
      <c r="F319" s="3"/>
      <c r="G319" s="3"/>
      <c r="H319" s="3"/>
      <c r="I319" s="3"/>
      <c r="Y319" s="6">
        <f>_xlfn.XLOOKUP(G:G,PARAMETROS!Y:Y,PARAMETROS!AD:AD)</f>
        <v>0</v>
      </c>
    </row>
    <row r="320" spans="1:25">
      <c r="A320" s="3"/>
      <c r="B320" t="str">
        <f>IF(_xlfn.XLOOKUP(A320,PARAMETROS!A:A,PARAMETROS!B:B)=0,"",_xlfn.XLOOKUP(A320,PARAMETROS!A:A,PARAMETROS!B:B))</f>
        <v/>
      </c>
      <c r="C320" t="str">
        <f>IF(_xlfn.XLOOKUP(A320,PARAMETROS!A:A,PARAMETROS!C:C)=0,"",_xlfn.XLOOKUP(A320,PARAMETROS!A:A,PARAMETROS!C:C))</f>
        <v/>
      </c>
      <c r="D320" t="str">
        <f>IF(_xlfn.XLOOKUP(A320,PARAMETROS!A:A,PARAMETROS!E:E)=0,"",_xlfn.XLOOKUP(A320,PARAMETROS!A:A,PARAMETROS!E:E))</f>
        <v/>
      </c>
      <c r="E320" t="str">
        <f>IF(_xlfn.XLOOKUP('PREENCHIMENTO|NÃO-LETIVAS'!A320,PARAMETROS!A:A,PARAMETROS!I:I)=0,"",_xlfn.XLOOKUP('PREENCHIMENTO|NÃO-LETIVAS'!A320,PARAMETROS!A:A,PARAMETROS!I:I))</f>
        <v/>
      </c>
      <c r="F320" s="3"/>
      <c r="G320" s="3"/>
      <c r="H320" s="3"/>
      <c r="I320" s="3"/>
      <c r="Y320" s="6">
        <f>_xlfn.XLOOKUP(G:G,PARAMETROS!Y:Y,PARAMETROS!AD:AD)</f>
        <v>0</v>
      </c>
    </row>
    <row r="321" spans="1:25">
      <c r="A321" s="3"/>
      <c r="B321" t="str">
        <f>IF(_xlfn.XLOOKUP(A321,PARAMETROS!A:A,PARAMETROS!B:B)=0,"",_xlfn.XLOOKUP(A321,PARAMETROS!A:A,PARAMETROS!B:B))</f>
        <v/>
      </c>
      <c r="C321" t="str">
        <f>IF(_xlfn.XLOOKUP(A321,PARAMETROS!A:A,PARAMETROS!C:C)=0,"",_xlfn.XLOOKUP(A321,PARAMETROS!A:A,PARAMETROS!C:C))</f>
        <v/>
      </c>
      <c r="D321" t="str">
        <f>IF(_xlfn.XLOOKUP(A321,PARAMETROS!A:A,PARAMETROS!E:E)=0,"",_xlfn.XLOOKUP(A321,PARAMETROS!A:A,PARAMETROS!E:E))</f>
        <v/>
      </c>
      <c r="E321" t="str">
        <f>IF(_xlfn.XLOOKUP('PREENCHIMENTO|NÃO-LETIVAS'!A321,PARAMETROS!A:A,PARAMETROS!I:I)=0,"",_xlfn.XLOOKUP('PREENCHIMENTO|NÃO-LETIVAS'!A321,PARAMETROS!A:A,PARAMETROS!I:I))</f>
        <v/>
      </c>
      <c r="F321" s="3"/>
      <c r="G321" s="3"/>
      <c r="H321" s="3"/>
      <c r="I321" s="3"/>
      <c r="Y321" s="6">
        <f>_xlfn.XLOOKUP(G:G,PARAMETROS!Y:Y,PARAMETROS!AD:AD)</f>
        <v>0</v>
      </c>
    </row>
    <row r="322" spans="1:25">
      <c r="A322" s="3"/>
      <c r="B322" t="str">
        <f>IF(_xlfn.XLOOKUP(A322,PARAMETROS!A:A,PARAMETROS!B:B)=0,"",_xlfn.XLOOKUP(A322,PARAMETROS!A:A,PARAMETROS!B:B))</f>
        <v/>
      </c>
      <c r="C322" t="str">
        <f>IF(_xlfn.XLOOKUP(A322,PARAMETROS!A:A,PARAMETROS!C:C)=0,"",_xlfn.XLOOKUP(A322,PARAMETROS!A:A,PARAMETROS!C:C))</f>
        <v/>
      </c>
      <c r="D322" t="str">
        <f>IF(_xlfn.XLOOKUP(A322,PARAMETROS!A:A,PARAMETROS!E:E)=0,"",_xlfn.XLOOKUP(A322,PARAMETROS!A:A,PARAMETROS!E:E))</f>
        <v/>
      </c>
      <c r="E322" t="str">
        <f>IF(_xlfn.XLOOKUP('PREENCHIMENTO|NÃO-LETIVAS'!A322,PARAMETROS!A:A,PARAMETROS!I:I)=0,"",_xlfn.XLOOKUP('PREENCHIMENTO|NÃO-LETIVAS'!A322,PARAMETROS!A:A,PARAMETROS!I:I))</f>
        <v/>
      </c>
      <c r="F322" s="3"/>
      <c r="G322" s="3"/>
      <c r="H322" s="3"/>
      <c r="I322" s="3"/>
      <c r="Y322" s="6">
        <f>_xlfn.XLOOKUP(G:G,PARAMETROS!Y:Y,PARAMETROS!AD:AD)</f>
        <v>0</v>
      </c>
    </row>
    <row r="323" spans="1:25">
      <c r="A323" s="3"/>
      <c r="B323" t="str">
        <f>IF(_xlfn.XLOOKUP(A323,PARAMETROS!A:A,PARAMETROS!B:B)=0,"",_xlfn.XLOOKUP(A323,PARAMETROS!A:A,PARAMETROS!B:B))</f>
        <v/>
      </c>
      <c r="C323" t="str">
        <f>IF(_xlfn.XLOOKUP(A323,PARAMETROS!A:A,PARAMETROS!C:C)=0,"",_xlfn.XLOOKUP(A323,PARAMETROS!A:A,PARAMETROS!C:C))</f>
        <v/>
      </c>
      <c r="D323" t="str">
        <f>IF(_xlfn.XLOOKUP(A323,PARAMETROS!A:A,PARAMETROS!E:E)=0,"",_xlfn.XLOOKUP(A323,PARAMETROS!A:A,PARAMETROS!E:E))</f>
        <v/>
      </c>
      <c r="E323" t="str">
        <f>IF(_xlfn.XLOOKUP('PREENCHIMENTO|NÃO-LETIVAS'!A323,PARAMETROS!A:A,PARAMETROS!I:I)=0,"",_xlfn.XLOOKUP('PREENCHIMENTO|NÃO-LETIVAS'!A323,PARAMETROS!A:A,PARAMETROS!I:I))</f>
        <v/>
      </c>
      <c r="F323" s="3"/>
      <c r="G323" s="3"/>
      <c r="H323" s="3"/>
      <c r="I323" s="3"/>
      <c r="Y323" s="6">
        <f>_xlfn.XLOOKUP(G:G,PARAMETROS!Y:Y,PARAMETROS!AD:AD)</f>
        <v>0</v>
      </c>
    </row>
    <row r="324" spans="1:25">
      <c r="A324" s="3"/>
      <c r="B324" t="str">
        <f>IF(_xlfn.XLOOKUP(A324,PARAMETROS!A:A,PARAMETROS!B:B)=0,"",_xlfn.XLOOKUP(A324,PARAMETROS!A:A,PARAMETROS!B:B))</f>
        <v/>
      </c>
      <c r="C324" t="str">
        <f>IF(_xlfn.XLOOKUP(A324,PARAMETROS!A:A,PARAMETROS!C:C)=0,"",_xlfn.XLOOKUP(A324,PARAMETROS!A:A,PARAMETROS!C:C))</f>
        <v/>
      </c>
      <c r="D324" t="str">
        <f>IF(_xlfn.XLOOKUP(A324,PARAMETROS!A:A,PARAMETROS!E:E)=0,"",_xlfn.XLOOKUP(A324,PARAMETROS!A:A,PARAMETROS!E:E))</f>
        <v/>
      </c>
      <c r="E324" t="str">
        <f>IF(_xlfn.XLOOKUP('PREENCHIMENTO|NÃO-LETIVAS'!A324,PARAMETROS!A:A,PARAMETROS!I:I)=0,"",_xlfn.XLOOKUP('PREENCHIMENTO|NÃO-LETIVAS'!A324,PARAMETROS!A:A,PARAMETROS!I:I))</f>
        <v/>
      </c>
      <c r="F324" s="3"/>
      <c r="G324" s="3"/>
      <c r="H324" s="3"/>
      <c r="I324" s="3"/>
      <c r="Y324" s="6">
        <f>_xlfn.XLOOKUP(G:G,PARAMETROS!Y:Y,PARAMETROS!AD:AD)</f>
        <v>0</v>
      </c>
    </row>
    <row r="325" spans="1:25">
      <c r="A325" s="3"/>
      <c r="B325" t="str">
        <f>IF(_xlfn.XLOOKUP(A325,PARAMETROS!A:A,PARAMETROS!B:B)=0,"",_xlfn.XLOOKUP(A325,PARAMETROS!A:A,PARAMETROS!B:B))</f>
        <v/>
      </c>
      <c r="C325" t="str">
        <f>IF(_xlfn.XLOOKUP(A325,PARAMETROS!A:A,PARAMETROS!C:C)=0,"",_xlfn.XLOOKUP(A325,PARAMETROS!A:A,PARAMETROS!C:C))</f>
        <v/>
      </c>
      <c r="D325" t="str">
        <f>IF(_xlfn.XLOOKUP(A325,PARAMETROS!A:A,PARAMETROS!E:E)=0,"",_xlfn.XLOOKUP(A325,PARAMETROS!A:A,PARAMETROS!E:E))</f>
        <v/>
      </c>
      <c r="E325" t="str">
        <f>IF(_xlfn.XLOOKUP('PREENCHIMENTO|NÃO-LETIVAS'!A325,PARAMETROS!A:A,PARAMETROS!I:I)=0,"",_xlfn.XLOOKUP('PREENCHIMENTO|NÃO-LETIVAS'!A325,PARAMETROS!A:A,PARAMETROS!I:I))</f>
        <v/>
      </c>
      <c r="F325" s="3"/>
      <c r="G325" s="3"/>
      <c r="H325" s="3"/>
      <c r="I325" s="3"/>
      <c r="Y325" s="6">
        <f>_xlfn.XLOOKUP(G:G,PARAMETROS!Y:Y,PARAMETROS!AD:AD)</f>
        <v>0</v>
      </c>
    </row>
    <row r="326" spans="1:25">
      <c r="A326" s="3"/>
      <c r="B326" t="str">
        <f>IF(_xlfn.XLOOKUP(A326,PARAMETROS!A:A,PARAMETROS!B:B)=0,"",_xlfn.XLOOKUP(A326,PARAMETROS!A:A,PARAMETROS!B:B))</f>
        <v/>
      </c>
      <c r="C326" t="str">
        <f>IF(_xlfn.XLOOKUP(A326,PARAMETROS!A:A,PARAMETROS!C:C)=0,"",_xlfn.XLOOKUP(A326,PARAMETROS!A:A,PARAMETROS!C:C))</f>
        <v/>
      </c>
      <c r="D326" t="str">
        <f>IF(_xlfn.XLOOKUP(A326,PARAMETROS!A:A,PARAMETROS!E:E)=0,"",_xlfn.XLOOKUP(A326,PARAMETROS!A:A,PARAMETROS!E:E))</f>
        <v/>
      </c>
      <c r="E326" t="str">
        <f>IF(_xlfn.XLOOKUP('PREENCHIMENTO|NÃO-LETIVAS'!A326,PARAMETROS!A:A,PARAMETROS!I:I)=0,"",_xlfn.XLOOKUP('PREENCHIMENTO|NÃO-LETIVAS'!A326,PARAMETROS!A:A,PARAMETROS!I:I))</f>
        <v/>
      </c>
      <c r="F326" s="3"/>
      <c r="G326" s="3"/>
      <c r="H326" s="3"/>
      <c r="I326" s="3"/>
      <c r="Y326" s="6">
        <f>_xlfn.XLOOKUP(G:G,PARAMETROS!Y:Y,PARAMETROS!AD:AD)</f>
        <v>0</v>
      </c>
    </row>
    <row r="327" spans="1:25">
      <c r="A327" s="3"/>
      <c r="B327" t="str">
        <f>IF(_xlfn.XLOOKUP(A327,PARAMETROS!A:A,PARAMETROS!B:B)=0,"",_xlfn.XLOOKUP(A327,PARAMETROS!A:A,PARAMETROS!B:B))</f>
        <v/>
      </c>
      <c r="C327" t="str">
        <f>IF(_xlfn.XLOOKUP(A327,PARAMETROS!A:A,PARAMETROS!C:C)=0,"",_xlfn.XLOOKUP(A327,PARAMETROS!A:A,PARAMETROS!C:C))</f>
        <v/>
      </c>
      <c r="D327" t="str">
        <f>IF(_xlfn.XLOOKUP(A327,PARAMETROS!A:A,PARAMETROS!E:E)=0,"",_xlfn.XLOOKUP(A327,PARAMETROS!A:A,PARAMETROS!E:E))</f>
        <v/>
      </c>
      <c r="E327" t="str">
        <f>IF(_xlfn.XLOOKUP('PREENCHIMENTO|NÃO-LETIVAS'!A327,PARAMETROS!A:A,PARAMETROS!I:I)=0,"",_xlfn.XLOOKUP('PREENCHIMENTO|NÃO-LETIVAS'!A327,PARAMETROS!A:A,PARAMETROS!I:I))</f>
        <v/>
      </c>
      <c r="F327" s="3"/>
      <c r="G327" s="3"/>
      <c r="H327" s="3"/>
      <c r="I327" s="3"/>
      <c r="Y327" s="6">
        <f>_xlfn.XLOOKUP(G:G,PARAMETROS!Y:Y,PARAMETROS!AD:AD)</f>
        <v>0</v>
      </c>
    </row>
    <row r="328" spans="1:25">
      <c r="A328" s="3"/>
      <c r="B328" t="str">
        <f>IF(_xlfn.XLOOKUP(A328,PARAMETROS!A:A,PARAMETROS!B:B)=0,"",_xlfn.XLOOKUP(A328,PARAMETROS!A:A,PARAMETROS!B:B))</f>
        <v/>
      </c>
      <c r="C328" t="str">
        <f>IF(_xlfn.XLOOKUP(A328,PARAMETROS!A:A,PARAMETROS!C:C)=0,"",_xlfn.XLOOKUP(A328,PARAMETROS!A:A,PARAMETROS!C:C))</f>
        <v/>
      </c>
      <c r="D328" t="str">
        <f>IF(_xlfn.XLOOKUP(A328,PARAMETROS!A:A,PARAMETROS!E:E)=0,"",_xlfn.XLOOKUP(A328,PARAMETROS!A:A,PARAMETROS!E:E))</f>
        <v/>
      </c>
      <c r="E328" t="str">
        <f>IF(_xlfn.XLOOKUP('PREENCHIMENTO|NÃO-LETIVAS'!A328,PARAMETROS!A:A,PARAMETROS!I:I)=0,"",_xlfn.XLOOKUP('PREENCHIMENTO|NÃO-LETIVAS'!A328,PARAMETROS!A:A,PARAMETROS!I:I))</f>
        <v/>
      </c>
      <c r="F328" s="3"/>
      <c r="G328" s="3"/>
      <c r="H328" s="3"/>
      <c r="I328" s="3"/>
      <c r="Y328" s="6">
        <f>_xlfn.XLOOKUP(G:G,PARAMETROS!Y:Y,PARAMETROS!AD:AD)</f>
        <v>0</v>
      </c>
    </row>
    <row r="329" spans="1:25">
      <c r="A329" s="3"/>
      <c r="B329" t="str">
        <f>IF(_xlfn.XLOOKUP(A329,PARAMETROS!A:A,PARAMETROS!B:B)=0,"",_xlfn.XLOOKUP(A329,PARAMETROS!A:A,PARAMETROS!B:B))</f>
        <v/>
      </c>
      <c r="C329" t="str">
        <f>IF(_xlfn.XLOOKUP(A329,PARAMETROS!A:A,PARAMETROS!C:C)=0,"",_xlfn.XLOOKUP(A329,PARAMETROS!A:A,PARAMETROS!C:C))</f>
        <v/>
      </c>
      <c r="D329" t="str">
        <f>IF(_xlfn.XLOOKUP(A329,PARAMETROS!A:A,PARAMETROS!E:E)=0,"",_xlfn.XLOOKUP(A329,PARAMETROS!A:A,PARAMETROS!E:E))</f>
        <v/>
      </c>
      <c r="E329" t="str">
        <f>IF(_xlfn.XLOOKUP('PREENCHIMENTO|NÃO-LETIVAS'!A329,PARAMETROS!A:A,PARAMETROS!I:I)=0,"",_xlfn.XLOOKUP('PREENCHIMENTO|NÃO-LETIVAS'!A329,PARAMETROS!A:A,PARAMETROS!I:I))</f>
        <v/>
      </c>
      <c r="F329" s="3"/>
      <c r="G329" s="3"/>
      <c r="H329" s="3"/>
      <c r="I329" s="3"/>
      <c r="Y329" s="6">
        <f>_xlfn.XLOOKUP(G:G,PARAMETROS!Y:Y,PARAMETROS!AD:AD)</f>
        <v>0</v>
      </c>
    </row>
    <row r="330" spans="1:25">
      <c r="A330" s="3"/>
      <c r="B330" t="str">
        <f>IF(_xlfn.XLOOKUP(A330,PARAMETROS!A:A,PARAMETROS!B:B)=0,"",_xlfn.XLOOKUP(A330,PARAMETROS!A:A,PARAMETROS!B:B))</f>
        <v/>
      </c>
      <c r="C330" t="str">
        <f>IF(_xlfn.XLOOKUP(A330,PARAMETROS!A:A,PARAMETROS!C:C)=0,"",_xlfn.XLOOKUP(A330,PARAMETROS!A:A,PARAMETROS!C:C))</f>
        <v/>
      </c>
      <c r="D330" t="str">
        <f>IF(_xlfn.XLOOKUP(A330,PARAMETROS!A:A,PARAMETROS!E:E)=0,"",_xlfn.XLOOKUP(A330,PARAMETROS!A:A,PARAMETROS!E:E))</f>
        <v/>
      </c>
      <c r="E330" t="str">
        <f>IF(_xlfn.XLOOKUP('PREENCHIMENTO|NÃO-LETIVAS'!A330,PARAMETROS!A:A,PARAMETROS!I:I)=0,"",_xlfn.XLOOKUP('PREENCHIMENTO|NÃO-LETIVAS'!A330,PARAMETROS!A:A,PARAMETROS!I:I))</f>
        <v/>
      </c>
      <c r="F330" s="3"/>
      <c r="G330" s="3"/>
      <c r="H330" s="3"/>
      <c r="I330" s="3"/>
      <c r="Y330" s="6">
        <f>_xlfn.XLOOKUP(G:G,PARAMETROS!Y:Y,PARAMETROS!AD:AD)</f>
        <v>0</v>
      </c>
    </row>
    <row r="331" spans="1:25">
      <c r="A331" s="3"/>
      <c r="B331" t="str">
        <f>IF(_xlfn.XLOOKUP(A331,PARAMETROS!A:A,PARAMETROS!B:B)=0,"",_xlfn.XLOOKUP(A331,PARAMETROS!A:A,PARAMETROS!B:B))</f>
        <v/>
      </c>
      <c r="C331" t="str">
        <f>IF(_xlfn.XLOOKUP(A331,PARAMETROS!A:A,PARAMETROS!C:C)=0,"",_xlfn.XLOOKUP(A331,PARAMETROS!A:A,PARAMETROS!C:C))</f>
        <v/>
      </c>
      <c r="D331" t="str">
        <f>IF(_xlfn.XLOOKUP(A331,PARAMETROS!A:A,PARAMETROS!E:E)=0,"",_xlfn.XLOOKUP(A331,PARAMETROS!A:A,PARAMETROS!E:E))</f>
        <v/>
      </c>
      <c r="E331" t="str">
        <f>IF(_xlfn.XLOOKUP('PREENCHIMENTO|NÃO-LETIVAS'!A331,PARAMETROS!A:A,PARAMETROS!I:I)=0,"",_xlfn.XLOOKUP('PREENCHIMENTO|NÃO-LETIVAS'!A331,PARAMETROS!A:A,PARAMETROS!I:I))</f>
        <v/>
      </c>
      <c r="F331" s="3"/>
      <c r="G331" s="3"/>
      <c r="H331" s="3"/>
      <c r="I331" s="3"/>
      <c r="Y331" s="6">
        <f>_xlfn.XLOOKUP(G:G,PARAMETROS!Y:Y,PARAMETROS!AD:AD)</f>
        <v>0</v>
      </c>
    </row>
    <row r="332" spans="1:25">
      <c r="A332" s="3"/>
      <c r="B332" t="str">
        <f>IF(_xlfn.XLOOKUP(A332,PARAMETROS!A:A,PARAMETROS!B:B)=0,"",_xlfn.XLOOKUP(A332,PARAMETROS!A:A,PARAMETROS!B:B))</f>
        <v/>
      </c>
      <c r="C332" t="str">
        <f>IF(_xlfn.XLOOKUP(A332,PARAMETROS!A:A,PARAMETROS!C:C)=0,"",_xlfn.XLOOKUP(A332,PARAMETROS!A:A,PARAMETROS!C:C))</f>
        <v/>
      </c>
      <c r="D332" t="str">
        <f>IF(_xlfn.XLOOKUP(A332,PARAMETROS!A:A,PARAMETROS!E:E)=0,"",_xlfn.XLOOKUP(A332,PARAMETROS!A:A,PARAMETROS!E:E))</f>
        <v/>
      </c>
      <c r="E332" t="str">
        <f>IF(_xlfn.XLOOKUP('PREENCHIMENTO|NÃO-LETIVAS'!A332,PARAMETROS!A:A,PARAMETROS!I:I)=0,"",_xlfn.XLOOKUP('PREENCHIMENTO|NÃO-LETIVAS'!A332,PARAMETROS!A:A,PARAMETROS!I:I))</f>
        <v/>
      </c>
      <c r="F332" s="3"/>
      <c r="G332" s="3"/>
      <c r="H332" s="3"/>
      <c r="I332" s="3"/>
      <c r="Y332" s="6">
        <f>_xlfn.XLOOKUP(G:G,PARAMETROS!Y:Y,PARAMETROS!AD:AD)</f>
        <v>0</v>
      </c>
    </row>
    <row r="333" spans="1:25">
      <c r="A333" s="3"/>
      <c r="B333" t="str">
        <f>IF(_xlfn.XLOOKUP(A333,PARAMETROS!A:A,PARAMETROS!B:B)=0,"",_xlfn.XLOOKUP(A333,PARAMETROS!A:A,PARAMETROS!B:B))</f>
        <v/>
      </c>
      <c r="C333" t="str">
        <f>IF(_xlfn.XLOOKUP(A333,PARAMETROS!A:A,PARAMETROS!C:C)=0,"",_xlfn.XLOOKUP(A333,PARAMETROS!A:A,PARAMETROS!C:C))</f>
        <v/>
      </c>
      <c r="D333" t="str">
        <f>IF(_xlfn.XLOOKUP(A333,PARAMETROS!A:A,PARAMETROS!E:E)=0,"",_xlfn.XLOOKUP(A333,PARAMETROS!A:A,PARAMETROS!E:E))</f>
        <v/>
      </c>
      <c r="E333" t="str">
        <f>IF(_xlfn.XLOOKUP('PREENCHIMENTO|NÃO-LETIVAS'!A333,PARAMETROS!A:A,PARAMETROS!I:I)=0,"",_xlfn.XLOOKUP('PREENCHIMENTO|NÃO-LETIVAS'!A333,PARAMETROS!A:A,PARAMETROS!I:I))</f>
        <v/>
      </c>
      <c r="F333" s="3"/>
      <c r="G333" s="3"/>
      <c r="H333" s="3"/>
      <c r="I333" s="3"/>
      <c r="Y333" s="6">
        <f>_xlfn.XLOOKUP(G:G,PARAMETROS!Y:Y,PARAMETROS!AD:AD)</f>
        <v>0</v>
      </c>
    </row>
    <row r="334" spans="1:25">
      <c r="A334" s="3"/>
      <c r="B334" t="str">
        <f>IF(_xlfn.XLOOKUP(A334,PARAMETROS!A:A,PARAMETROS!B:B)=0,"",_xlfn.XLOOKUP(A334,PARAMETROS!A:A,PARAMETROS!B:B))</f>
        <v/>
      </c>
      <c r="C334" t="str">
        <f>IF(_xlfn.XLOOKUP(A334,PARAMETROS!A:A,PARAMETROS!C:C)=0,"",_xlfn.XLOOKUP(A334,PARAMETROS!A:A,PARAMETROS!C:C))</f>
        <v/>
      </c>
      <c r="D334" t="str">
        <f>IF(_xlfn.XLOOKUP(A334,PARAMETROS!A:A,PARAMETROS!E:E)=0,"",_xlfn.XLOOKUP(A334,PARAMETROS!A:A,PARAMETROS!E:E))</f>
        <v/>
      </c>
      <c r="E334" t="str">
        <f>IF(_xlfn.XLOOKUP('PREENCHIMENTO|NÃO-LETIVAS'!A334,PARAMETROS!A:A,PARAMETROS!I:I)=0,"",_xlfn.XLOOKUP('PREENCHIMENTO|NÃO-LETIVAS'!A334,PARAMETROS!A:A,PARAMETROS!I:I))</f>
        <v/>
      </c>
      <c r="F334" s="3"/>
      <c r="G334" s="3"/>
      <c r="H334" s="3"/>
      <c r="I334" s="3"/>
      <c r="Y334" s="6">
        <f>_xlfn.XLOOKUP(G:G,PARAMETROS!Y:Y,PARAMETROS!AD:AD)</f>
        <v>0</v>
      </c>
    </row>
    <row r="335" spans="1:25">
      <c r="A335" s="3"/>
      <c r="B335" t="str">
        <f>IF(_xlfn.XLOOKUP(A335,PARAMETROS!A:A,PARAMETROS!B:B)=0,"",_xlfn.XLOOKUP(A335,PARAMETROS!A:A,PARAMETROS!B:B))</f>
        <v/>
      </c>
      <c r="C335" t="str">
        <f>IF(_xlfn.XLOOKUP(A335,PARAMETROS!A:A,PARAMETROS!C:C)=0,"",_xlfn.XLOOKUP(A335,PARAMETROS!A:A,PARAMETROS!C:C))</f>
        <v/>
      </c>
      <c r="D335" t="str">
        <f>IF(_xlfn.XLOOKUP(A335,PARAMETROS!A:A,PARAMETROS!E:E)=0,"",_xlfn.XLOOKUP(A335,PARAMETROS!A:A,PARAMETROS!E:E))</f>
        <v/>
      </c>
      <c r="E335" t="str">
        <f>IF(_xlfn.XLOOKUP('PREENCHIMENTO|NÃO-LETIVAS'!A335,PARAMETROS!A:A,PARAMETROS!I:I)=0,"",_xlfn.XLOOKUP('PREENCHIMENTO|NÃO-LETIVAS'!A335,PARAMETROS!A:A,PARAMETROS!I:I))</f>
        <v/>
      </c>
      <c r="F335" s="3"/>
      <c r="G335" s="3"/>
      <c r="H335" s="3"/>
      <c r="I335" s="3"/>
      <c r="Y335" s="6">
        <f>_xlfn.XLOOKUP(G:G,PARAMETROS!Y:Y,PARAMETROS!AD:AD)</f>
        <v>0</v>
      </c>
    </row>
    <row r="336" spans="1:25">
      <c r="A336" s="3"/>
      <c r="B336" t="str">
        <f>IF(_xlfn.XLOOKUP(A336,PARAMETROS!A:A,PARAMETROS!B:B)=0,"",_xlfn.XLOOKUP(A336,PARAMETROS!A:A,PARAMETROS!B:B))</f>
        <v/>
      </c>
      <c r="C336" t="str">
        <f>IF(_xlfn.XLOOKUP(A336,PARAMETROS!A:A,PARAMETROS!C:C)=0,"",_xlfn.XLOOKUP(A336,PARAMETROS!A:A,PARAMETROS!C:C))</f>
        <v/>
      </c>
      <c r="D336" t="str">
        <f>IF(_xlfn.XLOOKUP(A336,PARAMETROS!A:A,PARAMETROS!E:E)=0,"",_xlfn.XLOOKUP(A336,PARAMETROS!A:A,PARAMETROS!E:E))</f>
        <v/>
      </c>
      <c r="E336" t="str">
        <f>IF(_xlfn.XLOOKUP('PREENCHIMENTO|NÃO-LETIVAS'!A336,PARAMETROS!A:A,PARAMETROS!I:I)=0,"",_xlfn.XLOOKUP('PREENCHIMENTO|NÃO-LETIVAS'!A336,PARAMETROS!A:A,PARAMETROS!I:I))</f>
        <v/>
      </c>
      <c r="F336" s="3"/>
      <c r="G336" s="3"/>
      <c r="H336" s="3"/>
      <c r="I336" s="3"/>
      <c r="Y336" s="6">
        <f>_xlfn.XLOOKUP(G:G,PARAMETROS!Y:Y,PARAMETROS!AD:AD)</f>
        <v>0</v>
      </c>
    </row>
    <row r="337" spans="1:25">
      <c r="A337" s="3"/>
      <c r="B337" t="str">
        <f>IF(_xlfn.XLOOKUP(A337,PARAMETROS!A:A,PARAMETROS!B:B)=0,"",_xlfn.XLOOKUP(A337,PARAMETROS!A:A,PARAMETROS!B:B))</f>
        <v/>
      </c>
      <c r="C337" t="str">
        <f>IF(_xlfn.XLOOKUP(A337,PARAMETROS!A:A,PARAMETROS!C:C)=0,"",_xlfn.XLOOKUP(A337,PARAMETROS!A:A,PARAMETROS!C:C))</f>
        <v/>
      </c>
      <c r="D337" t="str">
        <f>IF(_xlfn.XLOOKUP(A337,PARAMETROS!A:A,PARAMETROS!E:E)=0,"",_xlfn.XLOOKUP(A337,PARAMETROS!A:A,PARAMETROS!E:E))</f>
        <v/>
      </c>
      <c r="E337" t="str">
        <f>IF(_xlfn.XLOOKUP('PREENCHIMENTO|NÃO-LETIVAS'!A337,PARAMETROS!A:A,PARAMETROS!I:I)=0,"",_xlfn.XLOOKUP('PREENCHIMENTO|NÃO-LETIVAS'!A337,PARAMETROS!A:A,PARAMETROS!I:I))</f>
        <v/>
      </c>
      <c r="F337" s="3"/>
      <c r="G337" s="3"/>
      <c r="H337" s="3"/>
      <c r="I337" s="3"/>
      <c r="Y337" s="6">
        <f>_xlfn.XLOOKUP(G:G,PARAMETROS!Y:Y,PARAMETROS!AD:AD)</f>
        <v>0</v>
      </c>
    </row>
    <row r="338" spans="1:25">
      <c r="A338" s="3"/>
      <c r="B338" t="str">
        <f>IF(_xlfn.XLOOKUP(A338,PARAMETROS!A:A,PARAMETROS!B:B)=0,"",_xlfn.XLOOKUP(A338,PARAMETROS!A:A,PARAMETROS!B:B))</f>
        <v/>
      </c>
      <c r="C338" t="str">
        <f>IF(_xlfn.XLOOKUP(A338,PARAMETROS!A:A,PARAMETROS!C:C)=0,"",_xlfn.XLOOKUP(A338,PARAMETROS!A:A,PARAMETROS!C:C))</f>
        <v/>
      </c>
      <c r="D338" t="str">
        <f>IF(_xlfn.XLOOKUP(A338,PARAMETROS!A:A,PARAMETROS!E:E)=0,"",_xlfn.XLOOKUP(A338,PARAMETROS!A:A,PARAMETROS!E:E))</f>
        <v/>
      </c>
      <c r="E338" t="str">
        <f>IF(_xlfn.XLOOKUP('PREENCHIMENTO|NÃO-LETIVAS'!A338,PARAMETROS!A:A,PARAMETROS!I:I)=0,"",_xlfn.XLOOKUP('PREENCHIMENTO|NÃO-LETIVAS'!A338,PARAMETROS!A:A,PARAMETROS!I:I))</f>
        <v/>
      </c>
      <c r="F338" s="3"/>
      <c r="G338" s="3"/>
      <c r="H338" s="3"/>
      <c r="I338" s="3"/>
      <c r="Y338" s="6">
        <f>_xlfn.XLOOKUP(G:G,PARAMETROS!Y:Y,PARAMETROS!AD:AD)</f>
        <v>0</v>
      </c>
    </row>
    <row r="339" spans="1:25">
      <c r="A339" s="3"/>
      <c r="B339" t="str">
        <f>IF(_xlfn.XLOOKUP(A339,PARAMETROS!A:A,PARAMETROS!B:B)=0,"",_xlfn.XLOOKUP(A339,PARAMETROS!A:A,PARAMETROS!B:B))</f>
        <v/>
      </c>
      <c r="C339" t="str">
        <f>IF(_xlfn.XLOOKUP(A339,PARAMETROS!A:A,PARAMETROS!C:C)=0,"",_xlfn.XLOOKUP(A339,PARAMETROS!A:A,PARAMETROS!C:C))</f>
        <v/>
      </c>
      <c r="D339" t="str">
        <f>IF(_xlfn.XLOOKUP(A339,PARAMETROS!A:A,PARAMETROS!E:E)=0,"",_xlfn.XLOOKUP(A339,PARAMETROS!A:A,PARAMETROS!E:E))</f>
        <v/>
      </c>
      <c r="E339" t="str">
        <f>IF(_xlfn.XLOOKUP('PREENCHIMENTO|NÃO-LETIVAS'!A339,PARAMETROS!A:A,PARAMETROS!I:I)=0,"",_xlfn.XLOOKUP('PREENCHIMENTO|NÃO-LETIVAS'!A339,PARAMETROS!A:A,PARAMETROS!I:I))</f>
        <v/>
      </c>
      <c r="F339" s="3"/>
      <c r="G339" s="3"/>
      <c r="H339" s="3"/>
      <c r="I339" s="3"/>
      <c r="Y339" s="6">
        <f>_xlfn.XLOOKUP(G:G,PARAMETROS!Y:Y,PARAMETROS!AD:AD)</f>
        <v>0</v>
      </c>
    </row>
    <row r="340" spans="1:25">
      <c r="A340" s="3"/>
      <c r="B340" t="str">
        <f>IF(_xlfn.XLOOKUP(A340,PARAMETROS!A:A,PARAMETROS!B:B)=0,"",_xlfn.XLOOKUP(A340,PARAMETROS!A:A,PARAMETROS!B:B))</f>
        <v/>
      </c>
      <c r="C340" t="str">
        <f>IF(_xlfn.XLOOKUP(A340,PARAMETROS!A:A,PARAMETROS!C:C)=0,"",_xlfn.XLOOKUP(A340,PARAMETROS!A:A,PARAMETROS!C:C))</f>
        <v/>
      </c>
      <c r="D340" t="str">
        <f>IF(_xlfn.XLOOKUP(A340,PARAMETROS!A:A,PARAMETROS!E:E)=0,"",_xlfn.XLOOKUP(A340,PARAMETROS!A:A,PARAMETROS!E:E))</f>
        <v/>
      </c>
      <c r="E340" t="str">
        <f>IF(_xlfn.XLOOKUP('PREENCHIMENTO|NÃO-LETIVAS'!A340,PARAMETROS!A:A,PARAMETROS!I:I)=0,"",_xlfn.XLOOKUP('PREENCHIMENTO|NÃO-LETIVAS'!A340,PARAMETROS!A:A,PARAMETROS!I:I))</f>
        <v/>
      </c>
      <c r="F340" s="3"/>
      <c r="G340" s="3"/>
      <c r="H340" s="3"/>
      <c r="I340" s="3"/>
      <c r="Y340" s="6">
        <f>_xlfn.XLOOKUP(G:G,PARAMETROS!Y:Y,PARAMETROS!AD:AD)</f>
        <v>0</v>
      </c>
    </row>
    <row r="341" spans="1:25">
      <c r="A341" s="3"/>
      <c r="B341" t="str">
        <f>IF(_xlfn.XLOOKUP(A341,PARAMETROS!A:A,PARAMETROS!B:B)=0,"",_xlfn.XLOOKUP(A341,PARAMETROS!A:A,PARAMETROS!B:B))</f>
        <v/>
      </c>
      <c r="C341" t="str">
        <f>IF(_xlfn.XLOOKUP(A341,PARAMETROS!A:A,PARAMETROS!C:C)=0,"",_xlfn.XLOOKUP(A341,PARAMETROS!A:A,PARAMETROS!C:C))</f>
        <v/>
      </c>
      <c r="D341" t="str">
        <f>IF(_xlfn.XLOOKUP(A341,PARAMETROS!A:A,PARAMETROS!E:E)=0,"",_xlfn.XLOOKUP(A341,PARAMETROS!A:A,PARAMETROS!E:E))</f>
        <v/>
      </c>
      <c r="E341" t="str">
        <f>IF(_xlfn.XLOOKUP('PREENCHIMENTO|NÃO-LETIVAS'!A341,PARAMETROS!A:A,PARAMETROS!I:I)=0,"",_xlfn.XLOOKUP('PREENCHIMENTO|NÃO-LETIVAS'!A341,PARAMETROS!A:A,PARAMETROS!I:I))</f>
        <v/>
      </c>
      <c r="F341" s="3"/>
      <c r="G341" s="3"/>
      <c r="H341" s="3"/>
      <c r="I341" s="3"/>
      <c r="Y341" s="6">
        <f>_xlfn.XLOOKUP(G:G,PARAMETROS!Y:Y,PARAMETROS!AD:AD)</f>
        <v>0</v>
      </c>
    </row>
    <row r="342" spans="1:25">
      <c r="A342" s="3"/>
      <c r="B342" t="str">
        <f>IF(_xlfn.XLOOKUP(A342,PARAMETROS!A:A,PARAMETROS!B:B)=0,"",_xlfn.XLOOKUP(A342,PARAMETROS!A:A,PARAMETROS!B:B))</f>
        <v/>
      </c>
      <c r="C342" t="str">
        <f>IF(_xlfn.XLOOKUP(A342,PARAMETROS!A:A,PARAMETROS!C:C)=0,"",_xlfn.XLOOKUP(A342,PARAMETROS!A:A,PARAMETROS!C:C))</f>
        <v/>
      </c>
      <c r="D342" t="str">
        <f>IF(_xlfn.XLOOKUP(A342,PARAMETROS!A:A,PARAMETROS!E:E)=0,"",_xlfn.XLOOKUP(A342,PARAMETROS!A:A,PARAMETROS!E:E))</f>
        <v/>
      </c>
      <c r="E342" t="str">
        <f>IF(_xlfn.XLOOKUP('PREENCHIMENTO|NÃO-LETIVAS'!A342,PARAMETROS!A:A,PARAMETROS!I:I)=0,"",_xlfn.XLOOKUP('PREENCHIMENTO|NÃO-LETIVAS'!A342,PARAMETROS!A:A,PARAMETROS!I:I))</f>
        <v/>
      </c>
      <c r="F342" s="3"/>
      <c r="G342" s="3"/>
      <c r="H342" s="3"/>
      <c r="I342" s="3"/>
      <c r="Y342" s="6">
        <f>_xlfn.XLOOKUP(G:G,PARAMETROS!Y:Y,PARAMETROS!AD:AD)</f>
        <v>0</v>
      </c>
    </row>
    <row r="343" spans="1:25">
      <c r="A343" s="3"/>
      <c r="B343" t="str">
        <f>IF(_xlfn.XLOOKUP(A343,PARAMETROS!A:A,PARAMETROS!B:B)=0,"",_xlfn.XLOOKUP(A343,PARAMETROS!A:A,PARAMETROS!B:B))</f>
        <v/>
      </c>
      <c r="C343" t="str">
        <f>IF(_xlfn.XLOOKUP(A343,PARAMETROS!A:A,PARAMETROS!C:C)=0,"",_xlfn.XLOOKUP(A343,PARAMETROS!A:A,PARAMETROS!C:C))</f>
        <v/>
      </c>
      <c r="D343" t="str">
        <f>IF(_xlfn.XLOOKUP(A343,PARAMETROS!A:A,PARAMETROS!E:E)=0,"",_xlfn.XLOOKUP(A343,PARAMETROS!A:A,PARAMETROS!E:E))</f>
        <v/>
      </c>
      <c r="E343" t="str">
        <f>IF(_xlfn.XLOOKUP('PREENCHIMENTO|NÃO-LETIVAS'!A343,PARAMETROS!A:A,PARAMETROS!I:I)=0,"",_xlfn.XLOOKUP('PREENCHIMENTO|NÃO-LETIVAS'!A343,PARAMETROS!A:A,PARAMETROS!I:I))</f>
        <v/>
      </c>
      <c r="F343" s="3"/>
      <c r="G343" s="3"/>
      <c r="H343" s="3"/>
      <c r="I343" s="3"/>
      <c r="Y343" s="6">
        <f>_xlfn.XLOOKUP(G:G,PARAMETROS!Y:Y,PARAMETROS!AD:AD)</f>
        <v>0</v>
      </c>
    </row>
    <row r="344" spans="1:25">
      <c r="A344" s="3"/>
      <c r="B344" t="str">
        <f>IF(_xlfn.XLOOKUP(A344,PARAMETROS!A:A,PARAMETROS!B:B)=0,"",_xlfn.XLOOKUP(A344,PARAMETROS!A:A,PARAMETROS!B:B))</f>
        <v/>
      </c>
      <c r="C344" t="str">
        <f>IF(_xlfn.XLOOKUP(A344,PARAMETROS!A:A,PARAMETROS!C:C)=0,"",_xlfn.XLOOKUP(A344,PARAMETROS!A:A,PARAMETROS!C:C))</f>
        <v/>
      </c>
      <c r="D344" t="str">
        <f>IF(_xlfn.XLOOKUP(A344,PARAMETROS!A:A,PARAMETROS!E:E)=0,"",_xlfn.XLOOKUP(A344,PARAMETROS!A:A,PARAMETROS!E:E))</f>
        <v/>
      </c>
      <c r="E344" t="str">
        <f>IF(_xlfn.XLOOKUP('PREENCHIMENTO|NÃO-LETIVAS'!A344,PARAMETROS!A:A,PARAMETROS!I:I)=0,"",_xlfn.XLOOKUP('PREENCHIMENTO|NÃO-LETIVAS'!A344,PARAMETROS!A:A,PARAMETROS!I:I))</f>
        <v/>
      </c>
      <c r="F344" s="3"/>
      <c r="G344" s="3"/>
      <c r="H344" s="3"/>
      <c r="I344" s="3"/>
      <c r="Y344" s="6">
        <f>_xlfn.XLOOKUP(G:G,PARAMETROS!Y:Y,PARAMETROS!AD:AD)</f>
        <v>0</v>
      </c>
    </row>
    <row r="345" spans="1:25">
      <c r="A345" s="3"/>
      <c r="B345" t="str">
        <f>IF(_xlfn.XLOOKUP(A345,PARAMETROS!A:A,PARAMETROS!B:B)=0,"",_xlfn.XLOOKUP(A345,PARAMETROS!A:A,PARAMETROS!B:B))</f>
        <v/>
      </c>
      <c r="C345" t="str">
        <f>IF(_xlfn.XLOOKUP(A345,PARAMETROS!A:A,PARAMETROS!C:C)=0,"",_xlfn.XLOOKUP(A345,PARAMETROS!A:A,PARAMETROS!C:C))</f>
        <v/>
      </c>
      <c r="D345" t="str">
        <f>IF(_xlfn.XLOOKUP(A345,PARAMETROS!A:A,PARAMETROS!E:E)=0,"",_xlfn.XLOOKUP(A345,PARAMETROS!A:A,PARAMETROS!E:E))</f>
        <v/>
      </c>
      <c r="E345" t="str">
        <f>IF(_xlfn.XLOOKUP('PREENCHIMENTO|NÃO-LETIVAS'!A345,PARAMETROS!A:A,PARAMETROS!I:I)=0,"",_xlfn.XLOOKUP('PREENCHIMENTO|NÃO-LETIVAS'!A345,PARAMETROS!A:A,PARAMETROS!I:I))</f>
        <v/>
      </c>
      <c r="F345" s="3"/>
      <c r="G345" s="3"/>
      <c r="H345" s="3"/>
      <c r="I345" s="3"/>
      <c r="Y345" s="6">
        <f>_xlfn.XLOOKUP(G:G,PARAMETROS!Y:Y,PARAMETROS!AD:AD)</f>
        <v>0</v>
      </c>
    </row>
    <row r="346" spans="1:25">
      <c r="A346" s="3"/>
      <c r="B346" t="str">
        <f>IF(_xlfn.XLOOKUP(A346,PARAMETROS!A:A,PARAMETROS!B:B)=0,"",_xlfn.XLOOKUP(A346,PARAMETROS!A:A,PARAMETROS!B:B))</f>
        <v/>
      </c>
      <c r="C346" t="str">
        <f>IF(_xlfn.XLOOKUP(A346,PARAMETROS!A:A,PARAMETROS!C:C)=0,"",_xlfn.XLOOKUP(A346,PARAMETROS!A:A,PARAMETROS!C:C))</f>
        <v/>
      </c>
      <c r="D346" t="str">
        <f>IF(_xlfn.XLOOKUP(A346,PARAMETROS!A:A,PARAMETROS!E:E)=0,"",_xlfn.XLOOKUP(A346,PARAMETROS!A:A,PARAMETROS!E:E))</f>
        <v/>
      </c>
      <c r="E346" t="str">
        <f>IF(_xlfn.XLOOKUP('PREENCHIMENTO|NÃO-LETIVAS'!A346,PARAMETROS!A:A,PARAMETROS!I:I)=0,"",_xlfn.XLOOKUP('PREENCHIMENTO|NÃO-LETIVAS'!A346,PARAMETROS!A:A,PARAMETROS!I:I))</f>
        <v/>
      </c>
      <c r="F346" s="3"/>
      <c r="G346" s="3"/>
      <c r="H346" s="3"/>
      <c r="I346" s="3"/>
      <c r="Y346" s="6">
        <f>_xlfn.XLOOKUP(G:G,PARAMETROS!Y:Y,PARAMETROS!AD:AD)</f>
        <v>0</v>
      </c>
    </row>
    <row r="347" spans="1:25">
      <c r="A347" s="3"/>
      <c r="B347" t="str">
        <f>IF(_xlfn.XLOOKUP(A347,PARAMETROS!A:A,PARAMETROS!B:B)=0,"",_xlfn.XLOOKUP(A347,PARAMETROS!A:A,PARAMETROS!B:B))</f>
        <v/>
      </c>
      <c r="C347" t="str">
        <f>IF(_xlfn.XLOOKUP(A347,PARAMETROS!A:A,PARAMETROS!C:C)=0,"",_xlfn.XLOOKUP(A347,PARAMETROS!A:A,PARAMETROS!C:C))</f>
        <v/>
      </c>
      <c r="D347" t="str">
        <f>IF(_xlfn.XLOOKUP(A347,PARAMETROS!A:A,PARAMETROS!E:E)=0,"",_xlfn.XLOOKUP(A347,PARAMETROS!A:A,PARAMETROS!E:E))</f>
        <v/>
      </c>
      <c r="E347" t="str">
        <f>IF(_xlfn.XLOOKUP('PREENCHIMENTO|NÃO-LETIVAS'!A347,PARAMETROS!A:A,PARAMETROS!I:I)=0,"",_xlfn.XLOOKUP('PREENCHIMENTO|NÃO-LETIVAS'!A347,PARAMETROS!A:A,PARAMETROS!I:I))</f>
        <v/>
      </c>
      <c r="F347" s="3"/>
      <c r="G347" s="3"/>
      <c r="H347" s="3"/>
      <c r="I347" s="3"/>
      <c r="Y347" s="6">
        <f>_xlfn.XLOOKUP(G:G,PARAMETROS!Y:Y,PARAMETROS!AD:AD)</f>
        <v>0</v>
      </c>
    </row>
    <row r="348" spans="1:25">
      <c r="A348" s="3"/>
      <c r="B348" t="str">
        <f>IF(_xlfn.XLOOKUP(A348,PARAMETROS!A:A,PARAMETROS!B:B)=0,"",_xlfn.XLOOKUP(A348,PARAMETROS!A:A,PARAMETROS!B:B))</f>
        <v/>
      </c>
      <c r="C348" t="str">
        <f>IF(_xlfn.XLOOKUP(A348,PARAMETROS!A:A,PARAMETROS!C:C)=0,"",_xlfn.XLOOKUP(A348,PARAMETROS!A:A,PARAMETROS!C:C))</f>
        <v/>
      </c>
      <c r="D348" t="str">
        <f>IF(_xlfn.XLOOKUP(A348,PARAMETROS!A:A,PARAMETROS!E:E)=0,"",_xlfn.XLOOKUP(A348,PARAMETROS!A:A,PARAMETROS!E:E))</f>
        <v/>
      </c>
      <c r="E348" t="str">
        <f>IF(_xlfn.XLOOKUP('PREENCHIMENTO|NÃO-LETIVAS'!A348,PARAMETROS!A:A,PARAMETROS!I:I)=0,"",_xlfn.XLOOKUP('PREENCHIMENTO|NÃO-LETIVAS'!A348,PARAMETROS!A:A,PARAMETROS!I:I))</f>
        <v/>
      </c>
      <c r="F348" s="3"/>
      <c r="G348" s="3"/>
      <c r="H348" s="3"/>
      <c r="I348" s="3"/>
      <c r="Y348" s="6">
        <f>_xlfn.XLOOKUP(G:G,PARAMETROS!Y:Y,PARAMETROS!AD:AD)</f>
        <v>0</v>
      </c>
    </row>
    <row r="349" spans="1:25">
      <c r="A349" s="3"/>
      <c r="B349" t="str">
        <f>IF(_xlfn.XLOOKUP(A349,PARAMETROS!A:A,PARAMETROS!B:B)=0,"",_xlfn.XLOOKUP(A349,PARAMETROS!A:A,PARAMETROS!B:B))</f>
        <v/>
      </c>
      <c r="C349" t="str">
        <f>IF(_xlfn.XLOOKUP(A349,PARAMETROS!A:A,PARAMETROS!C:C)=0,"",_xlfn.XLOOKUP(A349,PARAMETROS!A:A,PARAMETROS!C:C))</f>
        <v/>
      </c>
      <c r="D349" t="str">
        <f>IF(_xlfn.XLOOKUP(A349,PARAMETROS!A:A,PARAMETROS!E:E)=0,"",_xlfn.XLOOKUP(A349,PARAMETROS!A:A,PARAMETROS!E:E))</f>
        <v/>
      </c>
      <c r="E349" t="str">
        <f>IF(_xlfn.XLOOKUP('PREENCHIMENTO|NÃO-LETIVAS'!A349,PARAMETROS!A:A,PARAMETROS!I:I)=0,"",_xlfn.XLOOKUP('PREENCHIMENTO|NÃO-LETIVAS'!A349,PARAMETROS!A:A,PARAMETROS!I:I))</f>
        <v/>
      </c>
      <c r="F349" s="3"/>
      <c r="G349" s="3"/>
      <c r="H349" s="3"/>
      <c r="I349" s="3"/>
      <c r="Y349" s="6">
        <f>_xlfn.XLOOKUP(G:G,PARAMETROS!Y:Y,PARAMETROS!AD:AD)</f>
        <v>0</v>
      </c>
    </row>
    <row r="350" spans="1:25">
      <c r="A350" s="3"/>
      <c r="B350" t="str">
        <f>IF(_xlfn.XLOOKUP(A350,PARAMETROS!A:A,PARAMETROS!B:B)=0,"",_xlfn.XLOOKUP(A350,PARAMETROS!A:A,PARAMETROS!B:B))</f>
        <v/>
      </c>
      <c r="C350" t="str">
        <f>IF(_xlfn.XLOOKUP(A350,PARAMETROS!A:A,PARAMETROS!C:C)=0,"",_xlfn.XLOOKUP(A350,PARAMETROS!A:A,PARAMETROS!C:C))</f>
        <v/>
      </c>
      <c r="D350" t="str">
        <f>IF(_xlfn.XLOOKUP(A350,PARAMETROS!A:A,PARAMETROS!E:E)=0,"",_xlfn.XLOOKUP(A350,PARAMETROS!A:A,PARAMETROS!E:E))</f>
        <v/>
      </c>
      <c r="E350" t="str">
        <f>IF(_xlfn.XLOOKUP('PREENCHIMENTO|NÃO-LETIVAS'!A350,PARAMETROS!A:A,PARAMETROS!I:I)=0,"",_xlfn.XLOOKUP('PREENCHIMENTO|NÃO-LETIVAS'!A350,PARAMETROS!A:A,PARAMETROS!I:I))</f>
        <v/>
      </c>
      <c r="F350" s="3"/>
      <c r="G350" s="3"/>
      <c r="H350" s="3"/>
      <c r="I350" s="3"/>
      <c r="Y350" s="6">
        <f>_xlfn.XLOOKUP(G:G,PARAMETROS!Y:Y,PARAMETROS!AD:AD)</f>
        <v>0</v>
      </c>
    </row>
    <row r="351" spans="1:25">
      <c r="A351" s="3"/>
      <c r="B351" t="str">
        <f>IF(_xlfn.XLOOKUP(A351,PARAMETROS!A:A,PARAMETROS!B:B)=0,"",_xlfn.XLOOKUP(A351,PARAMETROS!A:A,PARAMETROS!B:B))</f>
        <v/>
      </c>
      <c r="C351" t="str">
        <f>IF(_xlfn.XLOOKUP(A351,PARAMETROS!A:A,PARAMETROS!C:C)=0,"",_xlfn.XLOOKUP(A351,PARAMETROS!A:A,PARAMETROS!C:C))</f>
        <v/>
      </c>
      <c r="D351" t="str">
        <f>IF(_xlfn.XLOOKUP(A351,PARAMETROS!A:A,PARAMETROS!E:E)=0,"",_xlfn.XLOOKUP(A351,PARAMETROS!A:A,PARAMETROS!E:E))</f>
        <v/>
      </c>
      <c r="E351" t="str">
        <f>IF(_xlfn.XLOOKUP('PREENCHIMENTO|NÃO-LETIVAS'!A351,PARAMETROS!A:A,PARAMETROS!I:I)=0,"",_xlfn.XLOOKUP('PREENCHIMENTO|NÃO-LETIVAS'!A351,PARAMETROS!A:A,PARAMETROS!I:I))</f>
        <v/>
      </c>
      <c r="F351" s="3"/>
      <c r="G351" s="3"/>
      <c r="H351" s="3"/>
      <c r="I351" s="3"/>
      <c r="Y351" s="6">
        <f>_xlfn.XLOOKUP(G:G,PARAMETROS!Y:Y,PARAMETROS!AD:AD)</f>
        <v>0</v>
      </c>
    </row>
    <row r="352" spans="1:25">
      <c r="A352" s="3"/>
      <c r="B352" t="str">
        <f>IF(_xlfn.XLOOKUP(A352,PARAMETROS!A:A,PARAMETROS!B:B)=0,"",_xlfn.XLOOKUP(A352,PARAMETROS!A:A,PARAMETROS!B:B))</f>
        <v/>
      </c>
      <c r="C352" t="str">
        <f>IF(_xlfn.XLOOKUP(A352,PARAMETROS!A:A,PARAMETROS!C:C)=0,"",_xlfn.XLOOKUP(A352,PARAMETROS!A:A,PARAMETROS!C:C))</f>
        <v/>
      </c>
      <c r="D352" t="str">
        <f>IF(_xlfn.XLOOKUP(A352,PARAMETROS!A:A,PARAMETROS!E:E)=0,"",_xlfn.XLOOKUP(A352,PARAMETROS!A:A,PARAMETROS!E:E))</f>
        <v/>
      </c>
      <c r="E352" t="str">
        <f>IF(_xlfn.XLOOKUP('PREENCHIMENTO|NÃO-LETIVAS'!A352,PARAMETROS!A:A,PARAMETROS!I:I)=0,"",_xlfn.XLOOKUP('PREENCHIMENTO|NÃO-LETIVAS'!A352,PARAMETROS!A:A,PARAMETROS!I:I))</f>
        <v/>
      </c>
      <c r="F352" s="3"/>
      <c r="G352" s="3"/>
      <c r="H352" s="3"/>
      <c r="I352" s="3"/>
      <c r="Y352" s="6">
        <f>_xlfn.XLOOKUP(G:G,PARAMETROS!Y:Y,PARAMETROS!AD:AD)</f>
        <v>0</v>
      </c>
    </row>
    <row r="353" spans="1:25">
      <c r="A353" s="3"/>
      <c r="B353" t="str">
        <f>IF(_xlfn.XLOOKUP(A353,PARAMETROS!A:A,PARAMETROS!B:B)=0,"",_xlfn.XLOOKUP(A353,PARAMETROS!A:A,PARAMETROS!B:B))</f>
        <v/>
      </c>
      <c r="C353" t="str">
        <f>IF(_xlfn.XLOOKUP(A353,PARAMETROS!A:A,PARAMETROS!C:C)=0,"",_xlfn.XLOOKUP(A353,PARAMETROS!A:A,PARAMETROS!C:C))</f>
        <v/>
      </c>
      <c r="D353" t="str">
        <f>IF(_xlfn.XLOOKUP(A353,PARAMETROS!A:A,PARAMETROS!E:E)=0,"",_xlfn.XLOOKUP(A353,PARAMETROS!A:A,PARAMETROS!E:E))</f>
        <v/>
      </c>
      <c r="E353" t="str">
        <f>IF(_xlfn.XLOOKUP('PREENCHIMENTO|NÃO-LETIVAS'!A353,PARAMETROS!A:A,PARAMETROS!I:I)=0,"",_xlfn.XLOOKUP('PREENCHIMENTO|NÃO-LETIVAS'!A353,PARAMETROS!A:A,PARAMETROS!I:I))</f>
        <v/>
      </c>
      <c r="F353" s="3"/>
      <c r="G353" s="3"/>
      <c r="H353" s="3"/>
      <c r="I353" s="3"/>
      <c r="Y353" s="6">
        <f>_xlfn.XLOOKUP(G:G,PARAMETROS!Y:Y,PARAMETROS!AD:AD)</f>
        <v>0</v>
      </c>
    </row>
    <row r="354" spans="1:25">
      <c r="A354" s="3"/>
      <c r="B354" t="str">
        <f>IF(_xlfn.XLOOKUP(A354,PARAMETROS!A:A,PARAMETROS!B:B)=0,"",_xlfn.XLOOKUP(A354,PARAMETROS!A:A,PARAMETROS!B:B))</f>
        <v/>
      </c>
      <c r="C354" t="str">
        <f>IF(_xlfn.XLOOKUP(A354,PARAMETROS!A:A,PARAMETROS!C:C)=0,"",_xlfn.XLOOKUP(A354,PARAMETROS!A:A,PARAMETROS!C:C))</f>
        <v/>
      </c>
      <c r="D354" t="str">
        <f>IF(_xlfn.XLOOKUP(A354,PARAMETROS!A:A,PARAMETROS!E:E)=0,"",_xlfn.XLOOKUP(A354,PARAMETROS!A:A,PARAMETROS!E:E))</f>
        <v/>
      </c>
      <c r="E354" t="str">
        <f>IF(_xlfn.XLOOKUP('PREENCHIMENTO|NÃO-LETIVAS'!A354,PARAMETROS!A:A,PARAMETROS!I:I)=0,"",_xlfn.XLOOKUP('PREENCHIMENTO|NÃO-LETIVAS'!A354,PARAMETROS!A:A,PARAMETROS!I:I))</f>
        <v/>
      </c>
      <c r="F354" s="3"/>
      <c r="G354" s="3"/>
      <c r="H354" s="3"/>
      <c r="I354" s="3"/>
      <c r="Y354" s="6">
        <f>_xlfn.XLOOKUP(G:G,PARAMETROS!Y:Y,PARAMETROS!AD:AD)</f>
        <v>0</v>
      </c>
    </row>
    <row r="355" spans="1:25">
      <c r="A355" s="3"/>
      <c r="B355" t="str">
        <f>IF(_xlfn.XLOOKUP(A355,PARAMETROS!A:A,PARAMETROS!B:B)=0,"",_xlfn.XLOOKUP(A355,PARAMETROS!A:A,PARAMETROS!B:B))</f>
        <v/>
      </c>
      <c r="C355" t="str">
        <f>IF(_xlfn.XLOOKUP(A355,PARAMETROS!A:A,PARAMETROS!C:C)=0,"",_xlfn.XLOOKUP(A355,PARAMETROS!A:A,PARAMETROS!C:C))</f>
        <v/>
      </c>
      <c r="D355" t="str">
        <f>IF(_xlfn.XLOOKUP(A355,PARAMETROS!A:A,PARAMETROS!E:E)=0,"",_xlfn.XLOOKUP(A355,PARAMETROS!A:A,PARAMETROS!E:E))</f>
        <v/>
      </c>
      <c r="E355" t="str">
        <f>IF(_xlfn.XLOOKUP('PREENCHIMENTO|NÃO-LETIVAS'!A355,PARAMETROS!A:A,PARAMETROS!I:I)=0,"",_xlfn.XLOOKUP('PREENCHIMENTO|NÃO-LETIVAS'!A355,PARAMETROS!A:A,PARAMETROS!I:I))</f>
        <v/>
      </c>
      <c r="F355" s="3"/>
      <c r="G355" s="3"/>
      <c r="H355" s="3"/>
      <c r="I355" s="3"/>
      <c r="Y355" s="6">
        <f>_xlfn.XLOOKUP(G:G,PARAMETROS!Y:Y,PARAMETROS!AD:AD)</f>
        <v>0</v>
      </c>
    </row>
    <row r="356" spans="1:25">
      <c r="A356" s="3"/>
      <c r="B356" t="str">
        <f>IF(_xlfn.XLOOKUP(A356,PARAMETROS!A:A,PARAMETROS!B:B)=0,"",_xlfn.XLOOKUP(A356,PARAMETROS!A:A,PARAMETROS!B:B))</f>
        <v/>
      </c>
      <c r="C356" t="str">
        <f>IF(_xlfn.XLOOKUP(A356,PARAMETROS!A:A,PARAMETROS!C:C)=0,"",_xlfn.XLOOKUP(A356,PARAMETROS!A:A,PARAMETROS!C:C))</f>
        <v/>
      </c>
      <c r="D356" t="str">
        <f>IF(_xlfn.XLOOKUP(A356,PARAMETROS!A:A,PARAMETROS!E:E)=0,"",_xlfn.XLOOKUP(A356,PARAMETROS!A:A,PARAMETROS!E:E))</f>
        <v/>
      </c>
      <c r="E356" t="str">
        <f>IF(_xlfn.XLOOKUP('PREENCHIMENTO|NÃO-LETIVAS'!A356,PARAMETROS!A:A,PARAMETROS!I:I)=0,"",_xlfn.XLOOKUP('PREENCHIMENTO|NÃO-LETIVAS'!A356,PARAMETROS!A:A,PARAMETROS!I:I))</f>
        <v/>
      </c>
      <c r="F356" s="3"/>
      <c r="G356" s="3"/>
      <c r="H356" s="3"/>
      <c r="I356" s="3"/>
      <c r="Y356" s="6">
        <f>_xlfn.XLOOKUP(G:G,PARAMETROS!Y:Y,PARAMETROS!AD:AD)</f>
        <v>0</v>
      </c>
    </row>
    <row r="357" spans="1:25">
      <c r="A357" s="3"/>
      <c r="B357" t="str">
        <f>IF(_xlfn.XLOOKUP(A357,PARAMETROS!A:A,PARAMETROS!B:B)=0,"",_xlfn.XLOOKUP(A357,PARAMETROS!A:A,PARAMETROS!B:B))</f>
        <v/>
      </c>
      <c r="C357" t="str">
        <f>IF(_xlfn.XLOOKUP(A357,PARAMETROS!A:A,PARAMETROS!C:C)=0,"",_xlfn.XLOOKUP(A357,PARAMETROS!A:A,PARAMETROS!C:C))</f>
        <v/>
      </c>
      <c r="D357" t="str">
        <f>IF(_xlfn.XLOOKUP(A357,PARAMETROS!A:A,PARAMETROS!E:E)=0,"",_xlfn.XLOOKUP(A357,PARAMETROS!A:A,PARAMETROS!E:E))</f>
        <v/>
      </c>
      <c r="E357" t="str">
        <f>IF(_xlfn.XLOOKUP('PREENCHIMENTO|NÃO-LETIVAS'!A357,PARAMETROS!A:A,PARAMETROS!I:I)=0,"",_xlfn.XLOOKUP('PREENCHIMENTO|NÃO-LETIVAS'!A357,PARAMETROS!A:A,PARAMETROS!I:I))</f>
        <v/>
      </c>
      <c r="F357" s="3"/>
      <c r="G357" s="3"/>
      <c r="H357" s="3"/>
      <c r="I357" s="3"/>
      <c r="Y357" s="6">
        <f>_xlfn.XLOOKUP(G:G,PARAMETROS!Y:Y,PARAMETROS!AD:AD)</f>
        <v>0</v>
      </c>
    </row>
    <row r="358" spans="1:25">
      <c r="A358" s="3"/>
      <c r="B358" t="str">
        <f>IF(_xlfn.XLOOKUP(A358,PARAMETROS!A:A,PARAMETROS!B:B)=0,"",_xlfn.XLOOKUP(A358,PARAMETROS!A:A,PARAMETROS!B:B))</f>
        <v/>
      </c>
      <c r="C358" t="str">
        <f>IF(_xlfn.XLOOKUP(A358,PARAMETROS!A:A,PARAMETROS!C:C)=0,"",_xlfn.XLOOKUP(A358,PARAMETROS!A:A,PARAMETROS!C:C))</f>
        <v/>
      </c>
      <c r="D358" t="str">
        <f>IF(_xlfn.XLOOKUP(A358,PARAMETROS!A:A,PARAMETROS!E:E)=0,"",_xlfn.XLOOKUP(A358,PARAMETROS!A:A,PARAMETROS!E:E))</f>
        <v/>
      </c>
      <c r="E358" t="str">
        <f>IF(_xlfn.XLOOKUP('PREENCHIMENTO|NÃO-LETIVAS'!A358,PARAMETROS!A:A,PARAMETROS!I:I)=0,"",_xlfn.XLOOKUP('PREENCHIMENTO|NÃO-LETIVAS'!A358,PARAMETROS!A:A,PARAMETROS!I:I))</f>
        <v/>
      </c>
      <c r="F358" s="3"/>
      <c r="G358" s="3"/>
      <c r="H358" s="3"/>
      <c r="I358" s="3"/>
      <c r="Y358" s="6">
        <f>_xlfn.XLOOKUP(G:G,PARAMETROS!Y:Y,PARAMETROS!AD:AD)</f>
        <v>0</v>
      </c>
    </row>
    <row r="359" spans="1:25">
      <c r="A359" s="3"/>
      <c r="B359" t="str">
        <f>IF(_xlfn.XLOOKUP(A359,PARAMETROS!A:A,PARAMETROS!B:B)=0,"",_xlfn.XLOOKUP(A359,PARAMETROS!A:A,PARAMETROS!B:B))</f>
        <v/>
      </c>
      <c r="C359" t="str">
        <f>IF(_xlfn.XLOOKUP(A359,PARAMETROS!A:A,PARAMETROS!C:C)=0,"",_xlfn.XLOOKUP(A359,PARAMETROS!A:A,PARAMETROS!C:C))</f>
        <v/>
      </c>
      <c r="D359" t="str">
        <f>IF(_xlfn.XLOOKUP(A359,PARAMETROS!A:A,PARAMETROS!E:E)=0,"",_xlfn.XLOOKUP(A359,PARAMETROS!A:A,PARAMETROS!E:E))</f>
        <v/>
      </c>
      <c r="E359" t="str">
        <f>IF(_xlfn.XLOOKUP('PREENCHIMENTO|NÃO-LETIVAS'!A359,PARAMETROS!A:A,PARAMETROS!I:I)=0,"",_xlfn.XLOOKUP('PREENCHIMENTO|NÃO-LETIVAS'!A359,PARAMETROS!A:A,PARAMETROS!I:I))</f>
        <v/>
      </c>
      <c r="F359" s="3"/>
      <c r="G359" s="3"/>
      <c r="H359" s="3"/>
      <c r="I359" s="3"/>
      <c r="Y359" s="6">
        <f>_xlfn.XLOOKUP(G:G,PARAMETROS!Y:Y,PARAMETROS!AD:AD)</f>
        <v>0</v>
      </c>
    </row>
    <row r="360" spans="1:25">
      <c r="A360" s="3"/>
      <c r="B360" t="str">
        <f>IF(_xlfn.XLOOKUP(A360,PARAMETROS!A:A,PARAMETROS!B:B)=0,"",_xlfn.XLOOKUP(A360,PARAMETROS!A:A,PARAMETROS!B:B))</f>
        <v/>
      </c>
      <c r="C360" t="str">
        <f>IF(_xlfn.XLOOKUP(A360,PARAMETROS!A:A,PARAMETROS!C:C)=0,"",_xlfn.XLOOKUP(A360,PARAMETROS!A:A,PARAMETROS!C:C))</f>
        <v/>
      </c>
      <c r="D360" t="str">
        <f>IF(_xlfn.XLOOKUP(A360,PARAMETROS!A:A,PARAMETROS!E:E)=0,"",_xlfn.XLOOKUP(A360,PARAMETROS!A:A,PARAMETROS!E:E))</f>
        <v/>
      </c>
      <c r="E360" t="str">
        <f>IF(_xlfn.XLOOKUP('PREENCHIMENTO|NÃO-LETIVAS'!A360,PARAMETROS!A:A,PARAMETROS!I:I)=0,"",_xlfn.XLOOKUP('PREENCHIMENTO|NÃO-LETIVAS'!A360,PARAMETROS!A:A,PARAMETROS!I:I))</f>
        <v/>
      </c>
      <c r="F360" s="3"/>
      <c r="G360" s="3"/>
      <c r="H360" s="3"/>
      <c r="I360" s="3"/>
      <c r="Y360" s="6">
        <f>_xlfn.XLOOKUP(G:G,PARAMETROS!Y:Y,PARAMETROS!AD:AD)</f>
        <v>0</v>
      </c>
    </row>
    <row r="361" spans="1:25">
      <c r="A361" s="3"/>
      <c r="B361" t="str">
        <f>IF(_xlfn.XLOOKUP(A361,PARAMETROS!A:A,PARAMETROS!B:B)=0,"",_xlfn.XLOOKUP(A361,PARAMETROS!A:A,PARAMETROS!B:B))</f>
        <v/>
      </c>
      <c r="C361" t="str">
        <f>IF(_xlfn.XLOOKUP(A361,PARAMETROS!A:A,PARAMETROS!C:C)=0,"",_xlfn.XLOOKUP(A361,PARAMETROS!A:A,PARAMETROS!C:C))</f>
        <v/>
      </c>
      <c r="D361" t="str">
        <f>IF(_xlfn.XLOOKUP(A361,PARAMETROS!A:A,PARAMETROS!E:E)=0,"",_xlfn.XLOOKUP(A361,PARAMETROS!A:A,PARAMETROS!E:E))</f>
        <v/>
      </c>
      <c r="E361" t="str">
        <f>IF(_xlfn.XLOOKUP('PREENCHIMENTO|NÃO-LETIVAS'!A361,PARAMETROS!A:A,PARAMETROS!I:I)=0,"",_xlfn.XLOOKUP('PREENCHIMENTO|NÃO-LETIVAS'!A361,PARAMETROS!A:A,PARAMETROS!I:I))</f>
        <v/>
      </c>
      <c r="F361" s="3"/>
      <c r="G361" s="3"/>
      <c r="H361" s="3"/>
      <c r="I361" s="3"/>
      <c r="Y361" s="6">
        <f>_xlfn.XLOOKUP(G:G,PARAMETROS!Y:Y,PARAMETROS!AD:AD)</f>
        <v>0</v>
      </c>
    </row>
    <row r="362" spans="1:25">
      <c r="A362" s="3"/>
      <c r="B362" t="str">
        <f>IF(_xlfn.XLOOKUP(A362,PARAMETROS!A:A,PARAMETROS!B:B)=0,"",_xlfn.XLOOKUP(A362,PARAMETROS!A:A,PARAMETROS!B:B))</f>
        <v/>
      </c>
      <c r="C362" t="str">
        <f>IF(_xlfn.XLOOKUP(A362,PARAMETROS!A:A,PARAMETROS!C:C)=0,"",_xlfn.XLOOKUP(A362,PARAMETROS!A:A,PARAMETROS!C:C))</f>
        <v/>
      </c>
      <c r="D362" t="str">
        <f>IF(_xlfn.XLOOKUP(A362,PARAMETROS!A:A,PARAMETROS!E:E)=0,"",_xlfn.XLOOKUP(A362,PARAMETROS!A:A,PARAMETROS!E:E))</f>
        <v/>
      </c>
      <c r="E362" t="str">
        <f>IF(_xlfn.XLOOKUP('PREENCHIMENTO|NÃO-LETIVAS'!A362,PARAMETROS!A:A,PARAMETROS!I:I)=0,"",_xlfn.XLOOKUP('PREENCHIMENTO|NÃO-LETIVAS'!A362,PARAMETROS!A:A,PARAMETROS!I:I))</f>
        <v/>
      </c>
      <c r="F362" s="3"/>
      <c r="G362" s="3"/>
      <c r="H362" s="3"/>
      <c r="I362" s="3"/>
      <c r="Y362" s="6">
        <f>_xlfn.XLOOKUP(G:G,PARAMETROS!Y:Y,PARAMETROS!AD:AD)</f>
        <v>0</v>
      </c>
    </row>
    <row r="363" spans="1:25">
      <c r="A363" s="3"/>
      <c r="B363" t="str">
        <f>IF(_xlfn.XLOOKUP(A363,PARAMETROS!A:A,PARAMETROS!B:B)=0,"",_xlfn.XLOOKUP(A363,PARAMETROS!A:A,PARAMETROS!B:B))</f>
        <v/>
      </c>
      <c r="C363" t="str">
        <f>IF(_xlfn.XLOOKUP(A363,PARAMETROS!A:A,PARAMETROS!C:C)=0,"",_xlfn.XLOOKUP(A363,PARAMETROS!A:A,PARAMETROS!C:C))</f>
        <v/>
      </c>
      <c r="D363" t="str">
        <f>IF(_xlfn.XLOOKUP(A363,PARAMETROS!A:A,PARAMETROS!E:E)=0,"",_xlfn.XLOOKUP(A363,PARAMETROS!A:A,PARAMETROS!E:E))</f>
        <v/>
      </c>
      <c r="E363" t="str">
        <f>IF(_xlfn.XLOOKUP('PREENCHIMENTO|NÃO-LETIVAS'!A363,PARAMETROS!A:A,PARAMETROS!I:I)=0,"",_xlfn.XLOOKUP('PREENCHIMENTO|NÃO-LETIVAS'!A363,PARAMETROS!A:A,PARAMETROS!I:I))</f>
        <v/>
      </c>
      <c r="F363" s="3"/>
      <c r="G363" s="3"/>
      <c r="H363" s="3"/>
      <c r="I363" s="3"/>
      <c r="Y363" s="6">
        <f>_xlfn.XLOOKUP(G:G,PARAMETROS!Y:Y,PARAMETROS!AD:AD)</f>
        <v>0</v>
      </c>
    </row>
    <row r="364" spans="1:25">
      <c r="A364" s="3"/>
      <c r="B364" t="str">
        <f>IF(_xlfn.XLOOKUP(A364,PARAMETROS!A:A,PARAMETROS!B:B)=0,"",_xlfn.XLOOKUP(A364,PARAMETROS!A:A,PARAMETROS!B:B))</f>
        <v/>
      </c>
      <c r="C364" t="str">
        <f>IF(_xlfn.XLOOKUP(A364,PARAMETROS!A:A,PARAMETROS!C:C)=0,"",_xlfn.XLOOKUP(A364,PARAMETROS!A:A,PARAMETROS!C:C))</f>
        <v/>
      </c>
      <c r="D364" t="str">
        <f>IF(_xlfn.XLOOKUP(A364,PARAMETROS!A:A,PARAMETROS!E:E)=0,"",_xlfn.XLOOKUP(A364,PARAMETROS!A:A,PARAMETROS!E:E))</f>
        <v/>
      </c>
      <c r="E364" t="str">
        <f>IF(_xlfn.XLOOKUP('PREENCHIMENTO|NÃO-LETIVAS'!A364,PARAMETROS!A:A,PARAMETROS!I:I)=0,"",_xlfn.XLOOKUP('PREENCHIMENTO|NÃO-LETIVAS'!A364,PARAMETROS!A:A,PARAMETROS!I:I))</f>
        <v/>
      </c>
      <c r="F364" s="3"/>
      <c r="G364" s="3"/>
      <c r="H364" s="3"/>
      <c r="I364" s="3"/>
      <c r="Y364" s="6">
        <f>_xlfn.XLOOKUP(G:G,PARAMETROS!Y:Y,PARAMETROS!AD:AD)</f>
        <v>0</v>
      </c>
    </row>
    <row r="365" spans="1:25">
      <c r="A365" s="3"/>
      <c r="B365" t="str">
        <f>IF(_xlfn.XLOOKUP(A365,PARAMETROS!A:A,PARAMETROS!B:B)=0,"",_xlfn.XLOOKUP(A365,PARAMETROS!A:A,PARAMETROS!B:B))</f>
        <v/>
      </c>
      <c r="C365" t="str">
        <f>IF(_xlfn.XLOOKUP(A365,PARAMETROS!A:A,PARAMETROS!C:C)=0,"",_xlfn.XLOOKUP(A365,PARAMETROS!A:A,PARAMETROS!C:C))</f>
        <v/>
      </c>
      <c r="D365" t="str">
        <f>IF(_xlfn.XLOOKUP(A365,PARAMETROS!A:A,PARAMETROS!E:E)=0,"",_xlfn.XLOOKUP(A365,PARAMETROS!A:A,PARAMETROS!E:E))</f>
        <v/>
      </c>
      <c r="E365" t="str">
        <f>IF(_xlfn.XLOOKUP('PREENCHIMENTO|NÃO-LETIVAS'!A365,PARAMETROS!A:A,PARAMETROS!I:I)=0,"",_xlfn.XLOOKUP('PREENCHIMENTO|NÃO-LETIVAS'!A365,PARAMETROS!A:A,PARAMETROS!I:I))</f>
        <v/>
      </c>
      <c r="F365" s="3"/>
      <c r="G365" s="3"/>
      <c r="H365" s="3"/>
      <c r="I365" s="3"/>
      <c r="Y365" s="6">
        <f>_xlfn.XLOOKUP(G:G,PARAMETROS!Y:Y,PARAMETROS!AD:AD)</f>
        <v>0</v>
      </c>
    </row>
    <row r="366" spans="1:25">
      <c r="A366" s="3"/>
      <c r="B366" t="str">
        <f>IF(_xlfn.XLOOKUP(A366,PARAMETROS!A:A,PARAMETROS!B:B)=0,"",_xlfn.XLOOKUP(A366,PARAMETROS!A:A,PARAMETROS!B:B))</f>
        <v/>
      </c>
      <c r="C366" t="str">
        <f>IF(_xlfn.XLOOKUP(A366,PARAMETROS!A:A,PARAMETROS!C:C)=0,"",_xlfn.XLOOKUP(A366,PARAMETROS!A:A,PARAMETROS!C:C))</f>
        <v/>
      </c>
      <c r="D366" t="str">
        <f>IF(_xlfn.XLOOKUP(A366,PARAMETROS!A:A,PARAMETROS!E:E)=0,"",_xlfn.XLOOKUP(A366,PARAMETROS!A:A,PARAMETROS!E:E))</f>
        <v/>
      </c>
      <c r="E366" t="str">
        <f>IF(_xlfn.XLOOKUP('PREENCHIMENTO|NÃO-LETIVAS'!A366,PARAMETROS!A:A,PARAMETROS!I:I)=0,"",_xlfn.XLOOKUP('PREENCHIMENTO|NÃO-LETIVAS'!A366,PARAMETROS!A:A,PARAMETROS!I:I))</f>
        <v/>
      </c>
      <c r="F366" s="3"/>
      <c r="G366" s="3"/>
      <c r="H366" s="3"/>
      <c r="I366" s="3"/>
      <c r="Y366" s="6">
        <f>_xlfn.XLOOKUP(G:G,PARAMETROS!Y:Y,PARAMETROS!AD:AD)</f>
        <v>0</v>
      </c>
    </row>
    <row r="367" spans="1:25">
      <c r="A367" s="3"/>
      <c r="B367" t="str">
        <f>IF(_xlfn.XLOOKUP(A367,PARAMETROS!A:A,PARAMETROS!B:B)=0,"",_xlfn.XLOOKUP(A367,PARAMETROS!A:A,PARAMETROS!B:B))</f>
        <v/>
      </c>
      <c r="C367" t="str">
        <f>IF(_xlfn.XLOOKUP(A367,PARAMETROS!A:A,PARAMETROS!C:C)=0,"",_xlfn.XLOOKUP(A367,PARAMETROS!A:A,PARAMETROS!C:C))</f>
        <v/>
      </c>
      <c r="D367" t="str">
        <f>IF(_xlfn.XLOOKUP(A367,PARAMETROS!A:A,PARAMETROS!E:E)=0,"",_xlfn.XLOOKUP(A367,PARAMETROS!A:A,PARAMETROS!E:E))</f>
        <v/>
      </c>
      <c r="E367" t="str">
        <f>IF(_xlfn.XLOOKUP('PREENCHIMENTO|NÃO-LETIVAS'!A367,PARAMETROS!A:A,PARAMETROS!I:I)=0,"",_xlfn.XLOOKUP('PREENCHIMENTO|NÃO-LETIVAS'!A367,PARAMETROS!A:A,PARAMETROS!I:I))</f>
        <v/>
      </c>
      <c r="F367" s="3"/>
      <c r="G367" s="3"/>
      <c r="H367" s="3"/>
      <c r="I367" s="3"/>
      <c r="Y367" s="6">
        <f>_xlfn.XLOOKUP(G:G,PARAMETROS!Y:Y,PARAMETROS!AD:AD)</f>
        <v>0</v>
      </c>
    </row>
    <row r="368" spans="1:25">
      <c r="A368" s="3"/>
      <c r="B368" t="str">
        <f>IF(_xlfn.XLOOKUP(A368,PARAMETROS!A:A,PARAMETROS!B:B)=0,"",_xlfn.XLOOKUP(A368,PARAMETROS!A:A,PARAMETROS!B:B))</f>
        <v/>
      </c>
      <c r="C368" t="str">
        <f>IF(_xlfn.XLOOKUP(A368,PARAMETROS!A:A,PARAMETROS!C:C)=0,"",_xlfn.XLOOKUP(A368,PARAMETROS!A:A,PARAMETROS!C:C))</f>
        <v/>
      </c>
      <c r="D368" t="str">
        <f>IF(_xlfn.XLOOKUP(A368,PARAMETROS!A:A,PARAMETROS!E:E)=0,"",_xlfn.XLOOKUP(A368,PARAMETROS!A:A,PARAMETROS!E:E))</f>
        <v/>
      </c>
      <c r="E368" t="str">
        <f>IF(_xlfn.XLOOKUP('PREENCHIMENTO|NÃO-LETIVAS'!A368,PARAMETROS!A:A,PARAMETROS!I:I)=0,"",_xlfn.XLOOKUP('PREENCHIMENTO|NÃO-LETIVAS'!A368,PARAMETROS!A:A,PARAMETROS!I:I))</f>
        <v/>
      </c>
      <c r="F368" s="3"/>
      <c r="G368" s="3"/>
      <c r="H368" s="3"/>
      <c r="I368" s="3"/>
      <c r="Y368" s="6">
        <f>_xlfn.XLOOKUP(G:G,PARAMETROS!Y:Y,PARAMETROS!AD:AD)</f>
        <v>0</v>
      </c>
    </row>
    <row r="369" spans="1:25">
      <c r="A369" s="3"/>
      <c r="B369" t="str">
        <f>IF(_xlfn.XLOOKUP(A369,PARAMETROS!A:A,PARAMETROS!B:B)=0,"",_xlfn.XLOOKUP(A369,PARAMETROS!A:A,PARAMETROS!B:B))</f>
        <v/>
      </c>
      <c r="C369" t="str">
        <f>IF(_xlfn.XLOOKUP(A369,PARAMETROS!A:A,PARAMETROS!C:C)=0,"",_xlfn.XLOOKUP(A369,PARAMETROS!A:A,PARAMETROS!C:C))</f>
        <v/>
      </c>
      <c r="D369" t="str">
        <f>IF(_xlfn.XLOOKUP(A369,PARAMETROS!A:A,PARAMETROS!E:E)=0,"",_xlfn.XLOOKUP(A369,PARAMETROS!A:A,PARAMETROS!E:E))</f>
        <v/>
      </c>
      <c r="E369" t="str">
        <f>IF(_xlfn.XLOOKUP('PREENCHIMENTO|NÃO-LETIVAS'!A369,PARAMETROS!A:A,PARAMETROS!I:I)=0,"",_xlfn.XLOOKUP('PREENCHIMENTO|NÃO-LETIVAS'!A369,PARAMETROS!A:A,PARAMETROS!I:I))</f>
        <v/>
      </c>
      <c r="F369" s="3"/>
      <c r="G369" s="3"/>
      <c r="H369" s="3"/>
      <c r="I369" s="3"/>
      <c r="Y369" s="6">
        <f>_xlfn.XLOOKUP(G:G,PARAMETROS!Y:Y,PARAMETROS!AD:AD)</f>
        <v>0</v>
      </c>
    </row>
    <row r="370" spans="1:25">
      <c r="A370" s="3"/>
      <c r="B370" t="str">
        <f>IF(_xlfn.XLOOKUP(A370,PARAMETROS!A:A,PARAMETROS!B:B)=0,"",_xlfn.XLOOKUP(A370,PARAMETROS!A:A,PARAMETROS!B:B))</f>
        <v/>
      </c>
      <c r="C370" t="str">
        <f>IF(_xlfn.XLOOKUP(A370,PARAMETROS!A:A,PARAMETROS!C:C)=0,"",_xlfn.XLOOKUP(A370,PARAMETROS!A:A,PARAMETROS!C:C))</f>
        <v/>
      </c>
      <c r="D370" t="str">
        <f>IF(_xlfn.XLOOKUP(A370,PARAMETROS!A:A,PARAMETROS!E:E)=0,"",_xlfn.XLOOKUP(A370,PARAMETROS!A:A,PARAMETROS!E:E))</f>
        <v/>
      </c>
      <c r="E370" t="str">
        <f>IF(_xlfn.XLOOKUP('PREENCHIMENTO|NÃO-LETIVAS'!A370,PARAMETROS!A:A,PARAMETROS!I:I)=0,"",_xlfn.XLOOKUP('PREENCHIMENTO|NÃO-LETIVAS'!A370,PARAMETROS!A:A,PARAMETROS!I:I))</f>
        <v/>
      </c>
      <c r="F370" s="3"/>
      <c r="G370" s="3"/>
      <c r="H370" s="3"/>
      <c r="I370" s="3"/>
      <c r="Y370" s="6">
        <f>_xlfn.XLOOKUP(G:G,PARAMETROS!Y:Y,PARAMETROS!AD:AD)</f>
        <v>0</v>
      </c>
    </row>
    <row r="371" spans="1:25">
      <c r="A371" s="3"/>
      <c r="B371" t="str">
        <f>IF(_xlfn.XLOOKUP(A371,PARAMETROS!A:A,PARAMETROS!B:B)=0,"",_xlfn.XLOOKUP(A371,PARAMETROS!A:A,PARAMETROS!B:B))</f>
        <v/>
      </c>
      <c r="C371" t="str">
        <f>IF(_xlfn.XLOOKUP(A371,PARAMETROS!A:A,PARAMETROS!C:C)=0,"",_xlfn.XLOOKUP(A371,PARAMETROS!A:A,PARAMETROS!C:C))</f>
        <v/>
      </c>
      <c r="D371" t="str">
        <f>IF(_xlfn.XLOOKUP(A371,PARAMETROS!A:A,PARAMETROS!E:E)=0,"",_xlfn.XLOOKUP(A371,PARAMETROS!A:A,PARAMETROS!E:E))</f>
        <v/>
      </c>
      <c r="E371" t="str">
        <f>IF(_xlfn.XLOOKUP('PREENCHIMENTO|NÃO-LETIVAS'!A371,PARAMETROS!A:A,PARAMETROS!I:I)=0,"",_xlfn.XLOOKUP('PREENCHIMENTO|NÃO-LETIVAS'!A371,PARAMETROS!A:A,PARAMETROS!I:I))</f>
        <v/>
      </c>
      <c r="F371" s="3"/>
      <c r="G371" s="3"/>
      <c r="H371" s="3"/>
      <c r="I371" s="3"/>
      <c r="Y371" s="6">
        <f>_xlfn.XLOOKUP(G:G,PARAMETROS!Y:Y,PARAMETROS!AD:AD)</f>
        <v>0</v>
      </c>
    </row>
    <row r="372" spans="1:25">
      <c r="A372" s="3"/>
      <c r="B372" t="str">
        <f>IF(_xlfn.XLOOKUP(A372,PARAMETROS!A:A,PARAMETROS!B:B)=0,"",_xlfn.XLOOKUP(A372,PARAMETROS!A:A,PARAMETROS!B:B))</f>
        <v/>
      </c>
      <c r="C372" t="str">
        <f>IF(_xlfn.XLOOKUP(A372,PARAMETROS!A:A,PARAMETROS!C:C)=0,"",_xlfn.XLOOKUP(A372,PARAMETROS!A:A,PARAMETROS!C:C))</f>
        <v/>
      </c>
      <c r="D372" t="str">
        <f>IF(_xlfn.XLOOKUP(A372,PARAMETROS!A:A,PARAMETROS!E:E)=0,"",_xlfn.XLOOKUP(A372,PARAMETROS!A:A,PARAMETROS!E:E))</f>
        <v/>
      </c>
      <c r="E372" t="str">
        <f>IF(_xlfn.XLOOKUP('PREENCHIMENTO|NÃO-LETIVAS'!A372,PARAMETROS!A:A,PARAMETROS!I:I)=0,"",_xlfn.XLOOKUP('PREENCHIMENTO|NÃO-LETIVAS'!A372,PARAMETROS!A:A,PARAMETROS!I:I))</f>
        <v/>
      </c>
      <c r="F372" s="3"/>
      <c r="G372" s="3"/>
      <c r="H372" s="3"/>
      <c r="I372" s="3"/>
      <c r="Y372" s="6">
        <f>_xlfn.XLOOKUP(G:G,PARAMETROS!Y:Y,PARAMETROS!AD:AD)</f>
        <v>0</v>
      </c>
    </row>
    <row r="373" spans="1:25">
      <c r="A373" s="3"/>
      <c r="B373" t="str">
        <f>IF(_xlfn.XLOOKUP(A373,PARAMETROS!A:A,PARAMETROS!B:B)=0,"",_xlfn.XLOOKUP(A373,PARAMETROS!A:A,PARAMETROS!B:B))</f>
        <v/>
      </c>
      <c r="C373" t="str">
        <f>IF(_xlfn.XLOOKUP(A373,PARAMETROS!A:A,PARAMETROS!C:C)=0,"",_xlfn.XLOOKUP(A373,PARAMETROS!A:A,PARAMETROS!C:C))</f>
        <v/>
      </c>
      <c r="D373" t="str">
        <f>IF(_xlfn.XLOOKUP(A373,PARAMETROS!A:A,PARAMETROS!E:E)=0,"",_xlfn.XLOOKUP(A373,PARAMETROS!A:A,PARAMETROS!E:E))</f>
        <v/>
      </c>
      <c r="E373" t="str">
        <f>IF(_xlfn.XLOOKUP('PREENCHIMENTO|NÃO-LETIVAS'!A373,PARAMETROS!A:A,PARAMETROS!I:I)=0,"",_xlfn.XLOOKUP('PREENCHIMENTO|NÃO-LETIVAS'!A373,PARAMETROS!A:A,PARAMETROS!I:I))</f>
        <v/>
      </c>
      <c r="F373" s="3"/>
      <c r="G373" s="3"/>
      <c r="H373" s="3"/>
      <c r="I373" s="3"/>
      <c r="Y373" s="6">
        <f>_xlfn.XLOOKUP(G:G,PARAMETROS!Y:Y,PARAMETROS!AD:AD)</f>
        <v>0</v>
      </c>
    </row>
    <row r="374" spans="1:25">
      <c r="A374" s="3"/>
      <c r="B374" t="str">
        <f>IF(_xlfn.XLOOKUP(A374,PARAMETROS!A:A,PARAMETROS!B:B)=0,"",_xlfn.XLOOKUP(A374,PARAMETROS!A:A,PARAMETROS!B:B))</f>
        <v/>
      </c>
      <c r="C374" t="str">
        <f>IF(_xlfn.XLOOKUP(A374,PARAMETROS!A:A,PARAMETROS!C:C)=0,"",_xlfn.XLOOKUP(A374,PARAMETROS!A:A,PARAMETROS!C:C))</f>
        <v/>
      </c>
      <c r="D374" t="str">
        <f>IF(_xlfn.XLOOKUP(A374,PARAMETROS!A:A,PARAMETROS!E:E)=0,"",_xlfn.XLOOKUP(A374,PARAMETROS!A:A,PARAMETROS!E:E))</f>
        <v/>
      </c>
      <c r="E374" t="str">
        <f>IF(_xlfn.XLOOKUP('PREENCHIMENTO|NÃO-LETIVAS'!A374,PARAMETROS!A:A,PARAMETROS!I:I)=0,"",_xlfn.XLOOKUP('PREENCHIMENTO|NÃO-LETIVAS'!A374,PARAMETROS!A:A,PARAMETROS!I:I))</f>
        <v/>
      </c>
      <c r="F374" s="3"/>
      <c r="G374" s="3"/>
      <c r="H374" s="3"/>
      <c r="I374" s="3"/>
      <c r="Y374" s="6">
        <f>_xlfn.XLOOKUP(G:G,PARAMETROS!Y:Y,PARAMETROS!AD:AD)</f>
        <v>0</v>
      </c>
    </row>
    <row r="375" spans="1:25">
      <c r="A375" s="3"/>
      <c r="B375" t="str">
        <f>IF(_xlfn.XLOOKUP(A375,PARAMETROS!A:A,PARAMETROS!B:B)=0,"",_xlfn.XLOOKUP(A375,PARAMETROS!A:A,PARAMETROS!B:B))</f>
        <v/>
      </c>
      <c r="C375" t="str">
        <f>IF(_xlfn.XLOOKUP(A375,PARAMETROS!A:A,PARAMETROS!C:C)=0,"",_xlfn.XLOOKUP(A375,PARAMETROS!A:A,PARAMETROS!C:C))</f>
        <v/>
      </c>
      <c r="D375" t="str">
        <f>IF(_xlfn.XLOOKUP(A375,PARAMETROS!A:A,PARAMETROS!E:E)=0,"",_xlfn.XLOOKUP(A375,PARAMETROS!A:A,PARAMETROS!E:E))</f>
        <v/>
      </c>
      <c r="E375" t="str">
        <f>IF(_xlfn.XLOOKUP('PREENCHIMENTO|NÃO-LETIVAS'!A375,PARAMETROS!A:A,PARAMETROS!I:I)=0,"",_xlfn.XLOOKUP('PREENCHIMENTO|NÃO-LETIVAS'!A375,PARAMETROS!A:A,PARAMETROS!I:I))</f>
        <v/>
      </c>
      <c r="F375" s="3"/>
      <c r="G375" s="3"/>
      <c r="H375" s="3"/>
      <c r="I375" s="3"/>
      <c r="Y375" s="6">
        <f>_xlfn.XLOOKUP(G:G,PARAMETROS!Y:Y,PARAMETROS!AD:AD)</f>
        <v>0</v>
      </c>
    </row>
    <row r="376" spans="1:25">
      <c r="A376" s="3"/>
      <c r="B376" t="str">
        <f>IF(_xlfn.XLOOKUP(A376,PARAMETROS!A:A,PARAMETROS!B:B)=0,"",_xlfn.XLOOKUP(A376,PARAMETROS!A:A,PARAMETROS!B:B))</f>
        <v/>
      </c>
      <c r="C376" t="str">
        <f>IF(_xlfn.XLOOKUP(A376,PARAMETROS!A:A,PARAMETROS!C:C)=0,"",_xlfn.XLOOKUP(A376,PARAMETROS!A:A,PARAMETROS!C:C))</f>
        <v/>
      </c>
      <c r="D376" t="str">
        <f>IF(_xlfn.XLOOKUP(A376,PARAMETROS!A:A,PARAMETROS!E:E)=0,"",_xlfn.XLOOKUP(A376,PARAMETROS!A:A,PARAMETROS!E:E))</f>
        <v/>
      </c>
      <c r="E376" t="str">
        <f>IF(_xlfn.XLOOKUP('PREENCHIMENTO|NÃO-LETIVAS'!A376,PARAMETROS!A:A,PARAMETROS!I:I)=0,"",_xlfn.XLOOKUP('PREENCHIMENTO|NÃO-LETIVAS'!A376,PARAMETROS!A:A,PARAMETROS!I:I))</f>
        <v/>
      </c>
      <c r="F376" s="3"/>
      <c r="G376" s="3"/>
      <c r="H376" s="3"/>
      <c r="I376" s="3"/>
      <c r="Y376" s="6">
        <f>_xlfn.XLOOKUP(G:G,PARAMETROS!Y:Y,PARAMETROS!AD:AD)</f>
        <v>0</v>
      </c>
    </row>
    <row r="377" spans="1:25">
      <c r="A377" s="3"/>
      <c r="B377" t="str">
        <f>IF(_xlfn.XLOOKUP(A377,PARAMETROS!A:A,PARAMETROS!B:B)=0,"",_xlfn.XLOOKUP(A377,PARAMETROS!A:A,PARAMETROS!B:B))</f>
        <v/>
      </c>
      <c r="C377" t="str">
        <f>IF(_xlfn.XLOOKUP(A377,PARAMETROS!A:A,PARAMETROS!C:C)=0,"",_xlfn.XLOOKUP(A377,PARAMETROS!A:A,PARAMETROS!C:C))</f>
        <v/>
      </c>
      <c r="D377" t="str">
        <f>IF(_xlfn.XLOOKUP(A377,PARAMETROS!A:A,PARAMETROS!E:E)=0,"",_xlfn.XLOOKUP(A377,PARAMETROS!A:A,PARAMETROS!E:E))</f>
        <v/>
      </c>
      <c r="E377" t="str">
        <f>IF(_xlfn.XLOOKUP('PREENCHIMENTO|NÃO-LETIVAS'!A377,PARAMETROS!A:A,PARAMETROS!I:I)=0,"",_xlfn.XLOOKUP('PREENCHIMENTO|NÃO-LETIVAS'!A377,PARAMETROS!A:A,PARAMETROS!I:I))</f>
        <v/>
      </c>
      <c r="F377" s="3"/>
      <c r="G377" s="3"/>
      <c r="H377" s="3"/>
      <c r="I377" s="3"/>
      <c r="Y377" s="6">
        <f>_xlfn.XLOOKUP(G:G,PARAMETROS!Y:Y,PARAMETROS!AD:AD)</f>
        <v>0</v>
      </c>
    </row>
    <row r="378" spans="1:25">
      <c r="A378" s="3"/>
      <c r="B378" t="str">
        <f>IF(_xlfn.XLOOKUP(A378,PARAMETROS!A:A,PARAMETROS!B:B)=0,"",_xlfn.XLOOKUP(A378,PARAMETROS!A:A,PARAMETROS!B:B))</f>
        <v/>
      </c>
      <c r="C378" t="str">
        <f>IF(_xlfn.XLOOKUP(A378,PARAMETROS!A:A,PARAMETROS!C:C)=0,"",_xlfn.XLOOKUP(A378,PARAMETROS!A:A,PARAMETROS!C:C))</f>
        <v/>
      </c>
      <c r="D378" t="str">
        <f>IF(_xlfn.XLOOKUP(A378,PARAMETROS!A:A,PARAMETROS!E:E)=0,"",_xlfn.XLOOKUP(A378,PARAMETROS!A:A,PARAMETROS!E:E))</f>
        <v/>
      </c>
      <c r="E378" t="str">
        <f>IF(_xlfn.XLOOKUP('PREENCHIMENTO|NÃO-LETIVAS'!A378,PARAMETROS!A:A,PARAMETROS!I:I)=0,"",_xlfn.XLOOKUP('PREENCHIMENTO|NÃO-LETIVAS'!A378,PARAMETROS!A:A,PARAMETROS!I:I))</f>
        <v/>
      </c>
      <c r="F378" s="3"/>
      <c r="G378" s="3"/>
      <c r="H378" s="3"/>
      <c r="I378" s="3"/>
      <c r="Y378" s="6">
        <f>_xlfn.XLOOKUP(G:G,PARAMETROS!Y:Y,PARAMETROS!AD:AD)</f>
        <v>0</v>
      </c>
    </row>
    <row r="379" spans="1:25">
      <c r="A379" s="3"/>
      <c r="B379" t="str">
        <f>IF(_xlfn.XLOOKUP(A379,PARAMETROS!A:A,PARAMETROS!B:B)=0,"",_xlfn.XLOOKUP(A379,PARAMETROS!A:A,PARAMETROS!B:B))</f>
        <v/>
      </c>
      <c r="C379" t="str">
        <f>IF(_xlfn.XLOOKUP(A379,PARAMETROS!A:A,PARAMETROS!C:C)=0,"",_xlfn.XLOOKUP(A379,PARAMETROS!A:A,PARAMETROS!C:C))</f>
        <v/>
      </c>
      <c r="D379" t="str">
        <f>IF(_xlfn.XLOOKUP(A379,PARAMETROS!A:A,PARAMETROS!E:E)=0,"",_xlfn.XLOOKUP(A379,PARAMETROS!A:A,PARAMETROS!E:E))</f>
        <v/>
      </c>
      <c r="E379" t="str">
        <f>IF(_xlfn.XLOOKUP('PREENCHIMENTO|NÃO-LETIVAS'!A379,PARAMETROS!A:A,PARAMETROS!I:I)=0,"",_xlfn.XLOOKUP('PREENCHIMENTO|NÃO-LETIVAS'!A379,PARAMETROS!A:A,PARAMETROS!I:I))</f>
        <v/>
      </c>
      <c r="F379" s="3"/>
      <c r="G379" s="3"/>
      <c r="H379" s="3"/>
      <c r="I379" s="3"/>
      <c r="Y379" s="6">
        <f>_xlfn.XLOOKUP(G:G,PARAMETROS!Y:Y,PARAMETROS!AD:AD)</f>
        <v>0</v>
      </c>
    </row>
    <row r="380" spans="1:25">
      <c r="A380" s="3"/>
      <c r="B380" t="str">
        <f>IF(_xlfn.XLOOKUP(A380,PARAMETROS!A:A,PARAMETROS!B:B)=0,"",_xlfn.XLOOKUP(A380,PARAMETROS!A:A,PARAMETROS!B:B))</f>
        <v/>
      </c>
      <c r="C380" t="str">
        <f>IF(_xlfn.XLOOKUP(A380,PARAMETROS!A:A,PARAMETROS!C:C)=0,"",_xlfn.XLOOKUP(A380,PARAMETROS!A:A,PARAMETROS!C:C))</f>
        <v/>
      </c>
      <c r="D380" t="str">
        <f>IF(_xlfn.XLOOKUP(A380,PARAMETROS!A:A,PARAMETROS!E:E)=0,"",_xlfn.XLOOKUP(A380,PARAMETROS!A:A,PARAMETROS!E:E))</f>
        <v/>
      </c>
      <c r="E380" t="str">
        <f>IF(_xlfn.XLOOKUP('PREENCHIMENTO|NÃO-LETIVAS'!A380,PARAMETROS!A:A,PARAMETROS!I:I)=0,"",_xlfn.XLOOKUP('PREENCHIMENTO|NÃO-LETIVAS'!A380,PARAMETROS!A:A,PARAMETROS!I:I))</f>
        <v/>
      </c>
      <c r="F380" s="3"/>
      <c r="G380" s="3"/>
      <c r="H380" s="3"/>
      <c r="I380" s="3"/>
      <c r="Y380" s="6">
        <f>_xlfn.XLOOKUP(G:G,PARAMETROS!Y:Y,PARAMETROS!AD:AD)</f>
        <v>0</v>
      </c>
    </row>
    <row r="381" spans="1:25">
      <c r="A381" s="3"/>
      <c r="B381" t="str">
        <f>IF(_xlfn.XLOOKUP(A381,PARAMETROS!A:A,PARAMETROS!B:B)=0,"",_xlfn.XLOOKUP(A381,PARAMETROS!A:A,PARAMETROS!B:B))</f>
        <v/>
      </c>
      <c r="C381" t="str">
        <f>IF(_xlfn.XLOOKUP(A381,PARAMETROS!A:A,PARAMETROS!C:C)=0,"",_xlfn.XLOOKUP(A381,PARAMETROS!A:A,PARAMETROS!C:C))</f>
        <v/>
      </c>
      <c r="D381" t="str">
        <f>IF(_xlfn.XLOOKUP(A381,PARAMETROS!A:A,PARAMETROS!E:E)=0,"",_xlfn.XLOOKUP(A381,PARAMETROS!A:A,PARAMETROS!E:E))</f>
        <v/>
      </c>
      <c r="E381" t="str">
        <f>IF(_xlfn.XLOOKUP('PREENCHIMENTO|NÃO-LETIVAS'!A381,PARAMETROS!A:A,PARAMETROS!I:I)=0,"",_xlfn.XLOOKUP('PREENCHIMENTO|NÃO-LETIVAS'!A381,PARAMETROS!A:A,PARAMETROS!I:I))</f>
        <v/>
      </c>
      <c r="F381" s="3"/>
      <c r="G381" s="3"/>
      <c r="H381" s="3"/>
      <c r="I381" s="3"/>
      <c r="Y381" s="6">
        <f>_xlfn.XLOOKUP(G:G,PARAMETROS!Y:Y,PARAMETROS!AD:AD)</f>
        <v>0</v>
      </c>
    </row>
    <row r="382" spans="1:25">
      <c r="A382" s="3"/>
      <c r="B382" t="str">
        <f>IF(_xlfn.XLOOKUP(A382,PARAMETROS!A:A,PARAMETROS!B:B)=0,"",_xlfn.XLOOKUP(A382,PARAMETROS!A:A,PARAMETROS!B:B))</f>
        <v/>
      </c>
      <c r="C382" t="str">
        <f>IF(_xlfn.XLOOKUP(A382,PARAMETROS!A:A,PARAMETROS!C:C)=0,"",_xlfn.XLOOKUP(A382,PARAMETROS!A:A,PARAMETROS!C:C))</f>
        <v/>
      </c>
      <c r="D382" t="str">
        <f>IF(_xlfn.XLOOKUP(A382,PARAMETROS!A:A,PARAMETROS!E:E)=0,"",_xlfn.XLOOKUP(A382,PARAMETROS!A:A,PARAMETROS!E:E))</f>
        <v/>
      </c>
      <c r="E382" t="str">
        <f>IF(_xlfn.XLOOKUP('PREENCHIMENTO|NÃO-LETIVAS'!A382,PARAMETROS!A:A,PARAMETROS!I:I)=0,"",_xlfn.XLOOKUP('PREENCHIMENTO|NÃO-LETIVAS'!A382,PARAMETROS!A:A,PARAMETROS!I:I))</f>
        <v/>
      </c>
      <c r="F382" s="3"/>
      <c r="G382" s="3"/>
      <c r="H382" s="3"/>
      <c r="I382" s="3"/>
      <c r="Y382" s="6">
        <f>_xlfn.XLOOKUP(G:G,PARAMETROS!Y:Y,PARAMETROS!AD:AD)</f>
        <v>0</v>
      </c>
    </row>
    <row r="383" spans="1:25">
      <c r="A383" s="3"/>
      <c r="B383" t="str">
        <f>IF(_xlfn.XLOOKUP(A383,PARAMETROS!A:A,PARAMETROS!B:B)=0,"",_xlfn.XLOOKUP(A383,PARAMETROS!A:A,PARAMETROS!B:B))</f>
        <v/>
      </c>
      <c r="C383" t="str">
        <f>IF(_xlfn.XLOOKUP(A383,PARAMETROS!A:A,PARAMETROS!C:C)=0,"",_xlfn.XLOOKUP(A383,PARAMETROS!A:A,PARAMETROS!C:C))</f>
        <v/>
      </c>
      <c r="D383" t="str">
        <f>IF(_xlfn.XLOOKUP(A383,PARAMETROS!A:A,PARAMETROS!E:E)=0,"",_xlfn.XLOOKUP(A383,PARAMETROS!A:A,PARAMETROS!E:E))</f>
        <v/>
      </c>
      <c r="E383" t="str">
        <f>IF(_xlfn.XLOOKUP('PREENCHIMENTO|NÃO-LETIVAS'!A383,PARAMETROS!A:A,PARAMETROS!I:I)=0,"",_xlfn.XLOOKUP('PREENCHIMENTO|NÃO-LETIVAS'!A383,PARAMETROS!A:A,PARAMETROS!I:I))</f>
        <v/>
      </c>
      <c r="F383" s="3"/>
      <c r="G383" s="3"/>
      <c r="H383" s="3"/>
      <c r="I383" s="3"/>
      <c r="Y383" s="6">
        <f>_xlfn.XLOOKUP(G:G,PARAMETROS!Y:Y,PARAMETROS!AD:AD)</f>
        <v>0</v>
      </c>
    </row>
    <row r="384" spans="1:25">
      <c r="A384" s="3"/>
      <c r="B384" t="str">
        <f>IF(_xlfn.XLOOKUP(A384,PARAMETROS!A:A,PARAMETROS!B:B)=0,"",_xlfn.XLOOKUP(A384,PARAMETROS!A:A,PARAMETROS!B:B))</f>
        <v/>
      </c>
      <c r="C384" t="str">
        <f>IF(_xlfn.XLOOKUP(A384,PARAMETROS!A:A,PARAMETROS!C:C)=0,"",_xlfn.XLOOKUP(A384,PARAMETROS!A:A,PARAMETROS!C:C))</f>
        <v/>
      </c>
      <c r="D384" t="str">
        <f>IF(_xlfn.XLOOKUP(A384,PARAMETROS!A:A,PARAMETROS!E:E)=0,"",_xlfn.XLOOKUP(A384,PARAMETROS!A:A,PARAMETROS!E:E))</f>
        <v/>
      </c>
      <c r="E384" t="str">
        <f>IF(_xlfn.XLOOKUP('PREENCHIMENTO|NÃO-LETIVAS'!A384,PARAMETROS!A:A,PARAMETROS!I:I)=0,"",_xlfn.XLOOKUP('PREENCHIMENTO|NÃO-LETIVAS'!A384,PARAMETROS!A:A,PARAMETROS!I:I))</f>
        <v/>
      </c>
      <c r="F384" s="3"/>
      <c r="G384" s="3"/>
      <c r="H384" s="3"/>
      <c r="I384" s="3"/>
      <c r="Y384" s="6">
        <f>_xlfn.XLOOKUP(G:G,PARAMETROS!Y:Y,PARAMETROS!AD:AD)</f>
        <v>0</v>
      </c>
    </row>
    <row r="385" spans="1:25">
      <c r="A385" s="3"/>
      <c r="B385" t="str">
        <f>IF(_xlfn.XLOOKUP(A385,PARAMETROS!A:A,PARAMETROS!B:B)=0,"",_xlfn.XLOOKUP(A385,PARAMETROS!A:A,PARAMETROS!B:B))</f>
        <v/>
      </c>
      <c r="C385" t="str">
        <f>IF(_xlfn.XLOOKUP(A385,PARAMETROS!A:A,PARAMETROS!C:C)=0,"",_xlfn.XLOOKUP(A385,PARAMETROS!A:A,PARAMETROS!C:C))</f>
        <v/>
      </c>
      <c r="D385" t="str">
        <f>IF(_xlfn.XLOOKUP(A385,PARAMETROS!A:A,PARAMETROS!E:E)=0,"",_xlfn.XLOOKUP(A385,PARAMETROS!A:A,PARAMETROS!E:E))</f>
        <v/>
      </c>
      <c r="E385" t="str">
        <f>IF(_xlfn.XLOOKUP('PREENCHIMENTO|NÃO-LETIVAS'!A385,PARAMETROS!A:A,PARAMETROS!I:I)=0,"",_xlfn.XLOOKUP('PREENCHIMENTO|NÃO-LETIVAS'!A385,PARAMETROS!A:A,PARAMETROS!I:I))</f>
        <v/>
      </c>
      <c r="F385" s="3"/>
      <c r="G385" s="3"/>
      <c r="H385" s="3"/>
      <c r="I385" s="3"/>
      <c r="Y385" s="6">
        <f>_xlfn.XLOOKUP(G:G,PARAMETROS!Y:Y,PARAMETROS!AD:AD)</f>
        <v>0</v>
      </c>
    </row>
    <row r="386" spans="1:25">
      <c r="A386" s="3"/>
      <c r="B386" t="str">
        <f>IF(_xlfn.XLOOKUP(A386,PARAMETROS!A:A,PARAMETROS!B:B)=0,"",_xlfn.XLOOKUP(A386,PARAMETROS!A:A,PARAMETROS!B:B))</f>
        <v/>
      </c>
      <c r="C386" t="str">
        <f>IF(_xlfn.XLOOKUP(A386,PARAMETROS!A:A,PARAMETROS!C:C)=0,"",_xlfn.XLOOKUP(A386,PARAMETROS!A:A,PARAMETROS!C:C))</f>
        <v/>
      </c>
      <c r="D386" t="str">
        <f>IF(_xlfn.XLOOKUP(A386,PARAMETROS!A:A,PARAMETROS!E:E)=0,"",_xlfn.XLOOKUP(A386,PARAMETROS!A:A,PARAMETROS!E:E))</f>
        <v/>
      </c>
      <c r="E386" t="str">
        <f>IF(_xlfn.XLOOKUP('PREENCHIMENTO|NÃO-LETIVAS'!A386,PARAMETROS!A:A,PARAMETROS!I:I)=0,"",_xlfn.XLOOKUP('PREENCHIMENTO|NÃO-LETIVAS'!A386,PARAMETROS!A:A,PARAMETROS!I:I))</f>
        <v/>
      </c>
      <c r="F386" s="3"/>
      <c r="G386" s="3"/>
      <c r="H386" s="3"/>
      <c r="I386" s="3"/>
      <c r="Y386" s="6">
        <f>_xlfn.XLOOKUP(G:G,PARAMETROS!Y:Y,PARAMETROS!AD:AD)</f>
        <v>0</v>
      </c>
    </row>
    <row r="387" spans="1:25">
      <c r="A387" s="3"/>
      <c r="B387" t="str">
        <f>IF(_xlfn.XLOOKUP(A387,PARAMETROS!A:A,PARAMETROS!B:B)=0,"",_xlfn.XLOOKUP(A387,PARAMETROS!A:A,PARAMETROS!B:B))</f>
        <v/>
      </c>
      <c r="C387" t="str">
        <f>IF(_xlfn.XLOOKUP(A387,PARAMETROS!A:A,PARAMETROS!C:C)=0,"",_xlfn.XLOOKUP(A387,PARAMETROS!A:A,PARAMETROS!C:C))</f>
        <v/>
      </c>
      <c r="D387" t="str">
        <f>IF(_xlfn.XLOOKUP(A387,PARAMETROS!A:A,PARAMETROS!E:E)=0,"",_xlfn.XLOOKUP(A387,PARAMETROS!A:A,PARAMETROS!E:E))</f>
        <v/>
      </c>
      <c r="E387" t="str">
        <f>IF(_xlfn.XLOOKUP('PREENCHIMENTO|NÃO-LETIVAS'!A387,PARAMETROS!A:A,PARAMETROS!I:I)=0,"",_xlfn.XLOOKUP('PREENCHIMENTO|NÃO-LETIVAS'!A387,PARAMETROS!A:A,PARAMETROS!I:I))</f>
        <v/>
      </c>
      <c r="F387" s="3"/>
      <c r="G387" s="3"/>
      <c r="H387" s="3"/>
      <c r="I387" s="3"/>
      <c r="Y387" s="6">
        <f>_xlfn.XLOOKUP(G:G,PARAMETROS!Y:Y,PARAMETROS!AD:AD)</f>
        <v>0</v>
      </c>
    </row>
    <row r="388" spans="1:25">
      <c r="A388" s="3"/>
      <c r="B388" t="str">
        <f>IF(_xlfn.XLOOKUP(A388,PARAMETROS!A:A,PARAMETROS!B:B)=0,"",_xlfn.XLOOKUP(A388,PARAMETROS!A:A,PARAMETROS!B:B))</f>
        <v/>
      </c>
      <c r="C388" t="str">
        <f>IF(_xlfn.XLOOKUP(A388,PARAMETROS!A:A,PARAMETROS!C:C)=0,"",_xlfn.XLOOKUP(A388,PARAMETROS!A:A,PARAMETROS!C:C))</f>
        <v/>
      </c>
      <c r="D388" t="str">
        <f>IF(_xlfn.XLOOKUP(A388,PARAMETROS!A:A,PARAMETROS!E:E)=0,"",_xlfn.XLOOKUP(A388,PARAMETROS!A:A,PARAMETROS!E:E))</f>
        <v/>
      </c>
      <c r="E388" t="str">
        <f>IF(_xlfn.XLOOKUP('PREENCHIMENTO|NÃO-LETIVAS'!A388,PARAMETROS!A:A,PARAMETROS!I:I)=0,"",_xlfn.XLOOKUP('PREENCHIMENTO|NÃO-LETIVAS'!A388,PARAMETROS!A:A,PARAMETROS!I:I))</f>
        <v/>
      </c>
      <c r="F388" s="3"/>
      <c r="G388" s="3"/>
      <c r="H388" s="3"/>
      <c r="I388" s="3"/>
      <c r="Y388" s="6">
        <f>_xlfn.XLOOKUP(G:G,PARAMETROS!Y:Y,PARAMETROS!AD:AD)</f>
        <v>0</v>
      </c>
    </row>
    <row r="389" spans="1:25">
      <c r="A389" s="3"/>
      <c r="B389" t="str">
        <f>IF(_xlfn.XLOOKUP(A389,PARAMETROS!A:A,PARAMETROS!B:B)=0,"",_xlfn.XLOOKUP(A389,PARAMETROS!A:A,PARAMETROS!B:B))</f>
        <v/>
      </c>
      <c r="C389" t="str">
        <f>IF(_xlfn.XLOOKUP(A389,PARAMETROS!A:A,PARAMETROS!C:C)=0,"",_xlfn.XLOOKUP(A389,PARAMETROS!A:A,PARAMETROS!C:C))</f>
        <v/>
      </c>
      <c r="D389" t="str">
        <f>IF(_xlfn.XLOOKUP(A389,PARAMETROS!A:A,PARAMETROS!E:E)=0,"",_xlfn.XLOOKUP(A389,PARAMETROS!A:A,PARAMETROS!E:E))</f>
        <v/>
      </c>
      <c r="E389" t="str">
        <f>IF(_xlfn.XLOOKUP('PREENCHIMENTO|NÃO-LETIVAS'!A389,PARAMETROS!A:A,PARAMETROS!I:I)=0,"",_xlfn.XLOOKUP('PREENCHIMENTO|NÃO-LETIVAS'!A389,PARAMETROS!A:A,PARAMETROS!I:I))</f>
        <v/>
      </c>
      <c r="F389" s="3"/>
      <c r="G389" s="3"/>
      <c r="H389" s="3"/>
      <c r="I389" s="3"/>
      <c r="Y389" s="6">
        <f>_xlfn.XLOOKUP(G:G,PARAMETROS!Y:Y,PARAMETROS!AD:AD)</f>
        <v>0</v>
      </c>
    </row>
    <row r="390" spans="1:25">
      <c r="A390" s="3"/>
      <c r="B390" t="str">
        <f>IF(_xlfn.XLOOKUP(A390,PARAMETROS!A:A,PARAMETROS!B:B)=0,"",_xlfn.XLOOKUP(A390,PARAMETROS!A:A,PARAMETROS!B:B))</f>
        <v/>
      </c>
      <c r="C390" t="str">
        <f>IF(_xlfn.XLOOKUP(A390,PARAMETROS!A:A,PARAMETROS!C:C)=0,"",_xlfn.XLOOKUP(A390,PARAMETROS!A:A,PARAMETROS!C:C))</f>
        <v/>
      </c>
      <c r="D390" t="str">
        <f>IF(_xlfn.XLOOKUP(A390,PARAMETROS!A:A,PARAMETROS!E:E)=0,"",_xlfn.XLOOKUP(A390,PARAMETROS!A:A,PARAMETROS!E:E))</f>
        <v/>
      </c>
      <c r="E390" t="str">
        <f>IF(_xlfn.XLOOKUP('PREENCHIMENTO|NÃO-LETIVAS'!A390,PARAMETROS!A:A,PARAMETROS!I:I)=0,"",_xlfn.XLOOKUP('PREENCHIMENTO|NÃO-LETIVAS'!A390,PARAMETROS!A:A,PARAMETROS!I:I))</f>
        <v/>
      </c>
      <c r="F390" s="3"/>
      <c r="G390" s="3"/>
      <c r="H390" s="3"/>
      <c r="I390" s="3"/>
      <c r="Y390" s="6">
        <f>_xlfn.XLOOKUP(G:G,PARAMETROS!Y:Y,PARAMETROS!AD:AD)</f>
        <v>0</v>
      </c>
    </row>
    <row r="391" spans="1:25">
      <c r="A391" s="3"/>
      <c r="B391" t="str">
        <f>IF(_xlfn.XLOOKUP(A391,PARAMETROS!A:A,PARAMETROS!B:B)=0,"",_xlfn.XLOOKUP(A391,PARAMETROS!A:A,PARAMETROS!B:B))</f>
        <v/>
      </c>
      <c r="C391" t="str">
        <f>IF(_xlfn.XLOOKUP(A391,PARAMETROS!A:A,PARAMETROS!C:C)=0,"",_xlfn.XLOOKUP(A391,PARAMETROS!A:A,PARAMETROS!C:C))</f>
        <v/>
      </c>
      <c r="D391" t="str">
        <f>IF(_xlfn.XLOOKUP(A391,PARAMETROS!A:A,PARAMETROS!E:E)=0,"",_xlfn.XLOOKUP(A391,PARAMETROS!A:A,PARAMETROS!E:E))</f>
        <v/>
      </c>
      <c r="E391" t="str">
        <f>IF(_xlfn.XLOOKUP('PREENCHIMENTO|NÃO-LETIVAS'!A391,PARAMETROS!A:A,PARAMETROS!I:I)=0,"",_xlfn.XLOOKUP('PREENCHIMENTO|NÃO-LETIVAS'!A391,PARAMETROS!A:A,PARAMETROS!I:I))</f>
        <v/>
      </c>
      <c r="F391" s="3"/>
      <c r="G391" s="3"/>
      <c r="H391" s="3"/>
      <c r="I391" s="3"/>
      <c r="Y391" s="6">
        <f>_xlfn.XLOOKUP(G:G,PARAMETROS!Y:Y,PARAMETROS!AD:AD)</f>
        <v>0</v>
      </c>
    </row>
    <row r="392" spans="1:25">
      <c r="A392" s="3"/>
      <c r="B392" t="str">
        <f>IF(_xlfn.XLOOKUP(A392,PARAMETROS!A:A,PARAMETROS!B:B)=0,"",_xlfn.XLOOKUP(A392,PARAMETROS!A:A,PARAMETROS!B:B))</f>
        <v/>
      </c>
      <c r="C392" t="str">
        <f>IF(_xlfn.XLOOKUP(A392,PARAMETROS!A:A,PARAMETROS!C:C)=0,"",_xlfn.XLOOKUP(A392,PARAMETROS!A:A,PARAMETROS!C:C))</f>
        <v/>
      </c>
      <c r="D392" t="str">
        <f>IF(_xlfn.XLOOKUP(A392,PARAMETROS!A:A,PARAMETROS!E:E)=0,"",_xlfn.XLOOKUP(A392,PARAMETROS!A:A,PARAMETROS!E:E))</f>
        <v/>
      </c>
      <c r="E392" t="str">
        <f>IF(_xlfn.XLOOKUP('PREENCHIMENTO|NÃO-LETIVAS'!A392,PARAMETROS!A:A,PARAMETROS!I:I)=0,"",_xlfn.XLOOKUP('PREENCHIMENTO|NÃO-LETIVAS'!A392,PARAMETROS!A:A,PARAMETROS!I:I))</f>
        <v/>
      </c>
      <c r="F392" s="3"/>
      <c r="G392" s="3"/>
      <c r="H392" s="3"/>
      <c r="I392" s="3"/>
      <c r="Y392" s="6">
        <f>_xlfn.XLOOKUP(G:G,PARAMETROS!Y:Y,PARAMETROS!AD:AD)</f>
        <v>0</v>
      </c>
    </row>
    <row r="393" spans="1:25">
      <c r="A393" s="3"/>
      <c r="B393" t="str">
        <f>IF(_xlfn.XLOOKUP(A393,PARAMETROS!A:A,PARAMETROS!B:B)=0,"",_xlfn.XLOOKUP(A393,PARAMETROS!A:A,PARAMETROS!B:B))</f>
        <v/>
      </c>
      <c r="C393" t="str">
        <f>IF(_xlfn.XLOOKUP(A393,PARAMETROS!A:A,PARAMETROS!C:C)=0,"",_xlfn.XLOOKUP(A393,PARAMETROS!A:A,PARAMETROS!C:C))</f>
        <v/>
      </c>
      <c r="D393" t="str">
        <f>IF(_xlfn.XLOOKUP(A393,PARAMETROS!A:A,PARAMETROS!E:E)=0,"",_xlfn.XLOOKUP(A393,PARAMETROS!A:A,PARAMETROS!E:E))</f>
        <v/>
      </c>
      <c r="E393" t="str">
        <f>IF(_xlfn.XLOOKUP('PREENCHIMENTO|NÃO-LETIVAS'!A393,PARAMETROS!A:A,PARAMETROS!I:I)=0,"",_xlfn.XLOOKUP('PREENCHIMENTO|NÃO-LETIVAS'!A393,PARAMETROS!A:A,PARAMETROS!I:I))</f>
        <v/>
      </c>
      <c r="F393" s="3"/>
      <c r="G393" s="3"/>
      <c r="H393" s="3"/>
      <c r="I393" s="3"/>
      <c r="Y393" s="6">
        <f>_xlfn.XLOOKUP(G:G,PARAMETROS!Y:Y,PARAMETROS!AD:AD)</f>
        <v>0</v>
      </c>
    </row>
    <row r="394" spans="1:25">
      <c r="A394" s="3"/>
      <c r="B394" t="str">
        <f>IF(_xlfn.XLOOKUP(A394,PARAMETROS!A:A,PARAMETROS!B:B)=0,"",_xlfn.XLOOKUP(A394,PARAMETROS!A:A,PARAMETROS!B:B))</f>
        <v/>
      </c>
      <c r="C394" t="str">
        <f>IF(_xlfn.XLOOKUP(A394,PARAMETROS!A:A,PARAMETROS!C:C)=0,"",_xlfn.XLOOKUP(A394,PARAMETROS!A:A,PARAMETROS!C:C))</f>
        <v/>
      </c>
      <c r="D394" t="str">
        <f>IF(_xlfn.XLOOKUP(A394,PARAMETROS!A:A,PARAMETROS!E:E)=0,"",_xlfn.XLOOKUP(A394,PARAMETROS!A:A,PARAMETROS!E:E))</f>
        <v/>
      </c>
      <c r="E394" t="str">
        <f>IF(_xlfn.XLOOKUP('PREENCHIMENTO|NÃO-LETIVAS'!A394,PARAMETROS!A:A,PARAMETROS!I:I)=0,"",_xlfn.XLOOKUP('PREENCHIMENTO|NÃO-LETIVAS'!A394,PARAMETROS!A:A,PARAMETROS!I:I))</f>
        <v/>
      </c>
      <c r="F394" s="3"/>
      <c r="G394" s="3"/>
      <c r="H394" s="3"/>
      <c r="I394" s="3"/>
      <c r="Y394" s="6">
        <f>_xlfn.XLOOKUP(G:G,PARAMETROS!Y:Y,PARAMETROS!AD:AD)</f>
        <v>0</v>
      </c>
    </row>
    <row r="395" spans="1:25">
      <c r="A395" s="3"/>
      <c r="B395" t="str">
        <f>IF(_xlfn.XLOOKUP(A395,PARAMETROS!A:A,PARAMETROS!B:B)=0,"",_xlfn.XLOOKUP(A395,PARAMETROS!A:A,PARAMETROS!B:B))</f>
        <v/>
      </c>
      <c r="C395" t="str">
        <f>IF(_xlfn.XLOOKUP(A395,PARAMETROS!A:A,PARAMETROS!C:C)=0,"",_xlfn.XLOOKUP(A395,PARAMETROS!A:A,PARAMETROS!C:C))</f>
        <v/>
      </c>
      <c r="D395" t="str">
        <f>IF(_xlfn.XLOOKUP(A395,PARAMETROS!A:A,PARAMETROS!E:E)=0,"",_xlfn.XLOOKUP(A395,PARAMETROS!A:A,PARAMETROS!E:E))</f>
        <v/>
      </c>
      <c r="E395" t="str">
        <f>IF(_xlfn.XLOOKUP('PREENCHIMENTO|NÃO-LETIVAS'!A395,PARAMETROS!A:A,PARAMETROS!I:I)=0,"",_xlfn.XLOOKUP('PREENCHIMENTO|NÃO-LETIVAS'!A395,PARAMETROS!A:A,PARAMETROS!I:I))</f>
        <v/>
      </c>
      <c r="F395" s="3"/>
      <c r="G395" s="3"/>
      <c r="H395" s="3"/>
      <c r="I395" s="3"/>
      <c r="Y395" s="6">
        <f>_xlfn.XLOOKUP(G:G,PARAMETROS!Y:Y,PARAMETROS!AD:AD)</f>
        <v>0</v>
      </c>
    </row>
    <row r="396" spans="1:25">
      <c r="A396" s="3"/>
      <c r="B396" t="str">
        <f>IF(_xlfn.XLOOKUP(A396,PARAMETROS!A:A,PARAMETROS!B:B)=0,"",_xlfn.XLOOKUP(A396,PARAMETROS!A:A,PARAMETROS!B:B))</f>
        <v/>
      </c>
      <c r="C396" t="str">
        <f>IF(_xlfn.XLOOKUP(A396,PARAMETROS!A:A,PARAMETROS!C:C)=0,"",_xlfn.XLOOKUP(A396,PARAMETROS!A:A,PARAMETROS!C:C))</f>
        <v/>
      </c>
      <c r="D396" t="str">
        <f>IF(_xlfn.XLOOKUP(A396,PARAMETROS!A:A,PARAMETROS!E:E)=0,"",_xlfn.XLOOKUP(A396,PARAMETROS!A:A,PARAMETROS!E:E))</f>
        <v/>
      </c>
      <c r="E396" t="str">
        <f>IF(_xlfn.XLOOKUP('PREENCHIMENTO|NÃO-LETIVAS'!A396,PARAMETROS!A:A,PARAMETROS!I:I)=0,"",_xlfn.XLOOKUP('PREENCHIMENTO|NÃO-LETIVAS'!A396,PARAMETROS!A:A,PARAMETROS!I:I))</f>
        <v/>
      </c>
      <c r="F396" s="3"/>
      <c r="G396" s="3"/>
      <c r="H396" s="3"/>
      <c r="I396" s="3"/>
      <c r="Y396" s="6">
        <f>_xlfn.XLOOKUP(G:G,PARAMETROS!Y:Y,PARAMETROS!AD:AD)</f>
        <v>0</v>
      </c>
    </row>
    <row r="397" spans="1:25">
      <c r="A397" s="3"/>
      <c r="B397" t="str">
        <f>IF(_xlfn.XLOOKUP(A397,PARAMETROS!A:A,PARAMETROS!B:B)=0,"",_xlfn.XLOOKUP(A397,PARAMETROS!A:A,PARAMETROS!B:B))</f>
        <v/>
      </c>
      <c r="C397" t="str">
        <f>IF(_xlfn.XLOOKUP(A397,PARAMETROS!A:A,PARAMETROS!C:C)=0,"",_xlfn.XLOOKUP(A397,PARAMETROS!A:A,PARAMETROS!C:C))</f>
        <v/>
      </c>
      <c r="D397" t="str">
        <f>IF(_xlfn.XLOOKUP(A397,PARAMETROS!A:A,PARAMETROS!E:E)=0,"",_xlfn.XLOOKUP(A397,PARAMETROS!A:A,PARAMETROS!E:E))</f>
        <v/>
      </c>
      <c r="E397" t="str">
        <f>IF(_xlfn.XLOOKUP('PREENCHIMENTO|NÃO-LETIVAS'!A397,PARAMETROS!A:A,PARAMETROS!I:I)=0,"",_xlfn.XLOOKUP('PREENCHIMENTO|NÃO-LETIVAS'!A397,PARAMETROS!A:A,PARAMETROS!I:I))</f>
        <v/>
      </c>
      <c r="F397" s="3"/>
      <c r="G397" s="3"/>
      <c r="H397" s="3"/>
      <c r="I397" s="3"/>
      <c r="Y397" s="6">
        <f>_xlfn.XLOOKUP(G:G,PARAMETROS!Y:Y,PARAMETROS!AD:AD)</f>
        <v>0</v>
      </c>
    </row>
    <row r="398" spans="1:25">
      <c r="A398" s="3"/>
      <c r="B398" t="str">
        <f>IF(_xlfn.XLOOKUP(A398,PARAMETROS!A:A,PARAMETROS!B:B)=0,"",_xlfn.XLOOKUP(A398,PARAMETROS!A:A,PARAMETROS!B:B))</f>
        <v/>
      </c>
      <c r="C398" t="str">
        <f>IF(_xlfn.XLOOKUP(A398,PARAMETROS!A:A,PARAMETROS!C:C)=0,"",_xlfn.XLOOKUP(A398,PARAMETROS!A:A,PARAMETROS!C:C))</f>
        <v/>
      </c>
      <c r="D398" t="str">
        <f>IF(_xlfn.XLOOKUP(A398,PARAMETROS!A:A,PARAMETROS!E:E)=0,"",_xlfn.XLOOKUP(A398,PARAMETROS!A:A,PARAMETROS!E:E))</f>
        <v/>
      </c>
      <c r="E398" t="str">
        <f>IF(_xlfn.XLOOKUP('PREENCHIMENTO|NÃO-LETIVAS'!A398,PARAMETROS!A:A,PARAMETROS!I:I)=0,"",_xlfn.XLOOKUP('PREENCHIMENTO|NÃO-LETIVAS'!A398,PARAMETROS!A:A,PARAMETROS!I:I))</f>
        <v/>
      </c>
      <c r="F398" s="3"/>
      <c r="G398" s="3"/>
      <c r="H398" s="3"/>
      <c r="I398" s="3"/>
      <c r="Y398" s="6">
        <f>_xlfn.XLOOKUP(G:G,PARAMETROS!Y:Y,PARAMETROS!AD:AD)</f>
        <v>0</v>
      </c>
    </row>
    <row r="399" spans="1:25">
      <c r="A399" s="3"/>
      <c r="B399" t="str">
        <f>IF(_xlfn.XLOOKUP(A399,PARAMETROS!A:A,PARAMETROS!B:B)=0,"",_xlfn.XLOOKUP(A399,PARAMETROS!A:A,PARAMETROS!B:B))</f>
        <v/>
      </c>
      <c r="C399" t="str">
        <f>IF(_xlfn.XLOOKUP(A399,PARAMETROS!A:A,PARAMETROS!C:C)=0,"",_xlfn.XLOOKUP(A399,PARAMETROS!A:A,PARAMETROS!C:C))</f>
        <v/>
      </c>
      <c r="D399" t="str">
        <f>IF(_xlfn.XLOOKUP(A399,PARAMETROS!A:A,PARAMETROS!E:E)=0,"",_xlfn.XLOOKUP(A399,PARAMETROS!A:A,PARAMETROS!E:E))</f>
        <v/>
      </c>
      <c r="E399" t="str">
        <f>IF(_xlfn.XLOOKUP('PREENCHIMENTO|NÃO-LETIVAS'!A399,PARAMETROS!A:A,PARAMETROS!I:I)=0,"",_xlfn.XLOOKUP('PREENCHIMENTO|NÃO-LETIVAS'!A399,PARAMETROS!A:A,PARAMETROS!I:I))</f>
        <v/>
      </c>
      <c r="F399" s="3"/>
      <c r="G399" s="3"/>
      <c r="H399" s="3"/>
      <c r="I399" s="3"/>
      <c r="Y399" s="6">
        <f>_xlfn.XLOOKUP(G:G,PARAMETROS!Y:Y,PARAMETROS!AD:AD)</f>
        <v>0</v>
      </c>
    </row>
    <row r="400" spans="1:25">
      <c r="A400" s="3"/>
      <c r="B400" t="str">
        <f>IF(_xlfn.XLOOKUP(A400,PARAMETROS!A:A,PARAMETROS!B:B)=0,"",_xlfn.XLOOKUP(A400,PARAMETROS!A:A,PARAMETROS!B:B))</f>
        <v/>
      </c>
      <c r="C400" t="str">
        <f>IF(_xlfn.XLOOKUP(A400,PARAMETROS!A:A,PARAMETROS!C:C)=0,"",_xlfn.XLOOKUP(A400,PARAMETROS!A:A,PARAMETROS!C:C))</f>
        <v/>
      </c>
      <c r="D400" t="str">
        <f>IF(_xlfn.XLOOKUP(A400,PARAMETROS!A:A,PARAMETROS!E:E)=0,"",_xlfn.XLOOKUP(A400,PARAMETROS!A:A,PARAMETROS!E:E))</f>
        <v/>
      </c>
      <c r="E400" t="str">
        <f>IF(_xlfn.XLOOKUP('PREENCHIMENTO|NÃO-LETIVAS'!A400,PARAMETROS!A:A,PARAMETROS!I:I)=0,"",_xlfn.XLOOKUP('PREENCHIMENTO|NÃO-LETIVAS'!A400,PARAMETROS!A:A,PARAMETROS!I:I))</f>
        <v/>
      </c>
      <c r="F400" s="3"/>
      <c r="G400" s="3"/>
      <c r="H400" s="3"/>
      <c r="I400" s="3"/>
      <c r="Y400" s="6">
        <f>_xlfn.XLOOKUP(G:G,PARAMETROS!Y:Y,PARAMETROS!AD:AD)</f>
        <v>0</v>
      </c>
    </row>
    <row r="401" spans="1:25">
      <c r="A401" s="3"/>
      <c r="B401" t="str">
        <f>IF(_xlfn.XLOOKUP(A401,PARAMETROS!A:A,PARAMETROS!B:B)=0,"",_xlfn.XLOOKUP(A401,PARAMETROS!A:A,PARAMETROS!B:B))</f>
        <v/>
      </c>
      <c r="C401" t="str">
        <f>IF(_xlfn.XLOOKUP(A401,PARAMETROS!A:A,PARAMETROS!C:C)=0,"",_xlfn.XLOOKUP(A401,PARAMETROS!A:A,PARAMETROS!C:C))</f>
        <v/>
      </c>
      <c r="D401" t="str">
        <f>IF(_xlfn.XLOOKUP(A401,PARAMETROS!A:A,PARAMETROS!E:E)=0,"",_xlfn.XLOOKUP(A401,PARAMETROS!A:A,PARAMETROS!E:E))</f>
        <v/>
      </c>
      <c r="E401" t="str">
        <f>IF(_xlfn.XLOOKUP('PREENCHIMENTO|NÃO-LETIVAS'!A401,PARAMETROS!A:A,PARAMETROS!I:I)=0,"",_xlfn.XLOOKUP('PREENCHIMENTO|NÃO-LETIVAS'!A401,PARAMETROS!A:A,PARAMETROS!I:I))</f>
        <v/>
      </c>
      <c r="F401" s="3"/>
      <c r="G401" s="3"/>
      <c r="H401" s="3"/>
      <c r="I401" s="3"/>
      <c r="Y401" s="6">
        <f>_xlfn.XLOOKUP(G:G,PARAMETROS!Y:Y,PARAMETROS!AD:AD)</f>
        <v>0</v>
      </c>
    </row>
    <row r="402" spans="1:25">
      <c r="A402" s="3"/>
      <c r="B402" t="str">
        <f>IF(_xlfn.XLOOKUP(A402,PARAMETROS!A:A,PARAMETROS!B:B)=0,"",_xlfn.XLOOKUP(A402,PARAMETROS!A:A,PARAMETROS!B:B))</f>
        <v/>
      </c>
      <c r="C402" t="str">
        <f>IF(_xlfn.XLOOKUP(A402,PARAMETROS!A:A,PARAMETROS!C:C)=0,"",_xlfn.XLOOKUP(A402,PARAMETROS!A:A,PARAMETROS!C:C))</f>
        <v/>
      </c>
      <c r="D402" t="str">
        <f>IF(_xlfn.XLOOKUP(A402,PARAMETROS!A:A,PARAMETROS!E:E)=0,"",_xlfn.XLOOKUP(A402,PARAMETROS!A:A,PARAMETROS!E:E))</f>
        <v/>
      </c>
      <c r="E402" t="str">
        <f>IF(_xlfn.XLOOKUP('PREENCHIMENTO|NÃO-LETIVAS'!A402,PARAMETROS!A:A,PARAMETROS!I:I)=0,"",_xlfn.XLOOKUP('PREENCHIMENTO|NÃO-LETIVAS'!A402,PARAMETROS!A:A,PARAMETROS!I:I))</f>
        <v/>
      </c>
      <c r="F402" s="3"/>
      <c r="G402" s="3"/>
      <c r="H402" s="3"/>
      <c r="I402" s="3"/>
      <c r="Y402" s="6">
        <f>_xlfn.XLOOKUP(G:G,PARAMETROS!Y:Y,PARAMETROS!AD:AD)</f>
        <v>0</v>
      </c>
    </row>
    <row r="403" spans="1:25">
      <c r="A403" s="3"/>
      <c r="B403" t="str">
        <f>IF(_xlfn.XLOOKUP(A403,PARAMETROS!A:A,PARAMETROS!B:B)=0,"",_xlfn.XLOOKUP(A403,PARAMETROS!A:A,PARAMETROS!B:B))</f>
        <v/>
      </c>
      <c r="C403" t="str">
        <f>IF(_xlfn.XLOOKUP(A403,PARAMETROS!A:A,PARAMETROS!C:C)=0,"",_xlfn.XLOOKUP(A403,PARAMETROS!A:A,PARAMETROS!C:C))</f>
        <v/>
      </c>
      <c r="D403" t="str">
        <f>IF(_xlfn.XLOOKUP(A403,PARAMETROS!A:A,PARAMETROS!E:E)=0,"",_xlfn.XLOOKUP(A403,PARAMETROS!A:A,PARAMETROS!E:E))</f>
        <v/>
      </c>
      <c r="E403" t="str">
        <f>IF(_xlfn.XLOOKUP('PREENCHIMENTO|NÃO-LETIVAS'!A403,PARAMETROS!A:A,PARAMETROS!I:I)=0,"",_xlfn.XLOOKUP('PREENCHIMENTO|NÃO-LETIVAS'!A403,PARAMETROS!A:A,PARAMETROS!I:I))</f>
        <v/>
      </c>
      <c r="F403" s="3"/>
      <c r="G403" s="3"/>
      <c r="H403" s="3"/>
      <c r="I403" s="3"/>
      <c r="Y403" s="6">
        <f>_xlfn.XLOOKUP(G:G,PARAMETROS!Y:Y,PARAMETROS!AD:AD)</f>
        <v>0</v>
      </c>
    </row>
    <row r="404" spans="1:25">
      <c r="A404" s="3"/>
      <c r="B404" t="str">
        <f>IF(_xlfn.XLOOKUP(A404,PARAMETROS!A:A,PARAMETROS!B:B)=0,"",_xlfn.XLOOKUP(A404,PARAMETROS!A:A,PARAMETROS!B:B))</f>
        <v/>
      </c>
      <c r="C404" t="str">
        <f>IF(_xlfn.XLOOKUP(A404,PARAMETROS!A:A,PARAMETROS!C:C)=0,"",_xlfn.XLOOKUP(A404,PARAMETROS!A:A,PARAMETROS!C:C))</f>
        <v/>
      </c>
      <c r="D404" t="str">
        <f>IF(_xlfn.XLOOKUP(A404,PARAMETROS!A:A,PARAMETROS!E:E)=0,"",_xlfn.XLOOKUP(A404,PARAMETROS!A:A,PARAMETROS!E:E))</f>
        <v/>
      </c>
      <c r="E404" t="str">
        <f>IF(_xlfn.XLOOKUP('PREENCHIMENTO|NÃO-LETIVAS'!A404,PARAMETROS!A:A,PARAMETROS!I:I)=0,"",_xlfn.XLOOKUP('PREENCHIMENTO|NÃO-LETIVAS'!A404,PARAMETROS!A:A,PARAMETROS!I:I))</f>
        <v/>
      </c>
      <c r="F404" s="3"/>
      <c r="G404" s="3"/>
      <c r="H404" s="3"/>
      <c r="I404" s="3"/>
      <c r="Y404" s="6">
        <f>_xlfn.XLOOKUP(G:G,PARAMETROS!Y:Y,PARAMETROS!AD:AD)</f>
        <v>0</v>
      </c>
    </row>
    <row r="405" spans="1:25">
      <c r="A405" s="3"/>
      <c r="B405" t="str">
        <f>IF(_xlfn.XLOOKUP(A405,PARAMETROS!A:A,PARAMETROS!B:B)=0,"",_xlfn.XLOOKUP(A405,PARAMETROS!A:A,PARAMETROS!B:B))</f>
        <v/>
      </c>
      <c r="C405" t="str">
        <f>IF(_xlfn.XLOOKUP(A405,PARAMETROS!A:A,PARAMETROS!C:C)=0,"",_xlfn.XLOOKUP(A405,PARAMETROS!A:A,PARAMETROS!C:C))</f>
        <v/>
      </c>
      <c r="D405" t="str">
        <f>IF(_xlfn.XLOOKUP(A405,PARAMETROS!A:A,PARAMETROS!E:E)=0,"",_xlfn.XLOOKUP(A405,PARAMETROS!A:A,PARAMETROS!E:E))</f>
        <v/>
      </c>
      <c r="E405" t="str">
        <f>IF(_xlfn.XLOOKUP('PREENCHIMENTO|NÃO-LETIVAS'!A405,PARAMETROS!A:A,PARAMETROS!I:I)=0,"",_xlfn.XLOOKUP('PREENCHIMENTO|NÃO-LETIVAS'!A405,PARAMETROS!A:A,PARAMETROS!I:I))</f>
        <v/>
      </c>
      <c r="F405" s="3"/>
      <c r="G405" s="3"/>
      <c r="H405" s="3"/>
      <c r="I405" s="3"/>
      <c r="Y405" s="6">
        <f>_xlfn.XLOOKUP(G:G,PARAMETROS!Y:Y,PARAMETROS!AD:AD)</f>
        <v>0</v>
      </c>
    </row>
    <row r="406" spans="1:25">
      <c r="A406" s="3"/>
      <c r="B406" t="str">
        <f>IF(_xlfn.XLOOKUP(A406,PARAMETROS!A:A,PARAMETROS!B:B)=0,"",_xlfn.XLOOKUP(A406,PARAMETROS!A:A,PARAMETROS!B:B))</f>
        <v/>
      </c>
      <c r="C406" t="str">
        <f>IF(_xlfn.XLOOKUP(A406,PARAMETROS!A:A,PARAMETROS!C:C)=0,"",_xlfn.XLOOKUP(A406,PARAMETROS!A:A,PARAMETROS!C:C))</f>
        <v/>
      </c>
      <c r="D406" t="str">
        <f>IF(_xlfn.XLOOKUP(A406,PARAMETROS!A:A,PARAMETROS!E:E)=0,"",_xlfn.XLOOKUP(A406,PARAMETROS!A:A,PARAMETROS!E:E))</f>
        <v/>
      </c>
      <c r="E406" t="str">
        <f>IF(_xlfn.XLOOKUP('PREENCHIMENTO|NÃO-LETIVAS'!A406,PARAMETROS!A:A,PARAMETROS!I:I)=0,"",_xlfn.XLOOKUP('PREENCHIMENTO|NÃO-LETIVAS'!A406,PARAMETROS!A:A,PARAMETROS!I:I))</f>
        <v/>
      </c>
      <c r="F406" s="3"/>
      <c r="G406" s="3"/>
      <c r="H406" s="3"/>
      <c r="I406" s="3"/>
      <c r="Y406" s="6">
        <f>_xlfn.XLOOKUP(G:G,PARAMETROS!Y:Y,PARAMETROS!AD:AD)</f>
        <v>0</v>
      </c>
    </row>
    <row r="407" spans="1:25">
      <c r="A407" s="3"/>
      <c r="B407" t="str">
        <f>IF(_xlfn.XLOOKUP(A407,PARAMETROS!A:A,PARAMETROS!B:B)=0,"",_xlfn.XLOOKUP(A407,PARAMETROS!A:A,PARAMETROS!B:B))</f>
        <v/>
      </c>
      <c r="C407" t="str">
        <f>IF(_xlfn.XLOOKUP(A407,PARAMETROS!A:A,PARAMETROS!C:C)=0,"",_xlfn.XLOOKUP(A407,PARAMETROS!A:A,PARAMETROS!C:C))</f>
        <v/>
      </c>
      <c r="D407" t="str">
        <f>IF(_xlfn.XLOOKUP(A407,PARAMETROS!A:A,PARAMETROS!E:E)=0,"",_xlfn.XLOOKUP(A407,PARAMETROS!A:A,PARAMETROS!E:E))</f>
        <v/>
      </c>
      <c r="E407" t="str">
        <f>IF(_xlfn.XLOOKUP('PREENCHIMENTO|NÃO-LETIVAS'!A407,PARAMETROS!A:A,PARAMETROS!I:I)=0,"",_xlfn.XLOOKUP('PREENCHIMENTO|NÃO-LETIVAS'!A407,PARAMETROS!A:A,PARAMETROS!I:I))</f>
        <v/>
      </c>
      <c r="F407" s="3"/>
      <c r="G407" s="3"/>
      <c r="H407" s="3"/>
      <c r="I407" s="3"/>
      <c r="Y407" s="6">
        <f>_xlfn.XLOOKUP(G:G,PARAMETROS!Y:Y,PARAMETROS!AD:AD)</f>
        <v>0</v>
      </c>
    </row>
    <row r="408" spans="1:25">
      <c r="A408" s="3"/>
      <c r="B408" t="str">
        <f>IF(_xlfn.XLOOKUP(A408,PARAMETROS!A:A,PARAMETROS!B:B)=0,"",_xlfn.XLOOKUP(A408,PARAMETROS!A:A,PARAMETROS!B:B))</f>
        <v/>
      </c>
      <c r="C408" t="str">
        <f>IF(_xlfn.XLOOKUP(A408,PARAMETROS!A:A,PARAMETROS!C:C)=0,"",_xlfn.XLOOKUP(A408,PARAMETROS!A:A,PARAMETROS!C:C))</f>
        <v/>
      </c>
      <c r="D408" t="str">
        <f>IF(_xlfn.XLOOKUP(A408,PARAMETROS!A:A,PARAMETROS!E:E)=0,"",_xlfn.XLOOKUP(A408,PARAMETROS!A:A,PARAMETROS!E:E))</f>
        <v/>
      </c>
      <c r="E408" t="str">
        <f>IF(_xlfn.XLOOKUP('PREENCHIMENTO|NÃO-LETIVAS'!A408,PARAMETROS!A:A,PARAMETROS!I:I)=0,"",_xlfn.XLOOKUP('PREENCHIMENTO|NÃO-LETIVAS'!A408,PARAMETROS!A:A,PARAMETROS!I:I))</f>
        <v/>
      </c>
      <c r="F408" s="3"/>
      <c r="G408" s="3"/>
      <c r="H408" s="3"/>
      <c r="I408" s="3"/>
      <c r="Y408" s="6">
        <f>_xlfn.XLOOKUP(G:G,PARAMETROS!Y:Y,PARAMETROS!AD:AD)</f>
        <v>0</v>
      </c>
    </row>
    <row r="409" spans="1:25">
      <c r="A409" s="3"/>
      <c r="B409" t="str">
        <f>IF(_xlfn.XLOOKUP(A409,PARAMETROS!A:A,PARAMETROS!B:B)=0,"",_xlfn.XLOOKUP(A409,PARAMETROS!A:A,PARAMETROS!B:B))</f>
        <v/>
      </c>
      <c r="C409" t="str">
        <f>IF(_xlfn.XLOOKUP(A409,PARAMETROS!A:A,PARAMETROS!C:C)=0,"",_xlfn.XLOOKUP(A409,PARAMETROS!A:A,PARAMETROS!C:C))</f>
        <v/>
      </c>
      <c r="D409" t="str">
        <f>IF(_xlfn.XLOOKUP(A409,PARAMETROS!A:A,PARAMETROS!E:E)=0,"",_xlfn.XLOOKUP(A409,PARAMETROS!A:A,PARAMETROS!E:E))</f>
        <v/>
      </c>
      <c r="E409" t="str">
        <f>IF(_xlfn.XLOOKUP('PREENCHIMENTO|NÃO-LETIVAS'!A409,PARAMETROS!A:A,PARAMETROS!I:I)=0,"",_xlfn.XLOOKUP('PREENCHIMENTO|NÃO-LETIVAS'!A409,PARAMETROS!A:A,PARAMETROS!I:I))</f>
        <v/>
      </c>
      <c r="F409" s="3"/>
      <c r="G409" s="3"/>
      <c r="H409" s="3"/>
      <c r="I409" s="3"/>
      <c r="Y409" s="6">
        <f>_xlfn.XLOOKUP(G:G,PARAMETROS!Y:Y,PARAMETROS!AD:AD)</f>
        <v>0</v>
      </c>
    </row>
    <row r="410" spans="1:25">
      <c r="A410" s="3"/>
      <c r="B410" t="str">
        <f>IF(_xlfn.XLOOKUP(A410,PARAMETROS!A:A,PARAMETROS!B:B)=0,"",_xlfn.XLOOKUP(A410,PARAMETROS!A:A,PARAMETROS!B:B))</f>
        <v/>
      </c>
      <c r="C410" t="str">
        <f>IF(_xlfn.XLOOKUP(A410,PARAMETROS!A:A,PARAMETROS!C:C)=0,"",_xlfn.XLOOKUP(A410,PARAMETROS!A:A,PARAMETROS!C:C))</f>
        <v/>
      </c>
      <c r="D410" t="str">
        <f>IF(_xlfn.XLOOKUP(A410,PARAMETROS!A:A,PARAMETROS!E:E)=0,"",_xlfn.XLOOKUP(A410,PARAMETROS!A:A,PARAMETROS!E:E))</f>
        <v/>
      </c>
      <c r="E410" t="str">
        <f>IF(_xlfn.XLOOKUP('PREENCHIMENTO|NÃO-LETIVAS'!A410,PARAMETROS!A:A,PARAMETROS!I:I)=0,"",_xlfn.XLOOKUP('PREENCHIMENTO|NÃO-LETIVAS'!A410,PARAMETROS!A:A,PARAMETROS!I:I))</f>
        <v/>
      </c>
      <c r="F410" s="3"/>
      <c r="G410" s="3"/>
      <c r="H410" s="3"/>
      <c r="I410" s="3"/>
      <c r="Y410" s="6">
        <f>_xlfn.XLOOKUP(G:G,PARAMETROS!Y:Y,PARAMETROS!AD:AD)</f>
        <v>0</v>
      </c>
    </row>
    <row r="411" spans="1:25">
      <c r="A411" s="3"/>
      <c r="B411" t="str">
        <f>IF(_xlfn.XLOOKUP(A411,PARAMETROS!A:A,PARAMETROS!B:B)=0,"",_xlfn.XLOOKUP(A411,PARAMETROS!A:A,PARAMETROS!B:B))</f>
        <v/>
      </c>
      <c r="C411" t="str">
        <f>IF(_xlfn.XLOOKUP(A411,PARAMETROS!A:A,PARAMETROS!C:C)=0,"",_xlfn.XLOOKUP(A411,PARAMETROS!A:A,PARAMETROS!C:C))</f>
        <v/>
      </c>
      <c r="D411" t="str">
        <f>IF(_xlfn.XLOOKUP(A411,PARAMETROS!A:A,PARAMETROS!E:E)=0,"",_xlfn.XLOOKUP(A411,PARAMETROS!A:A,PARAMETROS!E:E))</f>
        <v/>
      </c>
      <c r="E411" t="str">
        <f>IF(_xlfn.XLOOKUP('PREENCHIMENTO|NÃO-LETIVAS'!A411,PARAMETROS!A:A,PARAMETROS!I:I)=0,"",_xlfn.XLOOKUP('PREENCHIMENTO|NÃO-LETIVAS'!A411,PARAMETROS!A:A,PARAMETROS!I:I))</f>
        <v/>
      </c>
      <c r="F411" s="3"/>
      <c r="G411" s="3"/>
      <c r="H411" s="3"/>
      <c r="I411" s="3"/>
      <c r="Y411" s="6">
        <f>_xlfn.XLOOKUP(G:G,PARAMETROS!Y:Y,PARAMETROS!AD:AD)</f>
        <v>0</v>
      </c>
    </row>
    <row r="412" spans="1:25">
      <c r="A412" s="3"/>
      <c r="B412" t="str">
        <f>IF(_xlfn.XLOOKUP(A412,PARAMETROS!A:A,PARAMETROS!B:B)=0,"",_xlfn.XLOOKUP(A412,PARAMETROS!A:A,PARAMETROS!B:B))</f>
        <v/>
      </c>
      <c r="C412" t="str">
        <f>IF(_xlfn.XLOOKUP(A412,PARAMETROS!A:A,PARAMETROS!C:C)=0,"",_xlfn.XLOOKUP(A412,PARAMETROS!A:A,PARAMETROS!C:C))</f>
        <v/>
      </c>
      <c r="D412" t="str">
        <f>IF(_xlfn.XLOOKUP(A412,PARAMETROS!A:A,PARAMETROS!E:E)=0,"",_xlfn.XLOOKUP(A412,PARAMETROS!A:A,PARAMETROS!E:E))</f>
        <v/>
      </c>
      <c r="E412" t="str">
        <f>IF(_xlfn.XLOOKUP('PREENCHIMENTO|NÃO-LETIVAS'!A412,PARAMETROS!A:A,PARAMETROS!I:I)=0,"",_xlfn.XLOOKUP('PREENCHIMENTO|NÃO-LETIVAS'!A412,PARAMETROS!A:A,PARAMETROS!I:I))</f>
        <v/>
      </c>
      <c r="F412" s="3"/>
      <c r="G412" s="3"/>
      <c r="H412" s="3"/>
      <c r="I412" s="3"/>
      <c r="Y412" s="6">
        <f>_xlfn.XLOOKUP(G:G,PARAMETROS!Y:Y,PARAMETROS!AD:AD)</f>
        <v>0</v>
      </c>
    </row>
    <row r="413" spans="1:25">
      <c r="A413" s="3"/>
      <c r="B413" t="str">
        <f>IF(_xlfn.XLOOKUP(A413,PARAMETROS!A:A,PARAMETROS!B:B)=0,"",_xlfn.XLOOKUP(A413,PARAMETROS!A:A,PARAMETROS!B:B))</f>
        <v/>
      </c>
      <c r="C413" t="str">
        <f>IF(_xlfn.XLOOKUP(A413,PARAMETROS!A:A,PARAMETROS!C:C)=0,"",_xlfn.XLOOKUP(A413,PARAMETROS!A:A,PARAMETROS!C:C))</f>
        <v/>
      </c>
      <c r="D413" t="str">
        <f>IF(_xlfn.XLOOKUP(A413,PARAMETROS!A:A,PARAMETROS!E:E)=0,"",_xlfn.XLOOKUP(A413,PARAMETROS!A:A,PARAMETROS!E:E))</f>
        <v/>
      </c>
      <c r="E413" t="str">
        <f>IF(_xlfn.XLOOKUP('PREENCHIMENTO|NÃO-LETIVAS'!A413,PARAMETROS!A:A,PARAMETROS!I:I)=0,"",_xlfn.XLOOKUP('PREENCHIMENTO|NÃO-LETIVAS'!A413,PARAMETROS!A:A,PARAMETROS!I:I))</f>
        <v/>
      </c>
      <c r="F413" s="3"/>
      <c r="G413" s="3"/>
      <c r="H413" s="3"/>
      <c r="I413" s="3"/>
      <c r="Y413" s="6">
        <f>_xlfn.XLOOKUP(G:G,PARAMETROS!Y:Y,PARAMETROS!AD:AD)</f>
        <v>0</v>
      </c>
    </row>
    <row r="414" spans="1:25">
      <c r="A414" s="3"/>
      <c r="B414" t="str">
        <f>IF(_xlfn.XLOOKUP(A414,PARAMETROS!A:A,PARAMETROS!B:B)=0,"",_xlfn.XLOOKUP(A414,PARAMETROS!A:A,PARAMETROS!B:B))</f>
        <v/>
      </c>
      <c r="C414" t="str">
        <f>IF(_xlfn.XLOOKUP(A414,PARAMETROS!A:A,PARAMETROS!C:C)=0,"",_xlfn.XLOOKUP(A414,PARAMETROS!A:A,PARAMETROS!C:C))</f>
        <v/>
      </c>
      <c r="D414" t="str">
        <f>IF(_xlfn.XLOOKUP(A414,PARAMETROS!A:A,PARAMETROS!E:E)=0,"",_xlfn.XLOOKUP(A414,PARAMETROS!A:A,PARAMETROS!E:E))</f>
        <v/>
      </c>
      <c r="E414" t="str">
        <f>IF(_xlfn.XLOOKUP('PREENCHIMENTO|NÃO-LETIVAS'!A414,PARAMETROS!A:A,PARAMETROS!I:I)=0,"",_xlfn.XLOOKUP('PREENCHIMENTO|NÃO-LETIVAS'!A414,PARAMETROS!A:A,PARAMETROS!I:I))</f>
        <v/>
      </c>
      <c r="F414" s="3"/>
      <c r="G414" s="3"/>
      <c r="H414" s="3"/>
      <c r="I414" s="3"/>
      <c r="Y414" s="6">
        <f>_xlfn.XLOOKUP(G:G,PARAMETROS!Y:Y,PARAMETROS!AD:AD)</f>
        <v>0</v>
      </c>
    </row>
    <row r="415" spans="1:25">
      <c r="A415" s="3"/>
      <c r="B415" t="str">
        <f>IF(_xlfn.XLOOKUP(A415,PARAMETROS!A:A,PARAMETROS!B:B)=0,"",_xlfn.XLOOKUP(A415,PARAMETROS!A:A,PARAMETROS!B:B))</f>
        <v/>
      </c>
      <c r="C415" t="str">
        <f>IF(_xlfn.XLOOKUP(A415,PARAMETROS!A:A,PARAMETROS!C:C)=0,"",_xlfn.XLOOKUP(A415,PARAMETROS!A:A,PARAMETROS!C:C))</f>
        <v/>
      </c>
      <c r="D415" t="str">
        <f>IF(_xlfn.XLOOKUP(A415,PARAMETROS!A:A,PARAMETROS!E:E)=0,"",_xlfn.XLOOKUP(A415,PARAMETROS!A:A,PARAMETROS!E:E))</f>
        <v/>
      </c>
      <c r="E415" t="str">
        <f>IF(_xlfn.XLOOKUP('PREENCHIMENTO|NÃO-LETIVAS'!A415,PARAMETROS!A:A,PARAMETROS!I:I)=0,"",_xlfn.XLOOKUP('PREENCHIMENTO|NÃO-LETIVAS'!A415,PARAMETROS!A:A,PARAMETROS!I:I))</f>
        <v/>
      </c>
      <c r="F415" s="3"/>
      <c r="G415" s="3"/>
      <c r="H415" s="3"/>
      <c r="I415" s="3"/>
      <c r="Y415" s="6">
        <f>_xlfn.XLOOKUP(G:G,PARAMETROS!Y:Y,PARAMETROS!AD:AD)</f>
        <v>0</v>
      </c>
    </row>
    <row r="416" spans="1:25">
      <c r="A416" s="3"/>
      <c r="B416" t="str">
        <f>IF(_xlfn.XLOOKUP(A416,PARAMETROS!A:A,PARAMETROS!B:B)=0,"",_xlfn.XLOOKUP(A416,PARAMETROS!A:A,PARAMETROS!B:B))</f>
        <v/>
      </c>
      <c r="C416" t="str">
        <f>IF(_xlfn.XLOOKUP(A416,PARAMETROS!A:A,PARAMETROS!C:C)=0,"",_xlfn.XLOOKUP(A416,PARAMETROS!A:A,PARAMETROS!C:C))</f>
        <v/>
      </c>
      <c r="D416" t="str">
        <f>IF(_xlfn.XLOOKUP(A416,PARAMETROS!A:A,PARAMETROS!E:E)=0,"",_xlfn.XLOOKUP(A416,PARAMETROS!A:A,PARAMETROS!E:E))</f>
        <v/>
      </c>
      <c r="E416" t="str">
        <f>IF(_xlfn.XLOOKUP('PREENCHIMENTO|NÃO-LETIVAS'!A416,PARAMETROS!A:A,PARAMETROS!I:I)=0,"",_xlfn.XLOOKUP('PREENCHIMENTO|NÃO-LETIVAS'!A416,PARAMETROS!A:A,PARAMETROS!I:I))</f>
        <v/>
      </c>
      <c r="F416" s="3"/>
      <c r="G416" s="3"/>
      <c r="H416" s="3"/>
      <c r="I416" s="3"/>
      <c r="Y416" s="6">
        <f>_xlfn.XLOOKUP(G:G,PARAMETROS!Y:Y,PARAMETROS!AD:AD)</f>
        <v>0</v>
      </c>
    </row>
    <row r="417" spans="1:25">
      <c r="A417" s="3"/>
      <c r="B417" t="str">
        <f>IF(_xlfn.XLOOKUP(A417,PARAMETROS!A:A,PARAMETROS!B:B)=0,"",_xlfn.XLOOKUP(A417,PARAMETROS!A:A,PARAMETROS!B:B))</f>
        <v/>
      </c>
      <c r="C417" t="str">
        <f>IF(_xlfn.XLOOKUP(A417,PARAMETROS!A:A,PARAMETROS!C:C)=0,"",_xlfn.XLOOKUP(A417,PARAMETROS!A:A,PARAMETROS!C:C))</f>
        <v/>
      </c>
      <c r="D417" t="str">
        <f>IF(_xlfn.XLOOKUP(A417,PARAMETROS!A:A,PARAMETROS!E:E)=0,"",_xlfn.XLOOKUP(A417,PARAMETROS!A:A,PARAMETROS!E:E))</f>
        <v/>
      </c>
      <c r="E417" t="str">
        <f>IF(_xlfn.XLOOKUP('PREENCHIMENTO|NÃO-LETIVAS'!A417,PARAMETROS!A:A,PARAMETROS!I:I)=0,"",_xlfn.XLOOKUP('PREENCHIMENTO|NÃO-LETIVAS'!A417,PARAMETROS!A:A,PARAMETROS!I:I))</f>
        <v/>
      </c>
      <c r="F417" s="3"/>
      <c r="G417" s="3"/>
      <c r="H417" s="3"/>
      <c r="I417" s="3"/>
      <c r="Y417" s="6">
        <f>_xlfn.XLOOKUP(G:G,PARAMETROS!Y:Y,PARAMETROS!AD:AD)</f>
        <v>0</v>
      </c>
    </row>
    <row r="418" spans="1:25">
      <c r="A418" s="3"/>
      <c r="B418" t="str">
        <f>IF(_xlfn.XLOOKUP(A418,PARAMETROS!A:A,PARAMETROS!B:B)=0,"",_xlfn.XLOOKUP(A418,PARAMETROS!A:A,PARAMETROS!B:B))</f>
        <v/>
      </c>
      <c r="C418" t="str">
        <f>IF(_xlfn.XLOOKUP(A418,PARAMETROS!A:A,PARAMETROS!C:C)=0,"",_xlfn.XLOOKUP(A418,PARAMETROS!A:A,PARAMETROS!C:C))</f>
        <v/>
      </c>
      <c r="D418" t="str">
        <f>IF(_xlfn.XLOOKUP(A418,PARAMETROS!A:A,PARAMETROS!E:E)=0,"",_xlfn.XLOOKUP(A418,PARAMETROS!A:A,PARAMETROS!E:E))</f>
        <v/>
      </c>
      <c r="E418" t="str">
        <f>IF(_xlfn.XLOOKUP('PREENCHIMENTO|NÃO-LETIVAS'!A418,PARAMETROS!A:A,PARAMETROS!I:I)=0,"",_xlfn.XLOOKUP('PREENCHIMENTO|NÃO-LETIVAS'!A418,PARAMETROS!A:A,PARAMETROS!I:I))</f>
        <v/>
      </c>
      <c r="F418" s="3"/>
      <c r="G418" s="3"/>
      <c r="H418" s="3"/>
      <c r="I418" s="3"/>
      <c r="Y418" s="6">
        <f>_xlfn.XLOOKUP(G:G,PARAMETROS!Y:Y,PARAMETROS!AD:AD)</f>
        <v>0</v>
      </c>
    </row>
    <row r="419" spans="1:25">
      <c r="A419" s="3"/>
      <c r="B419" t="str">
        <f>IF(_xlfn.XLOOKUP(A419,PARAMETROS!A:A,PARAMETROS!B:B)=0,"",_xlfn.XLOOKUP(A419,PARAMETROS!A:A,PARAMETROS!B:B))</f>
        <v/>
      </c>
      <c r="C419" t="str">
        <f>IF(_xlfn.XLOOKUP(A419,PARAMETROS!A:A,PARAMETROS!C:C)=0,"",_xlfn.XLOOKUP(A419,PARAMETROS!A:A,PARAMETROS!C:C))</f>
        <v/>
      </c>
      <c r="D419" t="str">
        <f>IF(_xlfn.XLOOKUP(A419,PARAMETROS!A:A,PARAMETROS!E:E)=0,"",_xlfn.XLOOKUP(A419,PARAMETROS!A:A,PARAMETROS!E:E))</f>
        <v/>
      </c>
      <c r="E419" t="str">
        <f>IF(_xlfn.XLOOKUP('PREENCHIMENTO|NÃO-LETIVAS'!A419,PARAMETROS!A:A,PARAMETROS!I:I)=0,"",_xlfn.XLOOKUP('PREENCHIMENTO|NÃO-LETIVAS'!A419,PARAMETROS!A:A,PARAMETROS!I:I))</f>
        <v/>
      </c>
      <c r="F419" s="3"/>
      <c r="G419" s="3"/>
      <c r="H419" s="3"/>
      <c r="I419" s="3"/>
      <c r="Y419" s="6">
        <f>_xlfn.XLOOKUP(G:G,PARAMETROS!Y:Y,PARAMETROS!AD:AD)</f>
        <v>0</v>
      </c>
    </row>
    <row r="420" spans="1:25">
      <c r="A420" s="3"/>
      <c r="B420" t="str">
        <f>IF(_xlfn.XLOOKUP(A420,PARAMETROS!A:A,PARAMETROS!B:B)=0,"",_xlfn.XLOOKUP(A420,PARAMETROS!A:A,PARAMETROS!B:B))</f>
        <v/>
      </c>
      <c r="C420" t="str">
        <f>IF(_xlfn.XLOOKUP(A420,PARAMETROS!A:A,PARAMETROS!C:C)=0,"",_xlfn.XLOOKUP(A420,PARAMETROS!A:A,PARAMETROS!C:C))</f>
        <v/>
      </c>
      <c r="D420" t="str">
        <f>IF(_xlfn.XLOOKUP(A420,PARAMETROS!A:A,PARAMETROS!E:E)=0,"",_xlfn.XLOOKUP(A420,PARAMETROS!A:A,PARAMETROS!E:E))</f>
        <v/>
      </c>
      <c r="E420" t="str">
        <f>IF(_xlfn.XLOOKUP('PREENCHIMENTO|NÃO-LETIVAS'!A420,PARAMETROS!A:A,PARAMETROS!I:I)=0,"",_xlfn.XLOOKUP('PREENCHIMENTO|NÃO-LETIVAS'!A420,PARAMETROS!A:A,PARAMETROS!I:I))</f>
        <v/>
      </c>
      <c r="F420" s="3"/>
      <c r="G420" s="3"/>
      <c r="H420" s="3"/>
      <c r="I420" s="3"/>
      <c r="Y420" s="6">
        <f>_xlfn.XLOOKUP(G:G,PARAMETROS!Y:Y,PARAMETROS!AD:AD)</f>
        <v>0</v>
      </c>
    </row>
    <row r="421" spans="1:25">
      <c r="A421" s="3"/>
      <c r="B421" t="str">
        <f>IF(_xlfn.XLOOKUP(A421,PARAMETROS!A:A,PARAMETROS!B:B)=0,"",_xlfn.XLOOKUP(A421,PARAMETROS!A:A,PARAMETROS!B:B))</f>
        <v/>
      </c>
      <c r="C421" t="str">
        <f>IF(_xlfn.XLOOKUP(A421,PARAMETROS!A:A,PARAMETROS!C:C)=0,"",_xlfn.XLOOKUP(A421,PARAMETROS!A:A,PARAMETROS!C:C))</f>
        <v/>
      </c>
      <c r="D421" t="str">
        <f>IF(_xlfn.XLOOKUP(A421,PARAMETROS!A:A,PARAMETROS!E:E)=0,"",_xlfn.XLOOKUP(A421,PARAMETROS!A:A,PARAMETROS!E:E))</f>
        <v/>
      </c>
      <c r="E421" t="str">
        <f>IF(_xlfn.XLOOKUP('PREENCHIMENTO|NÃO-LETIVAS'!A421,PARAMETROS!A:A,PARAMETROS!I:I)=0,"",_xlfn.XLOOKUP('PREENCHIMENTO|NÃO-LETIVAS'!A421,PARAMETROS!A:A,PARAMETROS!I:I))</f>
        <v/>
      </c>
      <c r="F421" s="3"/>
      <c r="G421" s="3"/>
      <c r="H421" s="3"/>
      <c r="I421" s="3"/>
      <c r="Y421" s="6">
        <f>_xlfn.XLOOKUP(G:G,PARAMETROS!Y:Y,PARAMETROS!AD:AD)</f>
        <v>0</v>
      </c>
    </row>
    <row r="422" spans="1:25">
      <c r="A422" s="3"/>
      <c r="B422" t="str">
        <f>IF(_xlfn.XLOOKUP(A422,PARAMETROS!A:A,PARAMETROS!B:B)=0,"",_xlfn.XLOOKUP(A422,PARAMETROS!A:A,PARAMETROS!B:B))</f>
        <v/>
      </c>
      <c r="C422" t="str">
        <f>IF(_xlfn.XLOOKUP(A422,PARAMETROS!A:A,PARAMETROS!C:C)=0,"",_xlfn.XLOOKUP(A422,PARAMETROS!A:A,PARAMETROS!C:C))</f>
        <v/>
      </c>
      <c r="D422" t="str">
        <f>IF(_xlfn.XLOOKUP(A422,PARAMETROS!A:A,PARAMETROS!E:E)=0,"",_xlfn.XLOOKUP(A422,PARAMETROS!A:A,PARAMETROS!E:E))</f>
        <v/>
      </c>
      <c r="E422" t="str">
        <f>IF(_xlfn.XLOOKUP('PREENCHIMENTO|NÃO-LETIVAS'!A422,PARAMETROS!A:A,PARAMETROS!I:I)=0,"",_xlfn.XLOOKUP('PREENCHIMENTO|NÃO-LETIVAS'!A422,PARAMETROS!A:A,PARAMETROS!I:I))</f>
        <v/>
      </c>
      <c r="F422" s="3"/>
      <c r="G422" s="3"/>
      <c r="H422" s="3"/>
      <c r="I422" s="3"/>
      <c r="Y422" s="6">
        <f>_xlfn.XLOOKUP(G:G,PARAMETROS!Y:Y,PARAMETROS!AD:AD)</f>
        <v>0</v>
      </c>
    </row>
    <row r="423" spans="1:25">
      <c r="A423" s="3"/>
      <c r="B423" t="str">
        <f>IF(_xlfn.XLOOKUP(A423,PARAMETROS!A:A,PARAMETROS!B:B)=0,"",_xlfn.XLOOKUP(A423,PARAMETROS!A:A,PARAMETROS!B:B))</f>
        <v/>
      </c>
      <c r="C423" t="str">
        <f>IF(_xlfn.XLOOKUP(A423,PARAMETROS!A:A,PARAMETROS!C:C)=0,"",_xlfn.XLOOKUP(A423,PARAMETROS!A:A,PARAMETROS!C:C))</f>
        <v/>
      </c>
      <c r="D423" t="str">
        <f>IF(_xlfn.XLOOKUP(A423,PARAMETROS!A:A,PARAMETROS!E:E)=0,"",_xlfn.XLOOKUP(A423,PARAMETROS!A:A,PARAMETROS!E:E))</f>
        <v/>
      </c>
      <c r="E423" t="str">
        <f>IF(_xlfn.XLOOKUP('PREENCHIMENTO|NÃO-LETIVAS'!A423,PARAMETROS!A:A,PARAMETROS!I:I)=0,"",_xlfn.XLOOKUP('PREENCHIMENTO|NÃO-LETIVAS'!A423,PARAMETROS!A:A,PARAMETROS!I:I))</f>
        <v/>
      </c>
      <c r="F423" s="3"/>
      <c r="G423" s="3"/>
      <c r="H423" s="3"/>
      <c r="I423" s="3"/>
      <c r="Y423" s="6">
        <f>_xlfn.XLOOKUP(G:G,PARAMETROS!Y:Y,PARAMETROS!AD:AD)</f>
        <v>0</v>
      </c>
    </row>
    <row r="424" spans="1:25">
      <c r="A424" s="3"/>
      <c r="B424" t="str">
        <f>IF(_xlfn.XLOOKUP(A424,PARAMETROS!A:A,PARAMETROS!B:B)=0,"",_xlfn.XLOOKUP(A424,PARAMETROS!A:A,PARAMETROS!B:B))</f>
        <v/>
      </c>
      <c r="C424" t="str">
        <f>IF(_xlfn.XLOOKUP(A424,PARAMETROS!A:A,PARAMETROS!C:C)=0,"",_xlfn.XLOOKUP(A424,PARAMETROS!A:A,PARAMETROS!C:C))</f>
        <v/>
      </c>
      <c r="D424" t="str">
        <f>IF(_xlfn.XLOOKUP(A424,PARAMETROS!A:A,PARAMETROS!E:E)=0,"",_xlfn.XLOOKUP(A424,PARAMETROS!A:A,PARAMETROS!E:E))</f>
        <v/>
      </c>
      <c r="E424" t="str">
        <f>IF(_xlfn.XLOOKUP('PREENCHIMENTO|NÃO-LETIVAS'!A424,PARAMETROS!A:A,PARAMETROS!I:I)=0,"",_xlfn.XLOOKUP('PREENCHIMENTO|NÃO-LETIVAS'!A424,PARAMETROS!A:A,PARAMETROS!I:I))</f>
        <v/>
      </c>
      <c r="F424" s="3"/>
      <c r="G424" s="3"/>
      <c r="H424" s="3"/>
      <c r="I424" s="3"/>
      <c r="Y424" s="6">
        <f>_xlfn.XLOOKUP(G:G,PARAMETROS!Y:Y,PARAMETROS!AD:AD)</f>
        <v>0</v>
      </c>
    </row>
    <row r="425" spans="1:25">
      <c r="A425" s="3"/>
      <c r="B425" t="str">
        <f>IF(_xlfn.XLOOKUP(A425,PARAMETROS!A:A,PARAMETROS!B:B)=0,"",_xlfn.XLOOKUP(A425,PARAMETROS!A:A,PARAMETROS!B:B))</f>
        <v/>
      </c>
      <c r="C425" t="str">
        <f>IF(_xlfn.XLOOKUP(A425,PARAMETROS!A:A,PARAMETROS!C:C)=0,"",_xlfn.XLOOKUP(A425,PARAMETROS!A:A,PARAMETROS!C:C))</f>
        <v/>
      </c>
      <c r="D425" t="str">
        <f>IF(_xlfn.XLOOKUP(A425,PARAMETROS!A:A,PARAMETROS!E:E)=0,"",_xlfn.XLOOKUP(A425,PARAMETROS!A:A,PARAMETROS!E:E))</f>
        <v/>
      </c>
      <c r="E425" t="str">
        <f>IF(_xlfn.XLOOKUP('PREENCHIMENTO|NÃO-LETIVAS'!A425,PARAMETROS!A:A,PARAMETROS!I:I)=0,"",_xlfn.XLOOKUP('PREENCHIMENTO|NÃO-LETIVAS'!A425,PARAMETROS!A:A,PARAMETROS!I:I))</f>
        <v/>
      </c>
      <c r="F425" s="3"/>
      <c r="G425" s="3"/>
      <c r="H425" s="3"/>
      <c r="I425" s="3"/>
      <c r="Y425" s="6">
        <f>_xlfn.XLOOKUP(G:G,PARAMETROS!Y:Y,PARAMETROS!AD:AD)</f>
        <v>0</v>
      </c>
    </row>
    <row r="426" spans="1:25">
      <c r="A426" s="3"/>
      <c r="B426" t="str">
        <f>IF(_xlfn.XLOOKUP(A426,PARAMETROS!A:A,PARAMETROS!B:B)=0,"",_xlfn.XLOOKUP(A426,PARAMETROS!A:A,PARAMETROS!B:B))</f>
        <v/>
      </c>
      <c r="C426" t="str">
        <f>IF(_xlfn.XLOOKUP(A426,PARAMETROS!A:A,PARAMETROS!C:C)=0,"",_xlfn.XLOOKUP(A426,PARAMETROS!A:A,PARAMETROS!C:C))</f>
        <v/>
      </c>
      <c r="D426" t="str">
        <f>IF(_xlfn.XLOOKUP(A426,PARAMETROS!A:A,PARAMETROS!E:E)=0,"",_xlfn.XLOOKUP(A426,PARAMETROS!A:A,PARAMETROS!E:E))</f>
        <v/>
      </c>
      <c r="E426" t="str">
        <f>IF(_xlfn.XLOOKUP('PREENCHIMENTO|NÃO-LETIVAS'!A426,PARAMETROS!A:A,PARAMETROS!I:I)=0,"",_xlfn.XLOOKUP('PREENCHIMENTO|NÃO-LETIVAS'!A426,PARAMETROS!A:A,PARAMETROS!I:I))</f>
        <v/>
      </c>
      <c r="F426" s="3"/>
      <c r="G426" s="3"/>
      <c r="H426" s="3"/>
      <c r="I426" s="3"/>
      <c r="Y426" s="6">
        <f>_xlfn.XLOOKUP(G:G,PARAMETROS!Y:Y,PARAMETROS!AD:AD)</f>
        <v>0</v>
      </c>
    </row>
    <row r="427" spans="1:25">
      <c r="A427" s="3"/>
      <c r="B427" t="str">
        <f>IF(_xlfn.XLOOKUP(A427,PARAMETROS!A:A,PARAMETROS!B:B)=0,"",_xlfn.XLOOKUP(A427,PARAMETROS!A:A,PARAMETROS!B:B))</f>
        <v/>
      </c>
      <c r="C427" t="str">
        <f>IF(_xlfn.XLOOKUP(A427,PARAMETROS!A:A,PARAMETROS!C:C)=0,"",_xlfn.XLOOKUP(A427,PARAMETROS!A:A,PARAMETROS!C:C))</f>
        <v/>
      </c>
      <c r="D427" t="str">
        <f>IF(_xlfn.XLOOKUP(A427,PARAMETROS!A:A,PARAMETROS!E:E)=0,"",_xlfn.XLOOKUP(A427,PARAMETROS!A:A,PARAMETROS!E:E))</f>
        <v/>
      </c>
      <c r="E427" t="str">
        <f>IF(_xlfn.XLOOKUP('PREENCHIMENTO|NÃO-LETIVAS'!A427,PARAMETROS!A:A,PARAMETROS!I:I)=0,"",_xlfn.XLOOKUP('PREENCHIMENTO|NÃO-LETIVAS'!A427,PARAMETROS!A:A,PARAMETROS!I:I))</f>
        <v/>
      </c>
      <c r="F427" s="3"/>
      <c r="G427" s="3"/>
      <c r="H427" s="3"/>
      <c r="I427" s="3"/>
      <c r="Y427" s="6">
        <f>_xlfn.XLOOKUP(G:G,PARAMETROS!Y:Y,PARAMETROS!AD:AD)</f>
        <v>0</v>
      </c>
    </row>
    <row r="428" spans="1:25">
      <c r="A428" s="3"/>
      <c r="B428" t="str">
        <f>IF(_xlfn.XLOOKUP(A428,PARAMETROS!A:A,PARAMETROS!B:B)=0,"",_xlfn.XLOOKUP(A428,PARAMETROS!A:A,PARAMETROS!B:B))</f>
        <v/>
      </c>
      <c r="C428" t="str">
        <f>IF(_xlfn.XLOOKUP(A428,PARAMETROS!A:A,PARAMETROS!C:C)=0,"",_xlfn.XLOOKUP(A428,PARAMETROS!A:A,PARAMETROS!C:C))</f>
        <v/>
      </c>
      <c r="D428" t="str">
        <f>IF(_xlfn.XLOOKUP(A428,PARAMETROS!A:A,PARAMETROS!E:E)=0,"",_xlfn.XLOOKUP(A428,PARAMETROS!A:A,PARAMETROS!E:E))</f>
        <v/>
      </c>
      <c r="E428" t="str">
        <f>IF(_xlfn.XLOOKUP('PREENCHIMENTO|NÃO-LETIVAS'!A428,PARAMETROS!A:A,PARAMETROS!I:I)=0,"",_xlfn.XLOOKUP('PREENCHIMENTO|NÃO-LETIVAS'!A428,PARAMETROS!A:A,PARAMETROS!I:I))</f>
        <v/>
      </c>
      <c r="F428" s="3"/>
      <c r="G428" s="3"/>
      <c r="H428" s="3"/>
      <c r="I428" s="3"/>
      <c r="Y428" s="6">
        <f>_xlfn.XLOOKUP(G:G,PARAMETROS!Y:Y,PARAMETROS!AD:AD)</f>
        <v>0</v>
      </c>
    </row>
    <row r="429" spans="1:25">
      <c r="A429" s="3"/>
      <c r="B429" t="str">
        <f>IF(_xlfn.XLOOKUP(A429,PARAMETROS!A:A,PARAMETROS!B:B)=0,"",_xlfn.XLOOKUP(A429,PARAMETROS!A:A,PARAMETROS!B:B))</f>
        <v/>
      </c>
      <c r="C429" t="str">
        <f>IF(_xlfn.XLOOKUP(A429,PARAMETROS!A:A,PARAMETROS!C:C)=0,"",_xlfn.XLOOKUP(A429,PARAMETROS!A:A,PARAMETROS!C:C))</f>
        <v/>
      </c>
      <c r="D429" t="str">
        <f>IF(_xlfn.XLOOKUP(A429,PARAMETROS!A:A,PARAMETROS!E:E)=0,"",_xlfn.XLOOKUP(A429,PARAMETROS!A:A,PARAMETROS!E:E))</f>
        <v/>
      </c>
      <c r="E429" t="str">
        <f>IF(_xlfn.XLOOKUP('PREENCHIMENTO|NÃO-LETIVAS'!A429,PARAMETROS!A:A,PARAMETROS!I:I)=0,"",_xlfn.XLOOKUP('PREENCHIMENTO|NÃO-LETIVAS'!A429,PARAMETROS!A:A,PARAMETROS!I:I))</f>
        <v/>
      </c>
      <c r="F429" s="3"/>
      <c r="G429" s="3"/>
      <c r="H429" s="3"/>
      <c r="I429" s="3"/>
      <c r="Y429" s="6">
        <f>_xlfn.XLOOKUP(G:G,PARAMETROS!Y:Y,PARAMETROS!AD:AD)</f>
        <v>0</v>
      </c>
    </row>
    <row r="430" spans="1:25">
      <c r="A430" s="3"/>
      <c r="B430" t="str">
        <f>IF(_xlfn.XLOOKUP(A430,PARAMETROS!A:A,PARAMETROS!B:B)=0,"",_xlfn.XLOOKUP(A430,PARAMETROS!A:A,PARAMETROS!B:B))</f>
        <v/>
      </c>
      <c r="C430" t="str">
        <f>IF(_xlfn.XLOOKUP(A430,PARAMETROS!A:A,PARAMETROS!C:C)=0,"",_xlfn.XLOOKUP(A430,PARAMETROS!A:A,PARAMETROS!C:C))</f>
        <v/>
      </c>
      <c r="D430" t="str">
        <f>IF(_xlfn.XLOOKUP(A430,PARAMETROS!A:A,PARAMETROS!E:E)=0,"",_xlfn.XLOOKUP(A430,PARAMETROS!A:A,PARAMETROS!E:E))</f>
        <v/>
      </c>
      <c r="E430" t="str">
        <f>IF(_xlfn.XLOOKUP('PREENCHIMENTO|NÃO-LETIVAS'!A430,PARAMETROS!A:A,PARAMETROS!I:I)=0,"",_xlfn.XLOOKUP('PREENCHIMENTO|NÃO-LETIVAS'!A430,PARAMETROS!A:A,PARAMETROS!I:I))</f>
        <v/>
      </c>
      <c r="F430" s="3"/>
      <c r="G430" s="3"/>
      <c r="H430" s="3"/>
      <c r="I430" s="3"/>
      <c r="Y430" s="6">
        <f>_xlfn.XLOOKUP(G:G,PARAMETROS!Y:Y,PARAMETROS!AD:AD)</f>
        <v>0</v>
      </c>
    </row>
    <row r="431" spans="1:25">
      <c r="A431" s="3"/>
      <c r="B431" t="str">
        <f>IF(_xlfn.XLOOKUP(A431,PARAMETROS!A:A,PARAMETROS!B:B)=0,"",_xlfn.XLOOKUP(A431,PARAMETROS!A:A,PARAMETROS!B:B))</f>
        <v/>
      </c>
      <c r="C431" t="str">
        <f>IF(_xlfn.XLOOKUP(A431,PARAMETROS!A:A,PARAMETROS!C:C)=0,"",_xlfn.XLOOKUP(A431,PARAMETROS!A:A,PARAMETROS!C:C))</f>
        <v/>
      </c>
      <c r="D431" t="str">
        <f>IF(_xlfn.XLOOKUP(A431,PARAMETROS!A:A,PARAMETROS!E:E)=0,"",_xlfn.XLOOKUP(A431,PARAMETROS!A:A,PARAMETROS!E:E))</f>
        <v/>
      </c>
      <c r="E431" t="str">
        <f>IF(_xlfn.XLOOKUP('PREENCHIMENTO|NÃO-LETIVAS'!A431,PARAMETROS!A:A,PARAMETROS!I:I)=0,"",_xlfn.XLOOKUP('PREENCHIMENTO|NÃO-LETIVAS'!A431,PARAMETROS!A:A,PARAMETROS!I:I))</f>
        <v/>
      </c>
      <c r="F431" s="3"/>
      <c r="G431" s="3"/>
      <c r="H431" s="3"/>
      <c r="I431" s="3"/>
      <c r="Y431" s="6">
        <f>_xlfn.XLOOKUP(G:G,PARAMETROS!Y:Y,PARAMETROS!AD:AD)</f>
        <v>0</v>
      </c>
    </row>
    <row r="432" spans="1:25">
      <c r="A432" s="3"/>
      <c r="B432" t="str">
        <f>IF(_xlfn.XLOOKUP(A432,PARAMETROS!A:A,PARAMETROS!B:B)=0,"",_xlfn.XLOOKUP(A432,PARAMETROS!A:A,PARAMETROS!B:B))</f>
        <v/>
      </c>
      <c r="C432" t="str">
        <f>IF(_xlfn.XLOOKUP(A432,PARAMETROS!A:A,PARAMETROS!C:C)=0,"",_xlfn.XLOOKUP(A432,PARAMETROS!A:A,PARAMETROS!C:C))</f>
        <v/>
      </c>
      <c r="D432" t="str">
        <f>IF(_xlfn.XLOOKUP(A432,PARAMETROS!A:A,PARAMETROS!E:E)=0,"",_xlfn.XLOOKUP(A432,PARAMETROS!A:A,PARAMETROS!E:E))</f>
        <v/>
      </c>
      <c r="E432" t="str">
        <f>IF(_xlfn.XLOOKUP('PREENCHIMENTO|NÃO-LETIVAS'!A432,PARAMETROS!A:A,PARAMETROS!I:I)=0,"",_xlfn.XLOOKUP('PREENCHIMENTO|NÃO-LETIVAS'!A432,PARAMETROS!A:A,PARAMETROS!I:I))</f>
        <v/>
      </c>
      <c r="F432" s="3"/>
      <c r="G432" s="3"/>
      <c r="H432" s="3"/>
      <c r="I432" s="3"/>
      <c r="Y432" s="6">
        <f>_xlfn.XLOOKUP(G:G,PARAMETROS!Y:Y,PARAMETROS!AD:AD)</f>
        <v>0</v>
      </c>
    </row>
    <row r="433" spans="1:25">
      <c r="A433" s="3"/>
      <c r="B433" t="str">
        <f>IF(_xlfn.XLOOKUP(A433,PARAMETROS!A:A,PARAMETROS!B:B)=0,"",_xlfn.XLOOKUP(A433,PARAMETROS!A:A,PARAMETROS!B:B))</f>
        <v/>
      </c>
      <c r="C433" t="str">
        <f>IF(_xlfn.XLOOKUP(A433,PARAMETROS!A:A,PARAMETROS!C:C)=0,"",_xlfn.XLOOKUP(A433,PARAMETROS!A:A,PARAMETROS!C:C))</f>
        <v/>
      </c>
      <c r="D433" t="str">
        <f>IF(_xlfn.XLOOKUP(A433,PARAMETROS!A:A,PARAMETROS!E:E)=0,"",_xlfn.XLOOKUP(A433,PARAMETROS!A:A,PARAMETROS!E:E))</f>
        <v/>
      </c>
      <c r="E433" t="str">
        <f>IF(_xlfn.XLOOKUP('PREENCHIMENTO|NÃO-LETIVAS'!A433,PARAMETROS!A:A,PARAMETROS!I:I)=0,"",_xlfn.XLOOKUP('PREENCHIMENTO|NÃO-LETIVAS'!A433,PARAMETROS!A:A,PARAMETROS!I:I))</f>
        <v/>
      </c>
      <c r="F433" s="3"/>
      <c r="G433" s="3"/>
      <c r="H433" s="3"/>
      <c r="I433" s="3"/>
      <c r="Y433" s="6">
        <f>_xlfn.XLOOKUP(G:G,PARAMETROS!Y:Y,PARAMETROS!AD:AD)</f>
        <v>0</v>
      </c>
    </row>
    <row r="434" spans="1:25">
      <c r="A434" s="3"/>
      <c r="B434" t="str">
        <f>IF(_xlfn.XLOOKUP(A434,PARAMETROS!A:A,PARAMETROS!B:B)=0,"",_xlfn.XLOOKUP(A434,PARAMETROS!A:A,PARAMETROS!B:B))</f>
        <v/>
      </c>
      <c r="C434" t="str">
        <f>IF(_xlfn.XLOOKUP(A434,PARAMETROS!A:A,PARAMETROS!C:C)=0,"",_xlfn.XLOOKUP(A434,PARAMETROS!A:A,PARAMETROS!C:C))</f>
        <v/>
      </c>
      <c r="D434" t="str">
        <f>IF(_xlfn.XLOOKUP(A434,PARAMETROS!A:A,PARAMETROS!E:E)=0,"",_xlfn.XLOOKUP(A434,PARAMETROS!A:A,PARAMETROS!E:E))</f>
        <v/>
      </c>
      <c r="E434" t="str">
        <f>IF(_xlfn.XLOOKUP('PREENCHIMENTO|NÃO-LETIVAS'!A434,PARAMETROS!A:A,PARAMETROS!I:I)=0,"",_xlfn.XLOOKUP('PREENCHIMENTO|NÃO-LETIVAS'!A434,PARAMETROS!A:A,PARAMETROS!I:I))</f>
        <v/>
      </c>
      <c r="F434" s="3"/>
      <c r="G434" s="3"/>
      <c r="H434" s="3"/>
      <c r="I434" s="3"/>
      <c r="Y434" s="6">
        <f>_xlfn.XLOOKUP(G:G,PARAMETROS!Y:Y,PARAMETROS!AD:AD)</f>
        <v>0</v>
      </c>
    </row>
    <row r="435" spans="1:25">
      <c r="A435" s="3"/>
      <c r="B435" t="str">
        <f>IF(_xlfn.XLOOKUP(A435,PARAMETROS!A:A,PARAMETROS!B:B)=0,"",_xlfn.XLOOKUP(A435,PARAMETROS!A:A,PARAMETROS!B:B))</f>
        <v/>
      </c>
      <c r="C435" t="str">
        <f>IF(_xlfn.XLOOKUP(A435,PARAMETROS!A:A,PARAMETROS!C:C)=0,"",_xlfn.XLOOKUP(A435,PARAMETROS!A:A,PARAMETROS!C:C))</f>
        <v/>
      </c>
      <c r="D435" t="str">
        <f>IF(_xlfn.XLOOKUP(A435,PARAMETROS!A:A,PARAMETROS!E:E)=0,"",_xlfn.XLOOKUP(A435,PARAMETROS!A:A,PARAMETROS!E:E))</f>
        <v/>
      </c>
      <c r="E435" t="str">
        <f>IF(_xlfn.XLOOKUP('PREENCHIMENTO|NÃO-LETIVAS'!A435,PARAMETROS!A:A,PARAMETROS!I:I)=0,"",_xlfn.XLOOKUP('PREENCHIMENTO|NÃO-LETIVAS'!A435,PARAMETROS!A:A,PARAMETROS!I:I))</f>
        <v/>
      </c>
      <c r="F435" s="3"/>
      <c r="G435" s="3"/>
      <c r="H435" s="3"/>
      <c r="I435" s="3"/>
      <c r="Y435" s="6">
        <f>_xlfn.XLOOKUP(G:G,PARAMETROS!Y:Y,PARAMETROS!AD:AD)</f>
        <v>0</v>
      </c>
    </row>
    <row r="436" spans="1:25">
      <c r="A436" s="3"/>
      <c r="B436" t="str">
        <f>IF(_xlfn.XLOOKUP(A436,PARAMETROS!A:A,PARAMETROS!B:B)=0,"",_xlfn.XLOOKUP(A436,PARAMETROS!A:A,PARAMETROS!B:B))</f>
        <v/>
      </c>
      <c r="C436" t="str">
        <f>IF(_xlfn.XLOOKUP(A436,PARAMETROS!A:A,PARAMETROS!C:C)=0,"",_xlfn.XLOOKUP(A436,PARAMETROS!A:A,PARAMETROS!C:C))</f>
        <v/>
      </c>
      <c r="D436" t="str">
        <f>IF(_xlfn.XLOOKUP(A436,PARAMETROS!A:A,PARAMETROS!E:E)=0,"",_xlfn.XLOOKUP(A436,PARAMETROS!A:A,PARAMETROS!E:E))</f>
        <v/>
      </c>
      <c r="E436" t="str">
        <f>IF(_xlfn.XLOOKUP('PREENCHIMENTO|NÃO-LETIVAS'!A436,PARAMETROS!A:A,PARAMETROS!I:I)=0,"",_xlfn.XLOOKUP('PREENCHIMENTO|NÃO-LETIVAS'!A436,PARAMETROS!A:A,PARAMETROS!I:I))</f>
        <v/>
      </c>
      <c r="F436" s="3"/>
      <c r="G436" s="3"/>
      <c r="H436" s="3"/>
      <c r="I436" s="3"/>
      <c r="Y436" s="6">
        <f>_xlfn.XLOOKUP(G:G,PARAMETROS!Y:Y,PARAMETROS!AD:AD)</f>
        <v>0</v>
      </c>
    </row>
    <row r="437" spans="1:25">
      <c r="A437" s="3"/>
      <c r="B437" t="str">
        <f>IF(_xlfn.XLOOKUP(A437,PARAMETROS!A:A,PARAMETROS!B:B)=0,"",_xlfn.XLOOKUP(A437,PARAMETROS!A:A,PARAMETROS!B:B))</f>
        <v/>
      </c>
      <c r="C437" t="str">
        <f>IF(_xlfn.XLOOKUP(A437,PARAMETROS!A:A,PARAMETROS!C:C)=0,"",_xlfn.XLOOKUP(A437,PARAMETROS!A:A,PARAMETROS!C:C))</f>
        <v/>
      </c>
      <c r="D437" t="str">
        <f>IF(_xlfn.XLOOKUP(A437,PARAMETROS!A:A,PARAMETROS!E:E)=0,"",_xlfn.XLOOKUP(A437,PARAMETROS!A:A,PARAMETROS!E:E))</f>
        <v/>
      </c>
      <c r="E437" t="str">
        <f>IF(_xlfn.XLOOKUP('PREENCHIMENTO|NÃO-LETIVAS'!A437,PARAMETROS!A:A,PARAMETROS!I:I)=0,"",_xlfn.XLOOKUP('PREENCHIMENTO|NÃO-LETIVAS'!A437,PARAMETROS!A:A,PARAMETROS!I:I))</f>
        <v/>
      </c>
      <c r="F437" s="3"/>
      <c r="G437" s="3"/>
      <c r="H437" s="3"/>
      <c r="I437" s="3"/>
      <c r="Y437" s="6">
        <f>_xlfn.XLOOKUP(G:G,PARAMETROS!Y:Y,PARAMETROS!AD:AD)</f>
        <v>0</v>
      </c>
    </row>
    <row r="438" spans="1:25">
      <c r="A438" s="3"/>
      <c r="B438" t="str">
        <f>IF(_xlfn.XLOOKUP(A438,PARAMETROS!A:A,PARAMETROS!B:B)=0,"",_xlfn.XLOOKUP(A438,PARAMETROS!A:A,PARAMETROS!B:B))</f>
        <v/>
      </c>
      <c r="C438" t="str">
        <f>IF(_xlfn.XLOOKUP(A438,PARAMETROS!A:A,PARAMETROS!C:C)=0,"",_xlfn.XLOOKUP(A438,PARAMETROS!A:A,PARAMETROS!C:C))</f>
        <v/>
      </c>
      <c r="D438" t="str">
        <f>IF(_xlfn.XLOOKUP(A438,PARAMETROS!A:A,PARAMETROS!E:E)=0,"",_xlfn.XLOOKUP(A438,PARAMETROS!A:A,PARAMETROS!E:E))</f>
        <v/>
      </c>
      <c r="E438" t="str">
        <f>IF(_xlfn.XLOOKUP('PREENCHIMENTO|NÃO-LETIVAS'!A438,PARAMETROS!A:A,PARAMETROS!I:I)=0,"",_xlfn.XLOOKUP('PREENCHIMENTO|NÃO-LETIVAS'!A438,PARAMETROS!A:A,PARAMETROS!I:I))</f>
        <v/>
      </c>
      <c r="F438" s="3"/>
      <c r="G438" s="3"/>
      <c r="H438" s="3"/>
      <c r="I438" s="3"/>
      <c r="Y438" s="6">
        <f>_xlfn.XLOOKUP(G:G,PARAMETROS!Y:Y,PARAMETROS!AD:AD)</f>
        <v>0</v>
      </c>
    </row>
    <row r="439" spans="1:25">
      <c r="A439" s="3"/>
      <c r="B439" t="str">
        <f>IF(_xlfn.XLOOKUP(A439,PARAMETROS!A:A,PARAMETROS!B:B)=0,"",_xlfn.XLOOKUP(A439,PARAMETROS!A:A,PARAMETROS!B:B))</f>
        <v/>
      </c>
      <c r="C439" t="str">
        <f>IF(_xlfn.XLOOKUP(A439,PARAMETROS!A:A,PARAMETROS!C:C)=0,"",_xlfn.XLOOKUP(A439,PARAMETROS!A:A,PARAMETROS!C:C))</f>
        <v/>
      </c>
      <c r="D439" t="str">
        <f>IF(_xlfn.XLOOKUP(A439,PARAMETROS!A:A,PARAMETROS!E:E)=0,"",_xlfn.XLOOKUP(A439,PARAMETROS!A:A,PARAMETROS!E:E))</f>
        <v/>
      </c>
      <c r="E439" t="str">
        <f>IF(_xlfn.XLOOKUP('PREENCHIMENTO|NÃO-LETIVAS'!A439,PARAMETROS!A:A,PARAMETROS!I:I)=0,"",_xlfn.XLOOKUP('PREENCHIMENTO|NÃO-LETIVAS'!A439,PARAMETROS!A:A,PARAMETROS!I:I))</f>
        <v/>
      </c>
      <c r="F439" s="3"/>
      <c r="G439" s="3"/>
      <c r="H439" s="3"/>
      <c r="I439" s="3"/>
      <c r="Y439" s="6">
        <f>_xlfn.XLOOKUP(G:G,PARAMETROS!Y:Y,PARAMETROS!AD:AD)</f>
        <v>0</v>
      </c>
    </row>
    <row r="440" spans="1:25">
      <c r="A440" s="3"/>
      <c r="B440" t="str">
        <f>IF(_xlfn.XLOOKUP(A440,PARAMETROS!A:A,PARAMETROS!B:B)=0,"",_xlfn.XLOOKUP(A440,PARAMETROS!A:A,PARAMETROS!B:B))</f>
        <v/>
      </c>
      <c r="C440" t="str">
        <f>IF(_xlfn.XLOOKUP(A440,PARAMETROS!A:A,PARAMETROS!C:C)=0,"",_xlfn.XLOOKUP(A440,PARAMETROS!A:A,PARAMETROS!C:C))</f>
        <v/>
      </c>
      <c r="D440" t="str">
        <f>IF(_xlfn.XLOOKUP(A440,PARAMETROS!A:A,PARAMETROS!E:E)=0,"",_xlfn.XLOOKUP(A440,PARAMETROS!A:A,PARAMETROS!E:E))</f>
        <v/>
      </c>
      <c r="E440" t="str">
        <f>IF(_xlfn.XLOOKUP('PREENCHIMENTO|NÃO-LETIVAS'!A440,PARAMETROS!A:A,PARAMETROS!I:I)=0,"",_xlfn.XLOOKUP('PREENCHIMENTO|NÃO-LETIVAS'!A440,PARAMETROS!A:A,PARAMETROS!I:I))</f>
        <v/>
      </c>
      <c r="F440" s="3"/>
      <c r="G440" s="3"/>
      <c r="H440" s="3"/>
      <c r="I440" s="3"/>
      <c r="Y440" s="6">
        <f>_xlfn.XLOOKUP(G:G,PARAMETROS!Y:Y,PARAMETROS!AD:AD)</f>
        <v>0</v>
      </c>
    </row>
    <row r="441" spans="1:25">
      <c r="A441" s="3"/>
      <c r="B441" t="str">
        <f>IF(_xlfn.XLOOKUP(A441,PARAMETROS!A:A,PARAMETROS!B:B)=0,"",_xlfn.XLOOKUP(A441,PARAMETROS!A:A,PARAMETROS!B:B))</f>
        <v/>
      </c>
      <c r="C441" t="str">
        <f>IF(_xlfn.XLOOKUP(A441,PARAMETROS!A:A,PARAMETROS!C:C)=0,"",_xlfn.XLOOKUP(A441,PARAMETROS!A:A,PARAMETROS!C:C))</f>
        <v/>
      </c>
      <c r="D441" t="str">
        <f>IF(_xlfn.XLOOKUP(A441,PARAMETROS!A:A,PARAMETROS!E:E)=0,"",_xlfn.XLOOKUP(A441,PARAMETROS!A:A,PARAMETROS!E:E))</f>
        <v/>
      </c>
      <c r="E441" t="str">
        <f>IF(_xlfn.XLOOKUP('PREENCHIMENTO|NÃO-LETIVAS'!A441,PARAMETROS!A:A,PARAMETROS!I:I)=0,"",_xlfn.XLOOKUP('PREENCHIMENTO|NÃO-LETIVAS'!A441,PARAMETROS!A:A,PARAMETROS!I:I))</f>
        <v/>
      </c>
      <c r="F441" s="3"/>
      <c r="G441" s="3"/>
      <c r="H441" s="3"/>
      <c r="I441" s="3"/>
      <c r="Y441" s="6">
        <f>_xlfn.XLOOKUP(G:G,PARAMETROS!Y:Y,PARAMETROS!AD:AD)</f>
        <v>0</v>
      </c>
    </row>
    <row r="442" spans="1:25">
      <c r="A442" s="3"/>
      <c r="B442" t="str">
        <f>IF(_xlfn.XLOOKUP(A442,PARAMETROS!A:A,PARAMETROS!B:B)=0,"",_xlfn.XLOOKUP(A442,PARAMETROS!A:A,PARAMETROS!B:B))</f>
        <v/>
      </c>
      <c r="C442" t="str">
        <f>IF(_xlfn.XLOOKUP(A442,PARAMETROS!A:A,PARAMETROS!C:C)=0,"",_xlfn.XLOOKUP(A442,PARAMETROS!A:A,PARAMETROS!C:C))</f>
        <v/>
      </c>
      <c r="D442" t="str">
        <f>IF(_xlfn.XLOOKUP(A442,PARAMETROS!A:A,PARAMETROS!E:E)=0,"",_xlfn.XLOOKUP(A442,PARAMETROS!A:A,PARAMETROS!E:E))</f>
        <v/>
      </c>
      <c r="E442" t="str">
        <f>IF(_xlfn.XLOOKUP('PREENCHIMENTO|NÃO-LETIVAS'!A442,PARAMETROS!A:A,PARAMETROS!I:I)=0,"",_xlfn.XLOOKUP('PREENCHIMENTO|NÃO-LETIVAS'!A442,PARAMETROS!A:A,PARAMETROS!I:I))</f>
        <v/>
      </c>
      <c r="F442" s="3"/>
      <c r="G442" s="3"/>
      <c r="H442" s="3"/>
      <c r="I442" s="3"/>
      <c r="Y442" s="6">
        <f>_xlfn.XLOOKUP(G:G,PARAMETROS!Y:Y,PARAMETROS!AD:AD)</f>
        <v>0</v>
      </c>
    </row>
    <row r="443" spans="1:25">
      <c r="A443" s="3"/>
      <c r="B443" t="str">
        <f>IF(_xlfn.XLOOKUP(A443,PARAMETROS!A:A,PARAMETROS!B:B)=0,"",_xlfn.XLOOKUP(A443,PARAMETROS!A:A,PARAMETROS!B:B))</f>
        <v/>
      </c>
      <c r="C443" t="str">
        <f>IF(_xlfn.XLOOKUP(A443,PARAMETROS!A:A,PARAMETROS!C:C)=0,"",_xlfn.XLOOKUP(A443,PARAMETROS!A:A,PARAMETROS!C:C))</f>
        <v/>
      </c>
      <c r="D443" t="str">
        <f>IF(_xlfn.XLOOKUP(A443,PARAMETROS!A:A,PARAMETROS!E:E)=0,"",_xlfn.XLOOKUP(A443,PARAMETROS!A:A,PARAMETROS!E:E))</f>
        <v/>
      </c>
      <c r="E443" t="str">
        <f>IF(_xlfn.XLOOKUP('PREENCHIMENTO|NÃO-LETIVAS'!A443,PARAMETROS!A:A,PARAMETROS!I:I)=0,"",_xlfn.XLOOKUP('PREENCHIMENTO|NÃO-LETIVAS'!A443,PARAMETROS!A:A,PARAMETROS!I:I))</f>
        <v/>
      </c>
      <c r="F443" s="3"/>
      <c r="G443" s="3"/>
      <c r="H443" s="3"/>
      <c r="I443" s="3"/>
      <c r="Y443" s="6">
        <f>_xlfn.XLOOKUP(G:G,PARAMETROS!Y:Y,PARAMETROS!AD:AD)</f>
        <v>0</v>
      </c>
    </row>
    <row r="444" spans="1:25">
      <c r="A444" s="3"/>
      <c r="B444" t="str">
        <f>IF(_xlfn.XLOOKUP(A444,PARAMETROS!A:A,PARAMETROS!B:B)=0,"",_xlfn.XLOOKUP(A444,PARAMETROS!A:A,PARAMETROS!B:B))</f>
        <v/>
      </c>
      <c r="C444" t="str">
        <f>IF(_xlfn.XLOOKUP(A444,PARAMETROS!A:A,PARAMETROS!C:C)=0,"",_xlfn.XLOOKUP(A444,PARAMETROS!A:A,PARAMETROS!C:C))</f>
        <v/>
      </c>
      <c r="D444" t="str">
        <f>IF(_xlfn.XLOOKUP(A444,PARAMETROS!A:A,PARAMETROS!E:E)=0,"",_xlfn.XLOOKUP(A444,PARAMETROS!A:A,PARAMETROS!E:E))</f>
        <v/>
      </c>
      <c r="E444" t="str">
        <f>IF(_xlfn.XLOOKUP('PREENCHIMENTO|NÃO-LETIVAS'!A444,PARAMETROS!A:A,PARAMETROS!I:I)=0,"",_xlfn.XLOOKUP('PREENCHIMENTO|NÃO-LETIVAS'!A444,PARAMETROS!A:A,PARAMETROS!I:I))</f>
        <v/>
      </c>
      <c r="F444" s="3"/>
      <c r="G444" s="3"/>
      <c r="H444" s="3"/>
      <c r="I444" s="3"/>
      <c r="Y444" s="6">
        <f>_xlfn.XLOOKUP(G:G,PARAMETROS!Y:Y,PARAMETROS!AD:AD)</f>
        <v>0</v>
      </c>
    </row>
    <row r="445" spans="1:25">
      <c r="A445" s="3"/>
      <c r="B445" t="str">
        <f>IF(_xlfn.XLOOKUP(A445,PARAMETROS!A:A,PARAMETROS!B:B)=0,"",_xlfn.XLOOKUP(A445,PARAMETROS!A:A,PARAMETROS!B:B))</f>
        <v/>
      </c>
      <c r="C445" t="str">
        <f>IF(_xlfn.XLOOKUP(A445,PARAMETROS!A:A,PARAMETROS!C:C)=0,"",_xlfn.XLOOKUP(A445,PARAMETROS!A:A,PARAMETROS!C:C))</f>
        <v/>
      </c>
      <c r="D445" t="str">
        <f>IF(_xlfn.XLOOKUP(A445,PARAMETROS!A:A,PARAMETROS!E:E)=0,"",_xlfn.XLOOKUP(A445,PARAMETROS!A:A,PARAMETROS!E:E))</f>
        <v/>
      </c>
      <c r="E445" t="str">
        <f>IF(_xlfn.XLOOKUP('PREENCHIMENTO|NÃO-LETIVAS'!A445,PARAMETROS!A:A,PARAMETROS!I:I)=0,"",_xlfn.XLOOKUP('PREENCHIMENTO|NÃO-LETIVAS'!A445,PARAMETROS!A:A,PARAMETROS!I:I))</f>
        <v/>
      </c>
      <c r="F445" s="3"/>
      <c r="G445" s="3"/>
      <c r="H445" s="3"/>
      <c r="I445" s="3"/>
      <c r="Y445" s="6">
        <f>_xlfn.XLOOKUP(G:G,PARAMETROS!Y:Y,PARAMETROS!AD:AD)</f>
        <v>0</v>
      </c>
    </row>
    <row r="446" spans="1:25">
      <c r="A446" s="3"/>
      <c r="B446" t="str">
        <f>IF(_xlfn.XLOOKUP(A446,PARAMETROS!A:A,PARAMETROS!B:B)=0,"",_xlfn.XLOOKUP(A446,PARAMETROS!A:A,PARAMETROS!B:B))</f>
        <v/>
      </c>
      <c r="C446" t="str">
        <f>IF(_xlfn.XLOOKUP(A446,PARAMETROS!A:A,PARAMETROS!C:C)=0,"",_xlfn.XLOOKUP(A446,PARAMETROS!A:A,PARAMETROS!C:C))</f>
        <v/>
      </c>
      <c r="D446" t="str">
        <f>IF(_xlfn.XLOOKUP(A446,PARAMETROS!A:A,PARAMETROS!E:E)=0,"",_xlfn.XLOOKUP(A446,PARAMETROS!A:A,PARAMETROS!E:E))</f>
        <v/>
      </c>
      <c r="E446" t="str">
        <f>IF(_xlfn.XLOOKUP('PREENCHIMENTO|NÃO-LETIVAS'!A446,PARAMETROS!A:A,PARAMETROS!I:I)=0,"",_xlfn.XLOOKUP('PREENCHIMENTO|NÃO-LETIVAS'!A446,PARAMETROS!A:A,PARAMETROS!I:I))</f>
        <v/>
      </c>
      <c r="F446" s="3"/>
      <c r="G446" s="3"/>
      <c r="H446" s="3"/>
      <c r="I446" s="3"/>
      <c r="Y446" s="6">
        <f>_xlfn.XLOOKUP(G:G,PARAMETROS!Y:Y,PARAMETROS!AD:AD)</f>
        <v>0</v>
      </c>
    </row>
    <row r="447" spans="1:25">
      <c r="A447" s="3"/>
      <c r="B447" t="str">
        <f>IF(_xlfn.XLOOKUP(A447,PARAMETROS!A:A,PARAMETROS!B:B)=0,"",_xlfn.XLOOKUP(A447,PARAMETROS!A:A,PARAMETROS!B:B))</f>
        <v/>
      </c>
      <c r="C447" t="str">
        <f>IF(_xlfn.XLOOKUP(A447,PARAMETROS!A:A,PARAMETROS!C:C)=0,"",_xlfn.XLOOKUP(A447,PARAMETROS!A:A,PARAMETROS!C:C))</f>
        <v/>
      </c>
      <c r="D447" t="str">
        <f>IF(_xlfn.XLOOKUP(A447,PARAMETROS!A:A,PARAMETROS!E:E)=0,"",_xlfn.XLOOKUP(A447,PARAMETROS!A:A,PARAMETROS!E:E))</f>
        <v/>
      </c>
      <c r="E447" t="str">
        <f>IF(_xlfn.XLOOKUP('PREENCHIMENTO|NÃO-LETIVAS'!A447,PARAMETROS!A:A,PARAMETROS!I:I)=0,"",_xlfn.XLOOKUP('PREENCHIMENTO|NÃO-LETIVAS'!A447,PARAMETROS!A:A,PARAMETROS!I:I))</f>
        <v/>
      </c>
      <c r="F447" s="3"/>
      <c r="G447" s="3"/>
      <c r="H447" s="3"/>
      <c r="I447" s="3"/>
      <c r="Y447" s="6">
        <f>_xlfn.XLOOKUP(G:G,PARAMETROS!Y:Y,PARAMETROS!AD:AD)</f>
        <v>0</v>
      </c>
    </row>
    <row r="448" spans="1:25">
      <c r="A448" s="3"/>
      <c r="B448" t="str">
        <f>IF(_xlfn.XLOOKUP(A448,PARAMETROS!A:A,PARAMETROS!B:B)=0,"",_xlfn.XLOOKUP(A448,PARAMETROS!A:A,PARAMETROS!B:B))</f>
        <v/>
      </c>
      <c r="C448" t="str">
        <f>IF(_xlfn.XLOOKUP(A448,PARAMETROS!A:A,PARAMETROS!C:C)=0,"",_xlfn.XLOOKUP(A448,PARAMETROS!A:A,PARAMETROS!C:C))</f>
        <v/>
      </c>
      <c r="D448" t="str">
        <f>IF(_xlfn.XLOOKUP(A448,PARAMETROS!A:A,PARAMETROS!E:E)=0,"",_xlfn.XLOOKUP(A448,PARAMETROS!A:A,PARAMETROS!E:E))</f>
        <v/>
      </c>
      <c r="E448" t="str">
        <f>IF(_xlfn.XLOOKUP('PREENCHIMENTO|NÃO-LETIVAS'!A448,PARAMETROS!A:A,PARAMETROS!I:I)=0,"",_xlfn.XLOOKUP('PREENCHIMENTO|NÃO-LETIVAS'!A448,PARAMETROS!A:A,PARAMETROS!I:I))</f>
        <v/>
      </c>
      <c r="F448" s="3"/>
      <c r="G448" s="3"/>
      <c r="H448" s="3"/>
      <c r="I448" s="3"/>
      <c r="Y448" s="6">
        <f>_xlfn.XLOOKUP(G:G,PARAMETROS!Y:Y,PARAMETROS!AD:AD)</f>
        <v>0</v>
      </c>
    </row>
    <row r="449" spans="1:25">
      <c r="A449" s="3"/>
      <c r="B449" t="str">
        <f>IF(_xlfn.XLOOKUP(A449,PARAMETROS!A:A,PARAMETROS!B:B)=0,"",_xlfn.XLOOKUP(A449,PARAMETROS!A:A,PARAMETROS!B:B))</f>
        <v/>
      </c>
      <c r="C449" t="str">
        <f>IF(_xlfn.XLOOKUP(A449,PARAMETROS!A:A,PARAMETROS!C:C)=0,"",_xlfn.XLOOKUP(A449,PARAMETROS!A:A,PARAMETROS!C:C))</f>
        <v/>
      </c>
      <c r="D449" t="str">
        <f>IF(_xlfn.XLOOKUP(A449,PARAMETROS!A:A,PARAMETROS!E:E)=0,"",_xlfn.XLOOKUP(A449,PARAMETROS!A:A,PARAMETROS!E:E))</f>
        <v/>
      </c>
      <c r="E449" t="str">
        <f>IF(_xlfn.XLOOKUP('PREENCHIMENTO|NÃO-LETIVAS'!A449,PARAMETROS!A:A,PARAMETROS!I:I)=0,"",_xlfn.XLOOKUP('PREENCHIMENTO|NÃO-LETIVAS'!A449,PARAMETROS!A:A,PARAMETROS!I:I))</f>
        <v/>
      </c>
      <c r="F449" s="3"/>
      <c r="G449" s="3"/>
      <c r="H449" s="3"/>
      <c r="I449" s="3"/>
      <c r="Y449" s="6">
        <f>_xlfn.XLOOKUP(G:G,PARAMETROS!Y:Y,PARAMETROS!AD:AD)</f>
        <v>0</v>
      </c>
    </row>
    <row r="450" spans="1:25">
      <c r="A450" s="3"/>
      <c r="B450" t="str">
        <f>IF(_xlfn.XLOOKUP(A450,PARAMETROS!A:A,PARAMETROS!B:B)=0,"",_xlfn.XLOOKUP(A450,PARAMETROS!A:A,PARAMETROS!B:B))</f>
        <v/>
      </c>
      <c r="C450" t="str">
        <f>IF(_xlfn.XLOOKUP(A450,PARAMETROS!A:A,PARAMETROS!C:C)=0,"",_xlfn.XLOOKUP(A450,PARAMETROS!A:A,PARAMETROS!C:C))</f>
        <v/>
      </c>
      <c r="D450" t="str">
        <f>IF(_xlfn.XLOOKUP(A450,PARAMETROS!A:A,PARAMETROS!E:E)=0,"",_xlfn.XLOOKUP(A450,PARAMETROS!A:A,PARAMETROS!E:E))</f>
        <v/>
      </c>
      <c r="E450" t="str">
        <f>IF(_xlfn.XLOOKUP('PREENCHIMENTO|NÃO-LETIVAS'!A450,PARAMETROS!A:A,PARAMETROS!I:I)=0,"",_xlfn.XLOOKUP('PREENCHIMENTO|NÃO-LETIVAS'!A450,PARAMETROS!A:A,PARAMETROS!I:I))</f>
        <v/>
      </c>
      <c r="F450" s="3"/>
      <c r="G450" s="3"/>
      <c r="H450" s="3"/>
      <c r="I450" s="3"/>
      <c r="Y450" s="6">
        <f>_xlfn.XLOOKUP(G:G,PARAMETROS!Y:Y,PARAMETROS!AD:AD)</f>
        <v>0</v>
      </c>
    </row>
    <row r="451" spans="1:25">
      <c r="A451" s="3"/>
      <c r="B451" t="str">
        <f>IF(_xlfn.XLOOKUP(A451,PARAMETROS!A:A,PARAMETROS!B:B)=0,"",_xlfn.XLOOKUP(A451,PARAMETROS!A:A,PARAMETROS!B:B))</f>
        <v/>
      </c>
      <c r="C451" t="str">
        <f>IF(_xlfn.XLOOKUP(A451,PARAMETROS!A:A,PARAMETROS!C:C)=0,"",_xlfn.XLOOKUP(A451,PARAMETROS!A:A,PARAMETROS!C:C))</f>
        <v/>
      </c>
      <c r="D451" t="str">
        <f>IF(_xlfn.XLOOKUP(A451,PARAMETROS!A:A,PARAMETROS!E:E)=0,"",_xlfn.XLOOKUP(A451,PARAMETROS!A:A,PARAMETROS!E:E))</f>
        <v/>
      </c>
      <c r="E451" t="str">
        <f>IF(_xlfn.XLOOKUP('PREENCHIMENTO|NÃO-LETIVAS'!A451,PARAMETROS!A:A,PARAMETROS!I:I)=0,"",_xlfn.XLOOKUP('PREENCHIMENTO|NÃO-LETIVAS'!A451,PARAMETROS!A:A,PARAMETROS!I:I))</f>
        <v/>
      </c>
      <c r="F451" s="3"/>
      <c r="G451" s="3"/>
      <c r="H451" s="3"/>
      <c r="I451" s="3"/>
      <c r="Y451" s="6">
        <f>_xlfn.XLOOKUP(G:G,PARAMETROS!Y:Y,PARAMETROS!AD:AD)</f>
        <v>0</v>
      </c>
    </row>
    <row r="452" spans="1:25">
      <c r="A452" s="3"/>
      <c r="B452" t="str">
        <f>IF(_xlfn.XLOOKUP(A452,PARAMETROS!A:A,PARAMETROS!B:B)=0,"",_xlfn.XLOOKUP(A452,PARAMETROS!A:A,PARAMETROS!B:B))</f>
        <v/>
      </c>
      <c r="C452" t="str">
        <f>IF(_xlfn.XLOOKUP(A452,PARAMETROS!A:A,PARAMETROS!C:C)=0,"",_xlfn.XLOOKUP(A452,PARAMETROS!A:A,PARAMETROS!C:C))</f>
        <v/>
      </c>
      <c r="D452" t="str">
        <f>IF(_xlfn.XLOOKUP(A452,PARAMETROS!A:A,PARAMETROS!E:E)=0,"",_xlfn.XLOOKUP(A452,PARAMETROS!A:A,PARAMETROS!E:E))</f>
        <v/>
      </c>
      <c r="E452" t="str">
        <f>IF(_xlfn.XLOOKUP('PREENCHIMENTO|NÃO-LETIVAS'!A452,PARAMETROS!A:A,PARAMETROS!I:I)=0,"",_xlfn.XLOOKUP('PREENCHIMENTO|NÃO-LETIVAS'!A452,PARAMETROS!A:A,PARAMETROS!I:I))</f>
        <v/>
      </c>
      <c r="F452" s="3"/>
      <c r="G452" s="3"/>
      <c r="H452" s="3"/>
      <c r="I452" s="3"/>
      <c r="Y452" s="6">
        <f>_xlfn.XLOOKUP(G:G,PARAMETROS!Y:Y,PARAMETROS!AD:AD)</f>
        <v>0</v>
      </c>
    </row>
    <row r="453" spans="1:25">
      <c r="A453" s="3"/>
      <c r="B453" t="str">
        <f>IF(_xlfn.XLOOKUP(A453,PARAMETROS!A:A,PARAMETROS!B:B)=0,"",_xlfn.XLOOKUP(A453,PARAMETROS!A:A,PARAMETROS!B:B))</f>
        <v/>
      </c>
      <c r="C453" t="str">
        <f>IF(_xlfn.XLOOKUP(A453,PARAMETROS!A:A,PARAMETROS!C:C)=0,"",_xlfn.XLOOKUP(A453,PARAMETROS!A:A,PARAMETROS!C:C))</f>
        <v/>
      </c>
      <c r="D453" t="str">
        <f>IF(_xlfn.XLOOKUP(A453,PARAMETROS!A:A,PARAMETROS!E:E)=0,"",_xlfn.XLOOKUP(A453,PARAMETROS!A:A,PARAMETROS!E:E))</f>
        <v/>
      </c>
      <c r="E453" t="str">
        <f>IF(_xlfn.XLOOKUP('PREENCHIMENTO|NÃO-LETIVAS'!A453,PARAMETROS!A:A,PARAMETROS!I:I)=0,"",_xlfn.XLOOKUP('PREENCHIMENTO|NÃO-LETIVAS'!A453,PARAMETROS!A:A,PARAMETROS!I:I))</f>
        <v/>
      </c>
      <c r="F453" s="3"/>
      <c r="G453" s="3"/>
      <c r="H453" s="3"/>
      <c r="I453" s="3"/>
      <c r="Y453" s="6">
        <f>_xlfn.XLOOKUP(G:G,PARAMETROS!Y:Y,PARAMETROS!AD:AD)</f>
        <v>0</v>
      </c>
    </row>
    <row r="454" spans="1:25">
      <c r="A454" s="3"/>
      <c r="B454" t="str">
        <f>IF(_xlfn.XLOOKUP(A454,PARAMETROS!A:A,PARAMETROS!B:B)=0,"",_xlfn.XLOOKUP(A454,PARAMETROS!A:A,PARAMETROS!B:B))</f>
        <v/>
      </c>
      <c r="C454" t="str">
        <f>IF(_xlfn.XLOOKUP(A454,PARAMETROS!A:A,PARAMETROS!C:C)=0,"",_xlfn.XLOOKUP(A454,PARAMETROS!A:A,PARAMETROS!C:C))</f>
        <v/>
      </c>
      <c r="D454" t="str">
        <f>IF(_xlfn.XLOOKUP(A454,PARAMETROS!A:A,PARAMETROS!E:E)=0,"",_xlfn.XLOOKUP(A454,PARAMETROS!A:A,PARAMETROS!E:E))</f>
        <v/>
      </c>
      <c r="E454" t="str">
        <f>IF(_xlfn.XLOOKUP('PREENCHIMENTO|NÃO-LETIVAS'!A454,PARAMETROS!A:A,PARAMETROS!I:I)=0,"",_xlfn.XLOOKUP('PREENCHIMENTO|NÃO-LETIVAS'!A454,PARAMETROS!A:A,PARAMETROS!I:I))</f>
        <v/>
      </c>
      <c r="F454" s="3"/>
      <c r="G454" s="3"/>
      <c r="H454" s="3"/>
      <c r="I454" s="3"/>
      <c r="Y454" s="6">
        <f>_xlfn.XLOOKUP(G:G,PARAMETROS!Y:Y,PARAMETROS!AD:AD)</f>
        <v>0</v>
      </c>
    </row>
    <row r="455" spans="1:25">
      <c r="A455" s="3"/>
      <c r="B455" t="str">
        <f>IF(_xlfn.XLOOKUP(A455,PARAMETROS!A:A,PARAMETROS!B:B)=0,"",_xlfn.XLOOKUP(A455,PARAMETROS!A:A,PARAMETROS!B:B))</f>
        <v/>
      </c>
      <c r="C455" t="str">
        <f>IF(_xlfn.XLOOKUP(A455,PARAMETROS!A:A,PARAMETROS!C:C)=0,"",_xlfn.XLOOKUP(A455,PARAMETROS!A:A,PARAMETROS!C:C))</f>
        <v/>
      </c>
      <c r="D455" t="str">
        <f>IF(_xlfn.XLOOKUP(A455,PARAMETROS!A:A,PARAMETROS!E:E)=0,"",_xlfn.XLOOKUP(A455,PARAMETROS!A:A,PARAMETROS!E:E))</f>
        <v/>
      </c>
      <c r="E455" t="str">
        <f>IF(_xlfn.XLOOKUP('PREENCHIMENTO|NÃO-LETIVAS'!A455,PARAMETROS!A:A,PARAMETROS!I:I)=0,"",_xlfn.XLOOKUP('PREENCHIMENTO|NÃO-LETIVAS'!A455,PARAMETROS!A:A,PARAMETROS!I:I))</f>
        <v/>
      </c>
      <c r="F455" s="3"/>
      <c r="G455" s="3"/>
      <c r="H455" s="3"/>
      <c r="I455" s="3"/>
      <c r="Y455" s="6">
        <f>_xlfn.XLOOKUP(G:G,PARAMETROS!Y:Y,PARAMETROS!AD:AD)</f>
        <v>0</v>
      </c>
    </row>
    <row r="456" spans="1:25">
      <c r="A456" s="3"/>
      <c r="B456" t="str">
        <f>IF(_xlfn.XLOOKUP(A456,PARAMETROS!A:A,PARAMETROS!B:B)=0,"",_xlfn.XLOOKUP(A456,PARAMETROS!A:A,PARAMETROS!B:B))</f>
        <v/>
      </c>
      <c r="C456" t="str">
        <f>IF(_xlfn.XLOOKUP(A456,PARAMETROS!A:A,PARAMETROS!C:C)=0,"",_xlfn.XLOOKUP(A456,PARAMETROS!A:A,PARAMETROS!C:C))</f>
        <v/>
      </c>
      <c r="D456" t="str">
        <f>IF(_xlfn.XLOOKUP(A456,PARAMETROS!A:A,PARAMETROS!E:E)=0,"",_xlfn.XLOOKUP(A456,PARAMETROS!A:A,PARAMETROS!E:E))</f>
        <v/>
      </c>
      <c r="E456" t="str">
        <f>IF(_xlfn.XLOOKUP('PREENCHIMENTO|NÃO-LETIVAS'!A456,PARAMETROS!A:A,PARAMETROS!I:I)=0,"",_xlfn.XLOOKUP('PREENCHIMENTO|NÃO-LETIVAS'!A456,PARAMETROS!A:A,PARAMETROS!I:I))</f>
        <v/>
      </c>
      <c r="F456" s="3"/>
      <c r="G456" s="3"/>
      <c r="H456" s="3"/>
      <c r="I456" s="3"/>
      <c r="Y456" s="6">
        <f>_xlfn.XLOOKUP(G:G,PARAMETROS!Y:Y,PARAMETROS!AD:AD)</f>
        <v>0</v>
      </c>
    </row>
    <row r="457" spans="1:25">
      <c r="A457" s="3"/>
      <c r="B457" t="str">
        <f>IF(_xlfn.XLOOKUP(A457,PARAMETROS!A:A,PARAMETROS!B:B)=0,"",_xlfn.XLOOKUP(A457,PARAMETROS!A:A,PARAMETROS!B:B))</f>
        <v/>
      </c>
      <c r="C457" t="str">
        <f>IF(_xlfn.XLOOKUP(A457,PARAMETROS!A:A,PARAMETROS!C:C)=0,"",_xlfn.XLOOKUP(A457,PARAMETROS!A:A,PARAMETROS!C:C))</f>
        <v/>
      </c>
      <c r="D457" t="str">
        <f>IF(_xlfn.XLOOKUP(A457,PARAMETROS!A:A,PARAMETROS!E:E)=0,"",_xlfn.XLOOKUP(A457,PARAMETROS!A:A,PARAMETROS!E:E))</f>
        <v/>
      </c>
      <c r="E457" t="str">
        <f>IF(_xlfn.XLOOKUP('PREENCHIMENTO|NÃO-LETIVAS'!A457,PARAMETROS!A:A,PARAMETROS!I:I)=0,"",_xlfn.XLOOKUP('PREENCHIMENTO|NÃO-LETIVAS'!A457,PARAMETROS!A:A,PARAMETROS!I:I))</f>
        <v/>
      </c>
      <c r="F457" s="3"/>
      <c r="G457" s="3"/>
      <c r="H457" s="3"/>
      <c r="I457" s="3"/>
      <c r="Y457" s="6">
        <f>_xlfn.XLOOKUP(G:G,PARAMETROS!Y:Y,PARAMETROS!AD:AD)</f>
        <v>0</v>
      </c>
    </row>
    <row r="458" spans="1:25">
      <c r="A458" s="3"/>
      <c r="B458" t="str">
        <f>IF(_xlfn.XLOOKUP(A458,PARAMETROS!A:A,PARAMETROS!B:B)=0,"",_xlfn.XLOOKUP(A458,PARAMETROS!A:A,PARAMETROS!B:B))</f>
        <v/>
      </c>
      <c r="C458" t="str">
        <f>IF(_xlfn.XLOOKUP(A458,PARAMETROS!A:A,PARAMETROS!C:C)=0,"",_xlfn.XLOOKUP(A458,PARAMETROS!A:A,PARAMETROS!C:C))</f>
        <v/>
      </c>
      <c r="D458" t="str">
        <f>IF(_xlfn.XLOOKUP(A458,PARAMETROS!A:A,PARAMETROS!E:E)=0,"",_xlfn.XLOOKUP(A458,PARAMETROS!A:A,PARAMETROS!E:E))</f>
        <v/>
      </c>
      <c r="E458" t="str">
        <f>IF(_xlfn.XLOOKUP('PREENCHIMENTO|NÃO-LETIVAS'!A458,PARAMETROS!A:A,PARAMETROS!I:I)=0,"",_xlfn.XLOOKUP('PREENCHIMENTO|NÃO-LETIVAS'!A458,PARAMETROS!A:A,PARAMETROS!I:I))</f>
        <v/>
      </c>
      <c r="F458" s="3"/>
      <c r="G458" s="3"/>
      <c r="H458" s="3"/>
      <c r="I458" s="3"/>
      <c r="Y458" s="6">
        <f>_xlfn.XLOOKUP(G:G,PARAMETROS!Y:Y,PARAMETROS!AD:AD)</f>
        <v>0</v>
      </c>
    </row>
    <row r="459" spans="1:25">
      <c r="A459" s="3"/>
      <c r="B459" t="str">
        <f>IF(_xlfn.XLOOKUP(A459,PARAMETROS!A:A,PARAMETROS!B:B)=0,"",_xlfn.XLOOKUP(A459,PARAMETROS!A:A,PARAMETROS!B:B))</f>
        <v/>
      </c>
      <c r="C459" t="str">
        <f>IF(_xlfn.XLOOKUP(A459,PARAMETROS!A:A,PARAMETROS!C:C)=0,"",_xlfn.XLOOKUP(A459,PARAMETROS!A:A,PARAMETROS!C:C))</f>
        <v/>
      </c>
      <c r="D459" t="str">
        <f>IF(_xlfn.XLOOKUP(A459,PARAMETROS!A:A,PARAMETROS!E:E)=0,"",_xlfn.XLOOKUP(A459,PARAMETROS!A:A,PARAMETROS!E:E))</f>
        <v/>
      </c>
      <c r="E459" t="str">
        <f>IF(_xlfn.XLOOKUP('PREENCHIMENTO|NÃO-LETIVAS'!A459,PARAMETROS!A:A,PARAMETROS!I:I)=0,"",_xlfn.XLOOKUP('PREENCHIMENTO|NÃO-LETIVAS'!A459,PARAMETROS!A:A,PARAMETROS!I:I))</f>
        <v/>
      </c>
      <c r="F459" s="3"/>
      <c r="G459" s="3"/>
      <c r="H459" s="3"/>
      <c r="I459" s="3"/>
      <c r="Y459" s="6">
        <f>_xlfn.XLOOKUP(G:G,PARAMETROS!Y:Y,PARAMETROS!AD:AD)</f>
        <v>0</v>
      </c>
    </row>
    <row r="460" spans="1:25">
      <c r="A460" s="3"/>
      <c r="B460" t="str">
        <f>IF(_xlfn.XLOOKUP(A460,PARAMETROS!A:A,PARAMETROS!B:B)=0,"",_xlfn.XLOOKUP(A460,PARAMETROS!A:A,PARAMETROS!B:B))</f>
        <v/>
      </c>
      <c r="C460" t="str">
        <f>IF(_xlfn.XLOOKUP(A460,PARAMETROS!A:A,PARAMETROS!C:C)=0,"",_xlfn.XLOOKUP(A460,PARAMETROS!A:A,PARAMETROS!C:C))</f>
        <v/>
      </c>
      <c r="D460" t="str">
        <f>IF(_xlfn.XLOOKUP(A460,PARAMETROS!A:A,PARAMETROS!E:E)=0,"",_xlfn.XLOOKUP(A460,PARAMETROS!A:A,PARAMETROS!E:E))</f>
        <v/>
      </c>
      <c r="E460" t="str">
        <f>IF(_xlfn.XLOOKUP('PREENCHIMENTO|NÃO-LETIVAS'!A460,PARAMETROS!A:A,PARAMETROS!I:I)=0,"",_xlfn.XLOOKUP('PREENCHIMENTO|NÃO-LETIVAS'!A460,PARAMETROS!A:A,PARAMETROS!I:I))</f>
        <v/>
      </c>
      <c r="F460" s="3"/>
      <c r="G460" s="3"/>
      <c r="H460" s="3"/>
      <c r="I460" s="3"/>
      <c r="Y460" s="6">
        <f>_xlfn.XLOOKUP(G:G,PARAMETROS!Y:Y,PARAMETROS!AD:AD)</f>
        <v>0</v>
      </c>
    </row>
    <row r="461" spans="1:25">
      <c r="A461" s="3"/>
      <c r="B461" t="str">
        <f>IF(_xlfn.XLOOKUP(A461,PARAMETROS!A:A,PARAMETROS!B:B)=0,"",_xlfn.XLOOKUP(A461,PARAMETROS!A:A,PARAMETROS!B:B))</f>
        <v/>
      </c>
      <c r="C461" t="str">
        <f>IF(_xlfn.XLOOKUP(A461,PARAMETROS!A:A,PARAMETROS!C:C)=0,"",_xlfn.XLOOKUP(A461,PARAMETROS!A:A,PARAMETROS!C:C))</f>
        <v/>
      </c>
      <c r="D461" t="str">
        <f>IF(_xlfn.XLOOKUP(A461,PARAMETROS!A:A,PARAMETROS!E:E)=0,"",_xlfn.XLOOKUP(A461,PARAMETROS!A:A,PARAMETROS!E:E))</f>
        <v/>
      </c>
      <c r="E461" t="str">
        <f>IF(_xlfn.XLOOKUP('PREENCHIMENTO|NÃO-LETIVAS'!A461,PARAMETROS!A:A,PARAMETROS!I:I)=0,"",_xlfn.XLOOKUP('PREENCHIMENTO|NÃO-LETIVAS'!A461,PARAMETROS!A:A,PARAMETROS!I:I))</f>
        <v/>
      </c>
      <c r="F461" s="3"/>
      <c r="G461" s="3"/>
      <c r="H461" s="3"/>
      <c r="I461" s="3"/>
      <c r="Y461" s="6">
        <f>_xlfn.XLOOKUP(G:G,PARAMETROS!Y:Y,PARAMETROS!AD:AD)</f>
        <v>0</v>
      </c>
    </row>
    <row r="462" spans="1:25">
      <c r="A462" s="3"/>
      <c r="B462" t="str">
        <f>IF(_xlfn.XLOOKUP(A462,PARAMETROS!A:A,PARAMETROS!B:B)=0,"",_xlfn.XLOOKUP(A462,PARAMETROS!A:A,PARAMETROS!B:B))</f>
        <v/>
      </c>
      <c r="C462" t="str">
        <f>IF(_xlfn.XLOOKUP(A462,PARAMETROS!A:A,PARAMETROS!C:C)=0,"",_xlfn.XLOOKUP(A462,PARAMETROS!A:A,PARAMETROS!C:C))</f>
        <v/>
      </c>
      <c r="D462" t="str">
        <f>IF(_xlfn.XLOOKUP(A462,PARAMETROS!A:A,PARAMETROS!E:E)=0,"",_xlfn.XLOOKUP(A462,PARAMETROS!A:A,PARAMETROS!E:E))</f>
        <v/>
      </c>
      <c r="E462" t="str">
        <f>IF(_xlfn.XLOOKUP('PREENCHIMENTO|NÃO-LETIVAS'!A462,PARAMETROS!A:A,PARAMETROS!I:I)=0,"",_xlfn.XLOOKUP('PREENCHIMENTO|NÃO-LETIVAS'!A462,PARAMETROS!A:A,PARAMETROS!I:I))</f>
        <v/>
      </c>
      <c r="F462" s="3"/>
      <c r="G462" s="3"/>
      <c r="H462" s="3"/>
      <c r="I462" s="3"/>
      <c r="Y462" s="6">
        <f>_xlfn.XLOOKUP(G:G,PARAMETROS!Y:Y,PARAMETROS!AD:AD)</f>
        <v>0</v>
      </c>
    </row>
    <row r="463" spans="1:25">
      <c r="A463" s="3"/>
      <c r="B463" t="str">
        <f>IF(_xlfn.XLOOKUP(A463,PARAMETROS!A:A,PARAMETROS!B:B)=0,"",_xlfn.XLOOKUP(A463,PARAMETROS!A:A,PARAMETROS!B:B))</f>
        <v/>
      </c>
      <c r="C463" t="str">
        <f>IF(_xlfn.XLOOKUP(A463,PARAMETROS!A:A,PARAMETROS!C:C)=0,"",_xlfn.XLOOKUP(A463,PARAMETROS!A:A,PARAMETROS!C:C))</f>
        <v/>
      </c>
      <c r="D463" t="str">
        <f>IF(_xlfn.XLOOKUP(A463,PARAMETROS!A:A,PARAMETROS!E:E)=0,"",_xlfn.XLOOKUP(A463,PARAMETROS!A:A,PARAMETROS!E:E))</f>
        <v/>
      </c>
      <c r="E463" t="str">
        <f>IF(_xlfn.XLOOKUP('PREENCHIMENTO|NÃO-LETIVAS'!A463,PARAMETROS!A:A,PARAMETROS!I:I)=0,"",_xlfn.XLOOKUP('PREENCHIMENTO|NÃO-LETIVAS'!A463,PARAMETROS!A:A,PARAMETROS!I:I))</f>
        <v/>
      </c>
      <c r="F463" s="3"/>
      <c r="G463" s="3"/>
      <c r="H463" s="3"/>
      <c r="I463" s="3"/>
      <c r="Y463" s="6">
        <f>_xlfn.XLOOKUP(G:G,PARAMETROS!Y:Y,PARAMETROS!AD:AD)</f>
        <v>0</v>
      </c>
    </row>
    <row r="464" spans="1:25">
      <c r="A464" s="3"/>
      <c r="B464" t="str">
        <f>IF(_xlfn.XLOOKUP(A464,PARAMETROS!A:A,PARAMETROS!B:B)=0,"",_xlfn.XLOOKUP(A464,PARAMETROS!A:A,PARAMETROS!B:B))</f>
        <v/>
      </c>
      <c r="C464" t="str">
        <f>IF(_xlfn.XLOOKUP(A464,PARAMETROS!A:A,PARAMETROS!C:C)=0,"",_xlfn.XLOOKUP(A464,PARAMETROS!A:A,PARAMETROS!C:C))</f>
        <v/>
      </c>
      <c r="D464" t="str">
        <f>IF(_xlfn.XLOOKUP(A464,PARAMETROS!A:A,PARAMETROS!E:E)=0,"",_xlfn.XLOOKUP(A464,PARAMETROS!A:A,PARAMETROS!E:E))</f>
        <v/>
      </c>
      <c r="E464" t="str">
        <f>IF(_xlfn.XLOOKUP('PREENCHIMENTO|NÃO-LETIVAS'!A464,PARAMETROS!A:A,PARAMETROS!I:I)=0,"",_xlfn.XLOOKUP('PREENCHIMENTO|NÃO-LETIVAS'!A464,PARAMETROS!A:A,PARAMETROS!I:I))</f>
        <v/>
      </c>
      <c r="F464" s="3"/>
      <c r="G464" s="3"/>
      <c r="H464" s="3"/>
      <c r="I464" s="3"/>
      <c r="Y464" s="6">
        <f>_xlfn.XLOOKUP(G:G,PARAMETROS!Y:Y,PARAMETROS!AD:AD)</f>
        <v>0</v>
      </c>
    </row>
    <row r="465" spans="1:25">
      <c r="A465" s="3"/>
      <c r="B465" t="str">
        <f>IF(_xlfn.XLOOKUP(A465,PARAMETROS!A:A,PARAMETROS!B:B)=0,"",_xlfn.XLOOKUP(A465,PARAMETROS!A:A,PARAMETROS!B:B))</f>
        <v/>
      </c>
      <c r="C465" t="str">
        <f>IF(_xlfn.XLOOKUP(A465,PARAMETROS!A:A,PARAMETROS!C:C)=0,"",_xlfn.XLOOKUP(A465,PARAMETROS!A:A,PARAMETROS!C:C))</f>
        <v/>
      </c>
      <c r="D465" t="str">
        <f>IF(_xlfn.XLOOKUP(A465,PARAMETROS!A:A,PARAMETROS!E:E)=0,"",_xlfn.XLOOKUP(A465,PARAMETROS!A:A,PARAMETROS!E:E))</f>
        <v/>
      </c>
      <c r="E465" t="str">
        <f>IF(_xlfn.XLOOKUP('PREENCHIMENTO|NÃO-LETIVAS'!A465,PARAMETROS!A:A,PARAMETROS!I:I)=0,"",_xlfn.XLOOKUP('PREENCHIMENTO|NÃO-LETIVAS'!A465,PARAMETROS!A:A,PARAMETROS!I:I))</f>
        <v/>
      </c>
      <c r="F465" s="3"/>
      <c r="G465" s="3"/>
      <c r="H465" s="3"/>
      <c r="I465" s="3"/>
      <c r="Y465" s="6">
        <f>_xlfn.XLOOKUP(G:G,PARAMETROS!Y:Y,PARAMETROS!AD:AD)</f>
        <v>0</v>
      </c>
    </row>
    <row r="466" spans="1:25">
      <c r="A466" s="3"/>
      <c r="B466" t="str">
        <f>IF(_xlfn.XLOOKUP(A466,PARAMETROS!A:A,PARAMETROS!B:B)=0,"",_xlfn.XLOOKUP(A466,PARAMETROS!A:A,PARAMETROS!B:B))</f>
        <v/>
      </c>
      <c r="C466" t="str">
        <f>IF(_xlfn.XLOOKUP(A466,PARAMETROS!A:A,PARAMETROS!C:C)=0,"",_xlfn.XLOOKUP(A466,PARAMETROS!A:A,PARAMETROS!C:C))</f>
        <v/>
      </c>
      <c r="D466" t="str">
        <f>IF(_xlfn.XLOOKUP(A466,PARAMETROS!A:A,PARAMETROS!E:E)=0,"",_xlfn.XLOOKUP(A466,PARAMETROS!A:A,PARAMETROS!E:E))</f>
        <v/>
      </c>
      <c r="E466" t="str">
        <f>IF(_xlfn.XLOOKUP('PREENCHIMENTO|NÃO-LETIVAS'!A466,PARAMETROS!A:A,PARAMETROS!I:I)=0,"",_xlfn.XLOOKUP('PREENCHIMENTO|NÃO-LETIVAS'!A466,PARAMETROS!A:A,PARAMETROS!I:I))</f>
        <v/>
      </c>
      <c r="F466" s="3"/>
      <c r="G466" s="3"/>
      <c r="H466" s="3"/>
      <c r="I466" s="3"/>
      <c r="Y466" s="6">
        <f>_xlfn.XLOOKUP(G:G,PARAMETROS!Y:Y,PARAMETROS!AD:AD)</f>
        <v>0</v>
      </c>
    </row>
    <row r="467" spans="1:25">
      <c r="A467" s="3"/>
      <c r="B467" t="str">
        <f>IF(_xlfn.XLOOKUP(A467,PARAMETROS!A:A,PARAMETROS!B:B)=0,"",_xlfn.XLOOKUP(A467,PARAMETROS!A:A,PARAMETROS!B:B))</f>
        <v/>
      </c>
      <c r="C467" t="str">
        <f>IF(_xlfn.XLOOKUP(A467,PARAMETROS!A:A,PARAMETROS!C:C)=0,"",_xlfn.XLOOKUP(A467,PARAMETROS!A:A,PARAMETROS!C:C))</f>
        <v/>
      </c>
      <c r="D467" t="str">
        <f>IF(_xlfn.XLOOKUP(A467,PARAMETROS!A:A,PARAMETROS!E:E)=0,"",_xlfn.XLOOKUP(A467,PARAMETROS!A:A,PARAMETROS!E:E))</f>
        <v/>
      </c>
      <c r="E467" t="str">
        <f>IF(_xlfn.XLOOKUP('PREENCHIMENTO|NÃO-LETIVAS'!A467,PARAMETROS!A:A,PARAMETROS!I:I)=0,"",_xlfn.XLOOKUP('PREENCHIMENTO|NÃO-LETIVAS'!A467,PARAMETROS!A:A,PARAMETROS!I:I))</f>
        <v/>
      </c>
      <c r="F467" s="3"/>
      <c r="G467" s="3"/>
      <c r="H467" s="3"/>
      <c r="I467" s="3"/>
      <c r="Y467" s="6">
        <f>_xlfn.XLOOKUP(G:G,PARAMETROS!Y:Y,PARAMETROS!AD:AD)</f>
        <v>0</v>
      </c>
    </row>
    <row r="468" spans="1:25">
      <c r="A468" s="3"/>
      <c r="B468" t="str">
        <f>IF(_xlfn.XLOOKUP(A468,PARAMETROS!A:A,PARAMETROS!B:B)=0,"",_xlfn.XLOOKUP(A468,PARAMETROS!A:A,PARAMETROS!B:B))</f>
        <v/>
      </c>
      <c r="C468" t="str">
        <f>IF(_xlfn.XLOOKUP(A468,PARAMETROS!A:A,PARAMETROS!C:C)=0,"",_xlfn.XLOOKUP(A468,PARAMETROS!A:A,PARAMETROS!C:C))</f>
        <v/>
      </c>
      <c r="D468" t="str">
        <f>IF(_xlfn.XLOOKUP(A468,PARAMETROS!A:A,PARAMETROS!E:E)=0,"",_xlfn.XLOOKUP(A468,PARAMETROS!A:A,PARAMETROS!E:E))</f>
        <v/>
      </c>
      <c r="E468" t="str">
        <f>IF(_xlfn.XLOOKUP('PREENCHIMENTO|NÃO-LETIVAS'!A468,PARAMETROS!A:A,PARAMETROS!I:I)=0,"",_xlfn.XLOOKUP('PREENCHIMENTO|NÃO-LETIVAS'!A468,PARAMETROS!A:A,PARAMETROS!I:I))</f>
        <v/>
      </c>
      <c r="F468" s="3"/>
      <c r="G468" s="3"/>
      <c r="H468" s="3"/>
      <c r="I468" s="3"/>
      <c r="Y468" s="6">
        <f>_xlfn.XLOOKUP(G:G,PARAMETROS!Y:Y,PARAMETROS!AD:AD)</f>
        <v>0</v>
      </c>
    </row>
    <row r="469" spans="1:25">
      <c r="A469" s="3"/>
      <c r="B469" t="str">
        <f>IF(_xlfn.XLOOKUP(A469,PARAMETROS!A:A,PARAMETROS!B:B)=0,"",_xlfn.XLOOKUP(A469,PARAMETROS!A:A,PARAMETROS!B:B))</f>
        <v/>
      </c>
      <c r="C469" t="str">
        <f>IF(_xlfn.XLOOKUP(A469,PARAMETROS!A:A,PARAMETROS!C:C)=0,"",_xlfn.XLOOKUP(A469,PARAMETROS!A:A,PARAMETROS!C:C))</f>
        <v/>
      </c>
      <c r="D469" t="str">
        <f>IF(_xlfn.XLOOKUP(A469,PARAMETROS!A:A,PARAMETROS!E:E)=0,"",_xlfn.XLOOKUP(A469,PARAMETROS!A:A,PARAMETROS!E:E))</f>
        <v/>
      </c>
      <c r="E469" t="str">
        <f>IF(_xlfn.XLOOKUP('PREENCHIMENTO|NÃO-LETIVAS'!A469,PARAMETROS!A:A,PARAMETROS!I:I)=0,"",_xlfn.XLOOKUP('PREENCHIMENTO|NÃO-LETIVAS'!A469,PARAMETROS!A:A,PARAMETROS!I:I))</f>
        <v/>
      </c>
      <c r="F469" s="3"/>
      <c r="G469" s="3"/>
      <c r="H469" s="3"/>
      <c r="I469" s="3"/>
      <c r="Y469" s="6">
        <f>_xlfn.XLOOKUP(G:G,PARAMETROS!Y:Y,PARAMETROS!AD:AD)</f>
        <v>0</v>
      </c>
    </row>
    <row r="470" spans="1:25">
      <c r="A470" s="3"/>
      <c r="B470" t="str">
        <f>IF(_xlfn.XLOOKUP(A470,PARAMETROS!A:A,PARAMETROS!B:B)=0,"",_xlfn.XLOOKUP(A470,PARAMETROS!A:A,PARAMETROS!B:B))</f>
        <v/>
      </c>
      <c r="C470" t="str">
        <f>IF(_xlfn.XLOOKUP(A470,PARAMETROS!A:A,PARAMETROS!C:C)=0,"",_xlfn.XLOOKUP(A470,PARAMETROS!A:A,PARAMETROS!C:C))</f>
        <v/>
      </c>
      <c r="D470" t="str">
        <f>IF(_xlfn.XLOOKUP(A470,PARAMETROS!A:A,PARAMETROS!E:E)=0,"",_xlfn.XLOOKUP(A470,PARAMETROS!A:A,PARAMETROS!E:E))</f>
        <v/>
      </c>
      <c r="E470" t="str">
        <f>IF(_xlfn.XLOOKUP('PREENCHIMENTO|NÃO-LETIVAS'!A470,PARAMETROS!A:A,PARAMETROS!I:I)=0,"",_xlfn.XLOOKUP('PREENCHIMENTO|NÃO-LETIVAS'!A470,PARAMETROS!A:A,PARAMETROS!I:I))</f>
        <v/>
      </c>
      <c r="F470" s="3"/>
      <c r="G470" s="3"/>
      <c r="H470" s="3"/>
      <c r="I470" s="3"/>
      <c r="Y470" s="6">
        <f>_xlfn.XLOOKUP(G:G,PARAMETROS!Y:Y,PARAMETROS!AD:AD)</f>
        <v>0</v>
      </c>
    </row>
    <row r="471" spans="1:25">
      <c r="A471" s="3"/>
      <c r="B471" t="str">
        <f>IF(_xlfn.XLOOKUP(A471,PARAMETROS!A:A,PARAMETROS!B:B)=0,"",_xlfn.XLOOKUP(A471,PARAMETROS!A:A,PARAMETROS!B:B))</f>
        <v/>
      </c>
      <c r="C471" t="str">
        <f>IF(_xlfn.XLOOKUP(A471,PARAMETROS!A:A,PARAMETROS!C:C)=0,"",_xlfn.XLOOKUP(A471,PARAMETROS!A:A,PARAMETROS!C:C))</f>
        <v/>
      </c>
      <c r="D471" t="str">
        <f>IF(_xlfn.XLOOKUP(A471,PARAMETROS!A:A,PARAMETROS!E:E)=0,"",_xlfn.XLOOKUP(A471,PARAMETROS!A:A,PARAMETROS!E:E))</f>
        <v/>
      </c>
      <c r="E471" t="str">
        <f>IF(_xlfn.XLOOKUP('PREENCHIMENTO|NÃO-LETIVAS'!A471,PARAMETROS!A:A,PARAMETROS!I:I)=0,"",_xlfn.XLOOKUP('PREENCHIMENTO|NÃO-LETIVAS'!A471,PARAMETROS!A:A,PARAMETROS!I:I))</f>
        <v/>
      </c>
      <c r="F471" s="3"/>
      <c r="G471" s="3"/>
      <c r="H471" s="3"/>
      <c r="I471" s="3"/>
      <c r="Y471" s="6">
        <f>_xlfn.XLOOKUP(G:G,PARAMETROS!Y:Y,PARAMETROS!AD:AD)</f>
        <v>0</v>
      </c>
    </row>
    <row r="472" spans="1:25">
      <c r="A472" s="3"/>
      <c r="B472" t="str">
        <f>IF(_xlfn.XLOOKUP(A472,PARAMETROS!A:A,PARAMETROS!B:B)=0,"",_xlfn.XLOOKUP(A472,PARAMETROS!A:A,PARAMETROS!B:B))</f>
        <v/>
      </c>
      <c r="C472" t="str">
        <f>IF(_xlfn.XLOOKUP(A472,PARAMETROS!A:A,PARAMETROS!C:C)=0,"",_xlfn.XLOOKUP(A472,PARAMETROS!A:A,PARAMETROS!C:C))</f>
        <v/>
      </c>
      <c r="D472" t="str">
        <f>IF(_xlfn.XLOOKUP(A472,PARAMETROS!A:A,PARAMETROS!E:E)=0,"",_xlfn.XLOOKUP(A472,PARAMETROS!A:A,PARAMETROS!E:E))</f>
        <v/>
      </c>
      <c r="E472" t="str">
        <f>IF(_xlfn.XLOOKUP('PREENCHIMENTO|NÃO-LETIVAS'!A472,PARAMETROS!A:A,PARAMETROS!I:I)=0,"",_xlfn.XLOOKUP('PREENCHIMENTO|NÃO-LETIVAS'!A472,PARAMETROS!A:A,PARAMETROS!I:I))</f>
        <v/>
      </c>
      <c r="F472" s="3"/>
      <c r="G472" s="3"/>
      <c r="H472" s="3"/>
      <c r="I472" s="3"/>
      <c r="Y472" s="6">
        <f>_xlfn.XLOOKUP(G:G,PARAMETROS!Y:Y,PARAMETROS!AD:AD)</f>
        <v>0</v>
      </c>
    </row>
    <row r="473" spans="1:25">
      <c r="A473" s="3"/>
      <c r="B473" t="str">
        <f>IF(_xlfn.XLOOKUP(A473,PARAMETROS!A:A,PARAMETROS!B:B)=0,"",_xlfn.XLOOKUP(A473,PARAMETROS!A:A,PARAMETROS!B:B))</f>
        <v/>
      </c>
      <c r="C473" t="str">
        <f>IF(_xlfn.XLOOKUP(A473,PARAMETROS!A:A,PARAMETROS!C:C)=0,"",_xlfn.XLOOKUP(A473,PARAMETROS!A:A,PARAMETROS!C:C))</f>
        <v/>
      </c>
      <c r="D473" t="str">
        <f>IF(_xlfn.XLOOKUP(A473,PARAMETROS!A:A,PARAMETROS!E:E)=0,"",_xlfn.XLOOKUP(A473,PARAMETROS!A:A,PARAMETROS!E:E))</f>
        <v/>
      </c>
      <c r="E473" t="str">
        <f>IF(_xlfn.XLOOKUP('PREENCHIMENTO|NÃO-LETIVAS'!A473,PARAMETROS!A:A,PARAMETROS!I:I)=0,"",_xlfn.XLOOKUP('PREENCHIMENTO|NÃO-LETIVAS'!A473,PARAMETROS!A:A,PARAMETROS!I:I))</f>
        <v/>
      </c>
      <c r="F473" s="3"/>
      <c r="G473" s="3"/>
      <c r="H473" s="3"/>
      <c r="I473" s="3"/>
      <c r="Y473" s="6">
        <f>_xlfn.XLOOKUP(G:G,PARAMETROS!Y:Y,PARAMETROS!AD:AD)</f>
        <v>0</v>
      </c>
    </row>
    <row r="474" spans="1:25">
      <c r="A474" s="3"/>
      <c r="B474" t="str">
        <f>IF(_xlfn.XLOOKUP(A474,PARAMETROS!A:A,PARAMETROS!B:B)=0,"",_xlfn.XLOOKUP(A474,PARAMETROS!A:A,PARAMETROS!B:B))</f>
        <v/>
      </c>
      <c r="C474" t="str">
        <f>IF(_xlfn.XLOOKUP(A474,PARAMETROS!A:A,PARAMETROS!C:C)=0,"",_xlfn.XLOOKUP(A474,PARAMETROS!A:A,PARAMETROS!C:C))</f>
        <v/>
      </c>
      <c r="D474" t="str">
        <f>IF(_xlfn.XLOOKUP(A474,PARAMETROS!A:A,PARAMETROS!E:E)=0,"",_xlfn.XLOOKUP(A474,PARAMETROS!A:A,PARAMETROS!E:E))</f>
        <v/>
      </c>
      <c r="E474" t="str">
        <f>IF(_xlfn.XLOOKUP('PREENCHIMENTO|NÃO-LETIVAS'!A474,PARAMETROS!A:A,PARAMETROS!I:I)=0,"",_xlfn.XLOOKUP('PREENCHIMENTO|NÃO-LETIVAS'!A474,PARAMETROS!A:A,PARAMETROS!I:I))</f>
        <v/>
      </c>
      <c r="F474" s="3"/>
      <c r="G474" s="3"/>
      <c r="H474" s="3"/>
      <c r="I474" s="3"/>
      <c r="Y474" s="6">
        <f>_xlfn.XLOOKUP(G:G,PARAMETROS!Y:Y,PARAMETROS!AD:AD)</f>
        <v>0</v>
      </c>
    </row>
    <row r="475" spans="1:25">
      <c r="A475" s="3"/>
      <c r="B475" t="str">
        <f>IF(_xlfn.XLOOKUP(A475,PARAMETROS!A:A,PARAMETROS!B:B)=0,"",_xlfn.XLOOKUP(A475,PARAMETROS!A:A,PARAMETROS!B:B))</f>
        <v/>
      </c>
      <c r="C475" t="str">
        <f>IF(_xlfn.XLOOKUP(A475,PARAMETROS!A:A,PARAMETROS!C:C)=0,"",_xlfn.XLOOKUP(A475,PARAMETROS!A:A,PARAMETROS!C:C))</f>
        <v/>
      </c>
      <c r="D475" t="str">
        <f>IF(_xlfn.XLOOKUP(A475,PARAMETROS!A:A,PARAMETROS!E:E)=0,"",_xlfn.XLOOKUP(A475,PARAMETROS!A:A,PARAMETROS!E:E))</f>
        <v/>
      </c>
      <c r="E475" t="str">
        <f>IF(_xlfn.XLOOKUP('PREENCHIMENTO|NÃO-LETIVAS'!A475,PARAMETROS!A:A,PARAMETROS!I:I)=0,"",_xlfn.XLOOKUP('PREENCHIMENTO|NÃO-LETIVAS'!A475,PARAMETROS!A:A,PARAMETROS!I:I))</f>
        <v/>
      </c>
      <c r="F475" s="3"/>
      <c r="G475" s="3"/>
      <c r="H475" s="3"/>
      <c r="I475" s="3"/>
      <c r="Y475" s="6">
        <f>_xlfn.XLOOKUP(G:G,PARAMETROS!Y:Y,PARAMETROS!AD:AD)</f>
        <v>0</v>
      </c>
    </row>
    <row r="476" spans="1:25">
      <c r="A476" s="3"/>
      <c r="B476" t="str">
        <f>IF(_xlfn.XLOOKUP(A476,PARAMETROS!A:A,PARAMETROS!B:B)=0,"",_xlfn.XLOOKUP(A476,PARAMETROS!A:A,PARAMETROS!B:B))</f>
        <v/>
      </c>
      <c r="C476" t="str">
        <f>IF(_xlfn.XLOOKUP(A476,PARAMETROS!A:A,PARAMETROS!C:C)=0,"",_xlfn.XLOOKUP(A476,PARAMETROS!A:A,PARAMETROS!C:C))</f>
        <v/>
      </c>
      <c r="D476" t="str">
        <f>IF(_xlfn.XLOOKUP(A476,PARAMETROS!A:A,PARAMETROS!E:E)=0,"",_xlfn.XLOOKUP(A476,PARAMETROS!A:A,PARAMETROS!E:E))</f>
        <v/>
      </c>
      <c r="E476" t="str">
        <f>IF(_xlfn.XLOOKUP('PREENCHIMENTO|NÃO-LETIVAS'!A476,PARAMETROS!A:A,PARAMETROS!I:I)=0,"",_xlfn.XLOOKUP('PREENCHIMENTO|NÃO-LETIVAS'!A476,PARAMETROS!A:A,PARAMETROS!I:I))</f>
        <v/>
      </c>
      <c r="F476" s="3"/>
      <c r="G476" s="3"/>
      <c r="H476" s="3"/>
      <c r="I476" s="3"/>
      <c r="Y476" s="6">
        <f>_xlfn.XLOOKUP(G:G,PARAMETROS!Y:Y,PARAMETROS!AD:AD)</f>
        <v>0</v>
      </c>
    </row>
    <row r="477" spans="1:25">
      <c r="A477" s="3"/>
      <c r="B477" t="str">
        <f>IF(_xlfn.XLOOKUP(A477,PARAMETROS!A:A,PARAMETROS!B:B)=0,"",_xlfn.XLOOKUP(A477,PARAMETROS!A:A,PARAMETROS!B:B))</f>
        <v/>
      </c>
      <c r="C477" t="str">
        <f>IF(_xlfn.XLOOKUP(A477,PARAMETROS!A:A,PARAMETROS!C:C)=0,"",_xlfn.XLOOKUP(A477,PARAMETROS!A:A,PARAMETROS!C:C))</f>
        <v/>
      </c>
      <c r="D477" t="str">
        <f>IF(_xlfn.XLOOKUP(A477,PARAMETROS!A:A,PARAMETROS!E:E)=0,"",_xlfn.XLOOKUP(A477,PARAMETROS!A:A,PARAMETROS!E:E))</f>
        <v/>
      </c>
      <c r="E477" t="str">
        <f>IF(_xlfn.XLOOKUP('PREENCHIMENTO|NÃO-LETIVAS'!A477,PARAMETROS!A:A,PARAMETROS!I:I)=0,"",_xlfn.XLOOKUP('PREENCHIMENTO|NÃO-LETIVAS'!A477,PARAMETROS!A:A,PARAMETROS!I:I))</f>
        <v/>
      </c>
      <c r="F477" s="3"/>
      <c r="G477" s="3"/>
      <c r="H477" s="3"/>
      <c r="I477" s="3"/>
      <c r="Y477" s="6">
        <f>_xlfn.XLOOKUP(G:G,PARAMETROS!Y:Y,PARAMETROS!AD:AD)</f>
        <v>0</v>
      </c>
    </row>
    <row r="478" spans="1:25">
      <c r="A478" s="3"/>
      <c r="B478" t="str">
        <f>IF(_xlfn.XLOOKUP(A478,PARAMETROS!A:A,PARAMETROS!B:B)=0,"",_xlfn.XLOOKUP(A478,PARAMETROS!A:A,PARAMETROS!B:B))</f>
        <v/>
      </c>
      <c r="C478" t="str">
        <f>IF(_xlfn.XLOOKUP(A478,PARAMETROS!A:A,PARAMETROS!C:C)=0,"",_xlfn.XLOOKUP(A478,PARAMETROS!A:A,PARAMETROS!C:C))</f>
        <v/>
      </c>
      <c r="D478" t="str">
        <f>IF(_xlfn.XLOOKUP(A478,PARAMETROS!A:A,PARAMETROS!E:E)=0,"",_xlfn.XLOOKUP(A478,PARAMETROS!A:A,PARAMETROS!E:E))</f>
        <v/>
      </c>
      <c r="E478" t="str">
        <f>IF(_xlfn.XLOOKUP('PREENCHIMENTO|NÃO-LETIVAS'!A478,PARAMETROS!A:A,PARAMETROS!I:I)=0,"",_xlfn.XLOOKUP('PREENCHIMENTO|NÃO-LETIVAS'!A478,PARAMETROS!A:A,PARAMETROS!I:I))</f>
        <v/>
      </c>
      <c r="F478" s="3"/>
      <c r="G478" s="3"/>
      <c r="H478" s="3"/>
      <c r="I478" s="3"/>
      <c r="Y478" s="6">
        <f>_xlfn.XLOOKUP(G:G,PARAMETROS!Y:Y,PARAMETROS!AD:AD)</f>
        <v>0</v>
      </c>
    </row>
    <row r="479" spans="1:25">
      <c r="A479" s="3"/>
      <c r="B479" t="str">
        <f>IF(_xlfn.XLOOKUP(A479,PARAMETROS!A:A,PARAMETROS!B:B)=0,"",_xlfn.XLOOKUP(A479,PARAMETROS!A:A,PARAMETROS!B:B))</f>
        <v/>
      </c>
      <c r="C479" t="str">
        <f>IF(_xlfn.XLOOKUP(A479,PARAMETROS!A:A,PARAMETROS!C:C)=0,"",_xlfn.XLOOKUP(A479,PARAMETROS!A:A,PARAMETROS!C:C))</f>
        <v/>
      </c>
      <c r="D479" t="str">
        <f>IF(_xlfn.XLOOKUP(A479,PARAMETROS!A:A,PARAMETROS!E:E)=0,"",_xlfn.XLOOKUP(A479,PARAMETROS!A:A,PARAMETROS!E:E))</f>
        <v/>
      </c>
      <c r="E479" t="str">
        <f>IF(_xlfn.XLOOKUP('PREENCHIMENTO|NÃO-LETIVAS'!A479,PARAMETROS!A:A,PARAMETROS!I:I)=0,"",_xlfn.XLOOKUP('PREENCHIMENTO|NÃO-LETIVAS'!A479,PARAMETROS!A:A,PARAMETROS!I:I))</f>
        <v/>
      </c>
      <c r="F479" s="3"/>
      <c r="G479" s="3"/>
      <c r="H479" s="3"/>
      <c r="I479" s="3"/>
      <c r="Y479" s="6">
        <f>_xlfn.XLOOKUP(G:G,PARAMETROS!Y:Y,PARAMETROS!AD:AD)</f>
        <v>0</v>
      </c>
    </row>
    <row r="480" spans="1:25">
      <c r="A480" s="3"/>
      <c r="B480" t="str">
        <f>IF(_xlfn.XLOOKUP(A480,PARAMETROS!A:A,PARAMETROS!B:B)=0,"",_xlfn.XLOOKUP(A480,PARAMETROS!A:A,PARAMETROS!B:B))</f>
        <v/>
      </c>
      <c r="C480" t="str">
        <f>IF(_xlfn.XLOOKUP(A480,PARAMETROS!A:A,PARAMETROS!C:C)=0,"",_xlfn.XLOOKUP(A480,PARAMETROS!A:A,PARAMETROS!C:C))</f>
        <v/>
      </c>
      <c r="D480" t="str">
        <f>IF(_xlfn.XLOOKUP(A480,PARAMETROS!A:A,PARAMETROS!E:E)=0,"",_xlfn.XLOOKUP(A480,PARAMETROS!A:A,PARAMETROS!E:E))</f>
        <v/>
      </c>
      <c r="E480" t="str">
        <f>IF(_xlfn.XLOOKUP('PREENCHIMENTO|NÃO-LETIVAS'!A480,PARAMETROS!A:A,PARAMETROS!I:I)=0,"",_xlfn.XLOOKUP('PREENCHIMENTO|NÃO-LETIVAS'!A480,PARAMETROS!A:A,PARAMETROS!I:I))</f>
        <v/>
      </c>
      <c r="F480" s="3"/>
      <c r="G480" s="3"/>
      <c r="H480" s="3"/>
      <c r="I480" s="3"/>
      <c r="Y480" s="6">
        <f>_xlfn.XLOOKUP(G:G,PARAMETROS!Y:Y,PARAMETROS!AD:AD)</f>
        <v>0</v>
      </c>
    </row>
    <row r="481" spans="1:25">
      <c r="A481" s="3"/>
      <c r="B481" t="str">
        <f>IF(_xlfn.XLOOKUP(A481,PARAMETROS!A:A,PARAMETROS!B:B)=0,"",_xlfn.XLOOKUP(A481,PARAMETROS!A:A,PARAMETROS!B:B))</f>
        <v/>
      </c>
      <c r="C481" t="str">
        <f>IF(_xlfn.XLOOKUP(A481,PARAMETROS!A:A,PARAMETROS!C:C)=0,"",_xlfn.XLOOKUP(A481,PARAMETROS!A:A,PARAMETROS!C:C))</f>
        <v/>
      </c>
      <c r="D481" t="str">
        <f>IF(_xlfn.XLOOKUP(A481,PARAMETROS!A:A,PARAMETROS!E:E)=0,"",_xlfn.XLOOKUP(A481,PARAMETROS!A:A,PARAMETROS!E:E))</f>
        <v/>
      </c>
      <c r="E481" t="str">
        <f>IF(_xlfn.XLOOKUP('PREENCHIMENTO|NÃO-LETIVAS'!A481,PARAMETROS!A:A,PARAMETROS!I:I)=0,"",_xlfn.XLOOKUP('PREENCHIMENTO|NÃO-LETIVAS'!A481,PARAMETROS!A:A,PARAMETROS!I:I))</f>
        <v/>
      </c>
      <c r="F481" s="3"/>
      <c r="G481" s="3"/>
      <c r="H481" s="3"/>
      <c r="I481" s="3"/>
      <c r="Y481" s="6">
        <f>_xlfn.XLOOKUP(G:G,PARAMETROS!Y:Y,PARAMETROS!AD:AD)</f>
        <v>0</v>
      </c>
    </row>
    <row r="482" spans="1:25">
      <c r="A482" s="3"/>
      <c r="B482" t="str">
        <f>IF(_xlfn.XLOOKUP(A482,PARAMETROS!A:A,PARAMETROS!B:B)=0,"",_xlfn.XLOOKUP(A482,PARAMETROS!A:A,PARAMETROS!B:B))</f>
        <v/>
      </c>
      <c r="C482" t="str">
        <f>IF(_xlfn.XLOOKUP(A482,PARAMETROS!A:A,PARAMETROS!C:C)=0,"",_xlfn.XLOOKUP(A482,PARAMETROS!A:A,PARAMETROS!C:C))</f>
        <v/>
      </c>
      <c r="D482" t="str">
        <f>IF(_xlfn.XLOOKUP(A482,PARAMETROS!A:A,PARAMETROS!E:E)=0,"",_xlfn.XLOOKUP(A482,PARAMETROS!A:A,PARAMETROS!E:E))</f>
        <v/>
      </c>
      <c r="E482" t="str">
        <f>IF(_xlfn.XLOOKUP('PREENCHIMENTO|NÃO-LETIVAS'!A482,PARAMETROS!A:A,PARAMETROS!I:I)=0,"",_xlfn.XLOOKUP('PREENCHIMENTO|NÃO-LETIVAS'!A482,PARAMETROS!A:A,PARAMETROS!I:I))</f>
        <v/>
      </c>
      <c r="F482" s="3"/>
      <c r="G482" s="3"/>
      <c r="H482" s="3"/>
      <c r="I482" s="3"/>
      <c r="Y482" s="6">
        <f>_xlfn.XLOOKUP(G:G,PARAMETROS!Y:Y,PARAMETROS!AD:AD)</f>
        <v>0</v>
      </c>
    </row>
    <row r="483" spans="1:25">
      <c r="A483" s="3"/>
      <c r="B483" t="str">
        <f>IF(_xlfn.XLOOKUP(A483,PARAMETROS!A:A,PARAMETROS!B:B)=0,"",_xlfn.XLOOKUP(A483,PARAMETROS!A:A,PARAMETROS!B:B))</f>
        <v/>
      </c>
      <c r="C483" t="str">
        <f>IF(_xlfn.XLOOKUP(A483,PARAMETROS!A:A,PARAMETROS!C:C)=0,"",_xlfn.XLOOKUP(A483,PARAMETROS!A:A,PARAMETROS!C:C))</f>
        <v/>
      </c>
      <c r="D483" t="str">
        <f>IF(_xlfn.XLOOKUP(A483,PARAMETROS!A:A,PARAMETROS!E:E)=0,"",_xlfn.XLOOKUP(A483,PARAMETROS!A:A,PARAMETROS!E:E))</f>
        <v/>
      </c>
      <c r="E483" t="str">
        <f>IF(_xlfn.XLOOKUP('PREENCHIMENTO|NÃO-LETIVAS'!A483,PARAMETROS!A:A,PARAMETROS!I:I)=0,"",_xlfn.XLOOKUP('PREENCHIMENTO|NÃO-LETIVAS'!A483,PARAMETROS!A:A,PARAMETROS!I:I))</f>
        <v/>
      </c>
      <c r="F483" s="3"/>
      <c r="G483" s="3"/>
      <c r="H483" s="3"/>
      <c r="I483" s="3"/>
      <c r="Y483" s="6">
        <f>_xlfn.XLOOKUP(G:G,PARAMETROS!Y:Y,PARAMETROS!AD:AD)</f>
        <v>0</v>
      </c>
    </row>
    <row r="484" spans="1:25">
      <c r="A484" s="3"/>
      <c r="B484" t="str">
        <f>IF(_xlfn.XLOOKUP(A484,PARAMETROS!A:A,PARAMETROS!B:B)=0,"",_xlfn.XLOOKUP(A484,PARAMETROS!A:A,PARAMETROS!B:B))</f>
        <v/>
      </c>
      <c r="C484" t="str">
        <f>IF(_xlfn.XLOOKUP(A484,PARAMETROS!A:A,PARAMETROS!C:C)=0,"",_xlfn.XLOOKUP(A484,PARAMETROS!A:A,PARAMETROS!C:C))</f>
        <v/>
      </c>
      <c r="D484" t="str">
        <f>IF(_xlfn.XLOOKUP(A484,PARAMETROS!A:A,PARAMETROS!E:E)=0,"",_xlfn.XLOOKUP(A484,PARAMETROS!A:A,PARAMETROS!E:E))</f>
        <v/>
      </c>
      <c r="E484" t="str">
        <f>IF(_xlfn.XLOOKUP('PREENCHIMENTO|NÃO-LETIVAS'!A484,PARAMETROS!A:A,PARAMETROS!I:I)=0,"",_xlfn.XLOOKUP('PREENCHIMENTO|NÃO-LETIVAS'!A484,PARAMETROS!A:A,PARAMETROS!I:I))</f>
        <v/>
      </c>
      <c r="F484" s="3"/>
      <c r="G484" s="3"/>
      <c r="H484" s="3"/>
      <c r="I484" s="3"/>
      <c r="Y484" s="6">
        <f>_xlfn.XLOOKUP(G:G,PARAMETROS!Y:Y,PARAMETROS!AD:AD)</f>
        <v>0</v>
      </c>
    </row>
    <row r="485" spans="1:25">
      <c r="A485" s="3"/>
      <c r="B485" t="str">
        <f>IF(_xlfn.XLOOKUP(A485,PARAMETROS!A:A,PARAMETROS!B:B)=0,"",_xlfn.XLOOKUP(A485,PARAMETROS!A:A,PARAMETROS!B:B))</f>
        <v/>
      </c>
      <c r="C485" t="str">
        <f>IF(_xlfn.XLOOKUP(A485,PARAMETROS!A:A,PARAMETROS!C:C)=0,"",_xlfn.XLOOKUP(A485,PARAMETROS!A:A,PARAMETROS!C:C))</f>
        <v/>
      </c>
      <c r="D485" t="str">
        <f>IF(_xlfn.XLOOKUP(A485,PARAMETROS!A:A,PARAMETROS!E:E)=0,"",_xlfn.XLOOKUP(A485,PARAMETROS!A:A,PARAMETROS!E:E))</f>
        <v/>
      </c>
      <c r="E485" t="str">
        <f>IF(_xlfn.XLOOKUP('PREENCHIMENTO|NÃO-LETIVAS'!A485,PARAMETROS!A:A,PARAMETROS!I:I)=0,"",_xlfn.XLOOKUP('PREENCHIMENTO|NÃO-LETIVAS'!A485,PARAMETROS!A:A,PARAMETROS!I:I))</f>
        <v/>
      </c>
      <c r="F485" s="3"/>
      <c r="G485" s="3"/>
      <c r="H485" s="3"/>
      <c r="I485" s="3"/>
      <c r="Y485" s="6">
        <f>_xlfn.XLOOKUP(G:G,PARAMETROS!Y:Y,PARAMETROS!AD:AD)</f>
        <v>0</v>
      </c>
    </row>
    <row r="486" spans="1:25">
      <c r="A486" s="3"/>
      <c r="B486" t="str">
        <f>IF(_xlfn.XLOOKUP(A486,PARAMETROS!A:A,PARAMETROS!B:B)=0,"",_xlfn.XLOOKUP(A486,PARAMETROS!A:A,PARAMETROS!B:B))</f>
        <v/>
      </c>
      <c r="C486" t="str">
        <f>IF(_xlfn.XLOOKUP(A486,PARAMETROS!A:A,PARAMETROS!C:C)=0,"",_xlfn.XLOOKUP(A486,PARAMETROS!A:A,PARAMETROS!C:C))</f>
        <v/>
      </c>
      <c r="D486" t="str">
        <f>IF(_xlfn.XLOOKUP(A486,PARAMETROS!A:A,PARAMETROS!E:E)=0,"",_xlfn.XLOOKUP(A486,PARAMETROS!A:A,PARAMETROS!E:E))</f>
        <v/>
      </c>
      <c r="E486" t="str">
        <f>IF(_xlfn.XLOOKUP('PREENCHIMENTO|NÃO-LETIVAS'!A486,PARAMETROS!A:A,PARAMETROS!I:I)=0,"",_xlfn.XLOOKUP('PREENCHIMENTO|NÃO-LETIVAS'!A486,PARAMETROS!A:A,PARAMETROS!I:I))</f>
        <v/>
      </c>
      <c r="F486" s="3"/>
      <c r="G486" s="3"/>
      <c r="H486" s="3"/>
      <c r="I486" s="3"/>
      <c r="Y486" s="6">
        <f>_xlfn.XLOOKUP(G:G,PARAMETROS!Y:Y,PARAMETROS!AD:AD)</f>
        <v>0</v>
      </c>
    </row>
    <row r="487" spans="1:25">
      <c r="A487" s="3"/>
      <c r="B487" t="str">
        <f>IF(_xlfn.XLOOKUP(A487,PARAMETROS!A:A,PARAMETROS!B:B)=0,"",_xlfn.XLOOKUP(A487,PARAMETROS!A:A,PARAMETROS!B:B))</f>
        <v/>
      </c>
      <c r="C487" t="str">
        <f>IF(_xlfn.XLOOKUP(A487,PARAMETROS!A:A,PARAMETROS!C:C)=0,"",_xlfn.XLOOKUP(A487,PARAMETROS!A:A,PARAMETROS!C:C))</f>
        <v/>
      </c>
      <c r="D487" t="str">
        <f>IF(_xlfn.XLOOKUP(A487,PARAMETROS!A:A,PARAMETROS!E:E)=0,"",_xlfn.XLOOKUP(A487,PARAMETROS!A:A,PARAMETROS!E:E))</f>
        <v/>
      </c>
      <c r="E487" t="str">
        <f>IF(_xlfn.XLOOKUP('PREENCHIMENTO|NÃO-LETIVAS'!A487,PARAMETROS!A:A,PARAMETROS!I:I)=0,"",_xlfn.XLOOKUP('PREENCHIMENTO|NÃO-LETIVAS'!A487,PARAMETROS!A:A,PARAMETROS!I:I))</f>
        <v/>
      </c>
      <c r="F487" s="3"/>
      <c r="G487" s="3"/>
      <c r="H487" s="3"/>
      <c r="I487" s="3"/>
      <c r="Y487" s="6">
        <f>_xlfn.XLOOKUP(G:G,PARAMETROS!Y:Y,PARAMETROS!AD:AD)</f>
        <v>0</v>
      </c>
    </row>
    <row r="488" spans="1:25">
      <c r="A488" s="3"/>
      <c r="B488" t="str">
        <f>IF(_xlfn.XLOOKUP(A488,PARAMETROS!A:A,PARAMETROS!B:B)=0,"",_xlfn.XLOOKUP(A488,PARAMETROS!A:A,PARAMETROS!B:B))</f>
        <v/>
      </c>
      <c r="C488" t="str">
        <f>IF(_xlfn.XLOOKUP(A488,PARAMETROS!A:A,PARAMETROS!C:C)=0,"",_xlfn.XLOOKUP(A488,PARAMETROS!A:A,PARAMETROS!C:C))</f>
        <v/>
      </c>
      <c r="D488" t="str">
        <f>IF(_xlfn.XLOOKUP(A488,PARAMETROS!A:A,PARAMETROS!E:E)=0,"",_xlfn.XLOOKUP(A488,PARAMETROS!A:A,PARAMETROS!E:E))</f>
        <v/>
      </c>
      <c r="E488" t="str">
        <f>IF(_xlfn.XLOOKUP('PREENCHIMENTO|NÃO-LETIVAS'!A488,PARAMETROS!A:A,PARAMETROS!I:I)=0,"",_xlfn.XLOOKUP('PREENCHIMENTO|NÃO-LETIVAS'!A488,PARAMETROS!A:A,PARAMETROS!I:I))</f>
        <v/>
      </c>
      <c r="F488" s="3"/>
      <c r="G488" s="3"/>
      <c r="H488" s="3"/>
      <c r="I488" s="3"/>
      <c r="Y488" s="6">
        <f>_xlfn.XLOOKUP(G:G,PARAMETROS!Y:Y,PARAMETROS!AD:AD)</f>
        <v>0</v>
      </c>
    </row>
    <row r="489" spans="1:25">
      <c r="A489" s="3"/>
      <c r="B489" t="str">
        <f>IF(_xlfn.XLOOKUP(A489,PARAMETROS!A:A,PARAMETROS!B:B)=0,"",_xlfn.XLOOKUP(A489,PARAMETROS!A:A,PARAMETROS!B:B))</f>
        <v/>
      </c>
      <c r="C489" t="str">
        <f>IF(_xlfn.XLOOKUP(A489,PARAMETROS!A:A,PARAMETROS!C:C)=0,"",_xlfn.XLOOKUP(A489,PARAMETROS!A:A,PARAMETROS!C:C))</f>
        <v/>
      </c>
      <c r="D489" t="str">
        <f>IF(_xlfn.XLOOKUP(A489,PARAMETROS!A:A,PARAMETROS!E:E)=0,"",_xlfn.XLOOKUP(A489,PARAMETROS!A:A,PARAMETROS!E:E))</f>
        <v/>
      </c>
      <c r="E489" t="str">
        <f>IF(_xlfn.XLOOKUP('PREENCHIMENTO|NÃO-LETIVAS'!A489,PARAMETROS!A:A,PARAMETROS!I:I)=0,"",_xlfn.XLOOKUP('PREENCHIMENTO|NÃO-LETIVAS'!A489,PARAMETROS!A:A,PARAMETROS!I:I))</f>
        <v/>
      </c>
      <c r="F489" s="3"/>
      <c r="G489" s="3"/>
      <c r="H489" s="3"/>
      <c r="I489" s="3"/>
      <c r="Y489" s="6">
        <f>_xlfn.XLOOKUP(G:G,PARAMETROS!Y:Y,PARAMETROS!AD:AD)</f>
        <v>0</v>
      </c>
    </row>
    <row r="490" spans="1:25">
      <c r="A490" s="3"/>
      <c r="B490" t="str">
        <f>IF(_xlfn.XLOOKUP(A490,PARAMETROS!A:A,PARAMETROS!B:B)=0,"",_xlfn.XLOOKUP(A490,PARAMETROS!A:A,PARAMETROS!B:B))</f>
        <v/>
      </c>
      <c r="C490" t="str">
        <f>IF(_xlfn.XLOOKUP(A490,PARAMETROS!A:A,PARAMETROS!C:C)=0,"",_xlfn.XLOOKUP(A490,PARAMETROS!A:A,PARAMETROS!C:C))</f>
        <v/>
      </c>
      <c r="D490" t="str">
        <f>IF(_xlfn.XLOOKUP(A490,PARAMETROS!A:A,PARAMETROS!E:E)=0,"",_xlfn.XLOOKUP(A490,PARAMETROS!A:A,PARAMETROS!E:E))</f>
        <v/>
      </c>
      <c r="E490" t="str">
        <f>IF(_xlfn.XLOOKUP('PREENCHIMENTO|NÃO-LETIVAS'!A490,PARAMETROS!A:A,PARAMETROS!I:I)=0,"",_xlfn.XLOOKUP('PREENCHIMENTO|NÃO-LETIVAS'!A490,PARAMETROS!A:A,PARAMETROS!I:I))</f>
        <v/>
      </c>
      <c r="F490" s="3"/>
      <c r="G490" s="3"/>
      <c r="H490" s="3"/>
      <c r="I490" s="3"/>
      <c r="Y490" s="6">
        <f>_xlfn.XLOOKUP(G:G,PARAMETROS!Y:Y,PARAMETROS!AD:AD)</f>
        <v>0</v>
      </c>
    </row>
    <row r="491" spans="1:25">
      <c r="A491" s="3"/>
      <c r="B491" t="str">
        <f>IF(_xlfn.XLOOKUP(A491,PARAMETROS!A:A,PARAMETROS!B:B)=0,"",_xlfn.XLOOKUP(A491,PARAMETROS!A:A,PARAMETROS!B:B))</f>
        <v/>
      </c>
      <c r="C491" t="str">
        <f>IF(_xlfn.XLOOKUP(A491,PARAMETROS!A:A,PARAMETROS!C:C)=0,"",_xlfn.XLOOKUP(A491,PARAMETROS!A:A,PARAMETROS!C:C))</f>
        <v/>
      </c>
      <c r="D491" t="str">
        <f>IF(_xlfn.XLOOKUP(A491,PARAMETROS!A:A,PARAMETROS!E:E)=0,"",_xlfn.XLOOKUP(A491,PARAMETROS!A:A,PARAMETROS!E:E))</f>
        <v/>
      </c>
      <c r="E491" t="str">
        <f>IF(_xlfn.XLOOKUP('PREENCHIMENTO|NÃO-LETIVAS'!A491,PARAMETROS!A:A,PARAMETROS!I:I)=0,"",_xlfn.XLOOKUP('PREENCHIMENTO|NÃO-LETIVAS'!A491,PARAMETROS!A:A,PARAMETROS!I:I))</f>
        <v/>
      </c>
      <c r="F491" s="3"/>
      <c r="G491" s="3"/>
      <c r="H491" s="3"/>
      <c r="I491" s="3"/>
      <c r="Y491" s="6">
        <f>_xlfn.XLOOKUP(G:G,PARAMETROS!Y:Y,PARAMETROS!AD:AD)</f>
        <v>0</v>
      </c>
    </row>
    <row r="492" spans="1:25">
      <c r="A492" s="3"/>
      <c r="B492" t="str">
        <f>IF(_xlfn.XLOOKUP(A492,PARAMETROS!A:A,PARAMETROS!B:B)=0,"",_xlfn.XLOOKUP(A492,PARAMETROS!A:A,PARAMETROS!B:B))</f>
        <v/>
      </c>
      <c r="C492" t="str">
        <f>IF(_xlfn.XLOOKUP(A492,PARAMETROS!A:A,PARAMETROS!C:C)=0,"",_xlfn.XLOOKUP(A492,PARAMETROS!A:A,PARAMETROS!C:C))</f>
        <v/>
      </c>
      <c r="D492" t="str">
        <f>IF(_xlfn.XLOOKUP(A492,PARAMETROS!A:A,PARAMETROS!E:E)=0,"",_xlfn.XLOOKUP(A492,PARAMETROS!A:A,PARAMETROS!E:E))</f>
        <v/>
      </c>
      <c r="E492" t="str">
        <f>IF(_xlfn.XLOOKUP('PREENCHIMENTO|NÃO-LETIVAS'!A492,PARAMETROS!A:A,PARAMETROS!I:I)=0,"",_xlfn.XLOOKUP('PREENCHIMENTO|NÃO-LETIVAS'!A492,PARAMETROS!A:A,PARAMETROS!I:I))</f>
        <v/>
      </c>
      <c r="F492" s="3"/>
      <c r="G492" s="3"/>
      <c r="H492" s="3"/>
      <c r="I492" s="3"/>
      <c r="Y492" s="6">
        <f>_xlfn.XLOOKUP(G:G,PARAMETROS!Y:Y,PARAMETROS!AD:AD)</f>
        <v>0</v>
      </c>
    </row>
    <row r="493" spans="1:25">
      <c r="A493" s="3"/>
      <c r="B493" t="str">
        <f>IF(_xlfn.XLOOKUP(A493,PARAMETROS!A:A,PARAMETROS!B:B)=0,"",_xlfn.XLOOKUP(A493,PARAMETROS!A:A,PARAMETROS!B:B))</f>
        <v/>
      </c>
      <c r="C493" t="str">
        <f>IF(_xlfn.XLOOKUP(A493,PARAMETROS!A:A,PARAMETROS!C:C)=0,"",_xlfn.XLOOKUP(A493,PARAMETROS!A:A,PARAMETROS!C:C))</f>
        <v/>
      </c>
      <c r="D493" t="str">
        <f>IF(_xlfn.XLOOKUP(A493,PARAMETROS!A:A,PARAMETROS!E:E)=0,"",_xlfn.XLOOKUP(A493,PARAMETROS!A:A,PARAMETROS!E:E))</f>
        <v/>
      </c>
      <c r="E493" t="str">
        <f>IF(_xlfn.XLOOKUP('PREENCHIMENTO|NÃO-LETIVAS'!A493,PARAMETROS!A:A,PARAMETROS!I:I)=0,"",_xlfn.XLOOKUP('PREENCHIMENTO|NÃO-LETIVAS'!A493,PARAMETROS!A:A,PARAMETROS!I:I))</f>
        <v/>
      </c>
      <c r="F493" s="3"/>
      <c r="G493" s="3"/>
      <c r="H493" s="3"/>
      <c r="I493" s="3"/>
      <c r="Y493" s="6">
        <f>_xlfn.XLOOKUP(G:G,PARAMETROS!Y:Y,PARAMETROS!AD:AD)</f>
        <v>0</v>
      </c>
    </row>
    <row r="494" spans="1:25">
      <c r="A494" s="3"/>
      <c r="B494" t="str">
        <f>IF(_xlfn.XLOOKUP(A494,PARAMETROS!A:A,PARAMETROS!B:B)=0,"",_xlfn.XLOOKUP(A494,PARAMETROS!A:A,PARAMETROS!B:B))</f>
        <v/>
      </c>
      <c r="C494" t="str">
        <f>IF(_xlfn.XLOOKUP(A494,PARAMETROS!A:A,PARAMETROS!C:C)=0,"",_xlfn.XLOOKUP(A494,PARAMETROS!A:A,PARAMETROS!C:C))</f>
        <v/>
      </c>
      <c r="D494" t="str">
        <f>IF(_xlfn.XLOOKUP(A494,PARAMETROS!A:A,PARAMETROS!E:E)=0,"",_xlfn.XLOOKUP(A494,PARAMETROS!A:A,PARAMETROS!E:E))</f>
        <v/>
      </c>
      <c r="E494" t="str">
        <f>IF(_xlfn.XLOOKUP('PREENCHIMENTO|NÃO-LETIVAS'!A494,PARAMETROS!A:A,PARAMETROS!I:I)=0,"",_xlfn.XLOOKUP('PREENCHIMENTO|NÃO-LETIVAS'!A494,PARAMETROS!A:A,PARAMETROS!I:I))</f>
        <v/>
      </c>
      <c r="F494" s="3"/>
      <c r="G494" s="3"/>
      <c r="H494" s="3"/>
      <c r="I494" s="3"/>
      <c r="Y494" s="6">
        <f>_xlfn.XLOOKUP(G:G,PARAMETROS!Y:Y,PARAMETROS!AD:AD)</f>
        <v>0</v>
      </c>
    </row>
    <row r="495" spans="1:25">
      <c r="A495" s="3"/>
      <c r="B495" t="str">
        <f>IF(_xlfn.XLOOKUP(A495,PARAMETROS!A:A,PARAMETROS!B:B)=0,"",_xlfn.XLOOKUP(A495,PARAMETROS!A:A,PARAMETROS!B:B))</f>
        <v/>
      </c>
      <c r="C495" t="str">
        <f>IF(_xlfn.XLOOKUP(A495,PARAMETROS!A:A,PARAMETROS!C:C)=0,"",_xlfn.XLOOKUP(A495,PARAMETROS!A:A,PARAMETROS!C:C))</f>
        <v/>
      </c>
      <c r="D495" t="str">
        <f>IF(_xlfn.XLOOKUP(A495,PARAMETROS!A:A,PARAMETROS!E:E)=0,"",_xlfn.XLOOKUP(A495,PARAMETROS!A:A,PARAMETROS!E:E))</f>
        <v/>
      </c>
      <c r="E495" t="str">
        <f>IF(_xlfn.XLOOKUP('PREENCHIMENTO|NÃO-LETIVAS'!A495,PARAMETROS!A:A,PARAMETROS!I:I)=0,"",_xlfn.XLOOKUP('PREENCHIMENTO|NÃO-LETIVAS'!A495,PARAMETROS!A:A,PARAMETROS!I:I))</f>
        <v/>
      </c>
      <c r="F495" s="3"/>
      <c r="G495" s="3"/>
      <c r="H495" s="3"/>
      <c r="I495" s="3"/>
      <c r="Y495" s="6">
        <f>_xlfn.XLOOKUP(G:G,PARAMETROS!Y:Y,PARAMETROS!AD:AD)</f>
        <v>0</v>
      </c>
    </row>
    <row r="496" spans="1:25">
      <c r="A496" s="3"/>
      <c r="B496" t="str">
        <f>IF(_xlfn.XLOOKUP(A496,PARAMETROS!A:A,PARAMETROS!B:B)=0,"",_xlfn.XLOOKUP(A496,PARAMETROS!A:A,PARAMETROS!B:B))</f>
        <v/>
      </c>
      <c r="C496" t="str">
        <f>IF(_xlfn.XLOOKUP(A496,PARAMETROS!A:A,PARAMETROS!C:C)=0,"",_xlfn.XLOOKUP(A496,PARAMETROS!A:A,PARAMETROS!C:C))</f>
        <v/>
      </c>
      <c r="D496" t="str">
        <f>IF(_xlfn.XLOOKUP(A496,PARAMETROS!A:A,PARAMETROS!E:E)=0,"",_xlfn.XLOOKUP(A496,PARAMETROS!A:A,PARAMETROS!E:E))</f>
        <v/>
      </c>
      <c r="E496" t="str">
        <f>IF(_xlfn.XLOOKUP('PREENCHIMENTO|NÃO-LETIVAS'!A496,PARAMETROS!A:A,PARAMETROS!I:I)=0,"",_xlfn.XLOOKUP('PREENCHIMENTO|NÃO-LETIVAS'!A496,PARAMETROS!A:A,PARAMETROS!I:I))</f>
        <v/>
      </c>
      <c r="F496" s="3"/>
      <c r="G496" s="3"/>
      <c r="H496" s="3"/>
      <c r="I496" s="3"/>
      <c r="Y496" s="6">
        <f>_xlfn.XLOOKUP(G:G,PARAMETROS!Y:Y,PARAMETROS!AD:AD)</f>
        <v>0</v>
      </c>
    </row>
    <row r="497" spans="1:25">
      <c r="A497" s="3"/>
      <c r="B497" t="str">
        <f>IF(_xlfn.XLOOKUP(A497,PARAMETROS!A:A,PARAMETROS!B:B)=0,"",_xlfn.XLOOKUP(A497,PARAMETROS!A:A,PARAMETROS!B:B))</f>
        <v/>
      </c>
      <c r="C497" t="str">
        <f>IF(_xlfn.XLOOKUP(A497,PARAMETROS!A:A,PARAMETROS!C:C)=0,"",_xlfn.XLOOKUP(A497,PARAMETROS!A:A,PARAMETROS!C:C))</f>
        <v/>
      </c>
      <c r="D497" t="str">
        <f>IF(_xlfn.XLOOKUP(A497,PARAMETROS!A:A,PARAMETROS!E:E)=0,"",_xlfn.XLOOKUP(A497,PARAMETROS!A:A,PARAMETROS!E:E))</f>
        <v/>
      </c>
      <c r="E497" t="str">
        <f>IF(_xlfn.XLOOKUP('PREENCHIMENTO|NÃO-LETIVAS'!A497,PARAMETROS!A:A,PARAMETROS!I:I)=0,"",_xlfn.XLOOKUP('PREENCHIMENTO|NÃO-LETIVAS'!A497,PARAMETROS!A:A,PARAMETROS!I:I))</f>
        <v/>
      </c>
      <c r="F497" s="3"/>
      <c r="G497" s="3"/>
      <c r="H497" s="3"/>
      <c r="I497" s="3"/>
      <c r="Y497" s="6">
        <f>_xlfn.XLOOKUP(G:G,PARAMETROS!Y:Y,PARAMETROS!AD:AD)</f>
        <v>0</v>
      </c>
    </row>
    <row r="498" spans="1:25">
      <c r="A498" s="3"/>
      <c r="B498" t="str">
        <f>IF(_xlfn.XLOOKUP(A498,PARAMETROS!A:A,PARAMETROS!B:B)=0,"",_xlfn.XLOOKUP(A498,PARAMETROS!A:A,PARAMETROS!B:B))</f>
        <v/>
      </c>
      <c r="C498" t="str">
        <f>IF(_xlfn.XLOOKUP(A498,PARAMETROS!A:A,PARAMETROS!C:C)=0,"",_xlfn.XLOOKUP(A498,PARAMETROS!A:A,PARAMETROS!C:C))</f>
        <v/>
      </c>
      <c r="D498" t="str">
        <f>IF(_xlfn.XLOOKUP(A498,PARAMETROS!A:A,PARAMETROS!E:E)=0,"",_xlfn.XLOOKUP(A498,PARAMETROS!A:A,PARAMETROS!E:E))</f>
        <v/>
      </c>
      <c r="E498" t="str">
        <f>IF(_xlfn.XLOOKUP('PREENCHIMENTO|NÃO-LETIVAS'!A498,PARAMETROS!A:A,PARAMETROS!I:I)=0,"",_xlfn.XLOOKUP('PREENCHIMENTO|NÃO-LETIVAS'!A498,PARAMETROS!A:A,PARAMETROS!I:I))</f>
        <v/>
      </c>
      <c r="F498" s="3"/>
      <c r="G498" s="3"/>
      <c r="H498" s="3"/>
      <c r="I498" s="3"/>
      <c r="Y498" s="6">
        <f>_xlfn.XLOOKUP(G:G,PARAMETROS!Y:Y,PARAMETROS!AD:AD)</f>
        <v>0</v>
      </c>
    </row>
    <row r="499" spans="1:25">
      <c r="A499" s="3"/>
      <c r="B499" t="str">
        <f>IF(_xlfn.XLOOKUP(A499,PARAMETROS!A:A,PARAMETROS!B:B)=0,"",_xlfn.XLOOKUP(A499,PARAMETROS!A:A,PARAMETROS!B:B))</f>
        <v/>
      </c>
      <c r="C499" t="str">
        <f>IF(_xlfn.XLOOKUP(A499,PARAMETROS!A:A,PARAMETROS!C:C)=0,"",_xlfn.XLOOKUP(A499,PARAMETROS!A:A,PARAMETROS!C:C))</f>
        <v/>
      </c>
      <c r="D499" t="str">
        <f>IF(_xlfn.XLOOKUP(A499,PARAMETROS!A:A,PARAMETROS!E:E)=0,"",_xlfn.XLOOKUP(A499,PARAMETROS!A:A,PARAMETROS!E:E))</f>
        <v/>
      </c>
      <c r="E499" t="str">
        <f>IF(_xlfn.XLOOKUP('PREENCHIMENTO|NÃO-LETIVAS'!A499,PARAMETROS!A:A,PARAMETROS!I:I)=0,"",_xlfn.XLOOKUP('PREENCHIMENTO|NÃO-LETIVAS'!A499,PARAMETROS!A:A,PARAMETROS!I:I))</f>
        <v/>
      </c>
      <c r="F499" s="3"/>
      <c r="G499" s="3"/>
      <c r="H499" s="3"/>
      <c r="I499" s="3"/>
      <c r="Y499" s="6">
        <f>_xlfn.XLOOKUP(G:G,PARAMETROS!Y:Y,PARAMETROS!AD:AD)</f>
        <v>0</v>
      </c>
    </row>
    <row r="500" spans="1:25">
      <c r="A500" s="3"/>
      <c r="B500" t="str">
        <f>IF(_xlfn.XLOOKUP(A500,PARAMETROS!A:A,PARAMETROS!B:B)=0,"",_xlfn.XLOOKUP(A500,PARAMETROS!A:A,PARAMETROS!B:B))</f>
        <v/>
      </c>
      <c r="C500" t="str">
        <f>IF(_xlfn.XLOOKUP(A500,PARAMETROS!A:A,PARAMETROS!C:C)=0,"",_xlfn.XLOOKUP(A500,PARAMETROS!A:A,PARAMETROS!C:C))</f>
        <v/>
      </c>
      <c r="D500" t="str">
        <f>IF(_xlfn.XLOOKUP(A500,PARAMETROS!A:A,PARAMETROS!E:E)=0,"",_xlfn.XLOOKUP(A500,PARAMETROS!A:A,PARAMETROS!E:E))</f>
        <v/>
      </c>
      <c r="E500" t="str">
        <f>IF(_xlfn.XLOOKUP('PREENCHIMENTO|NÃO-LETIVAS'!A500,PARAMETROS!A:A,PARAMETROS!I:I)=0,"",_xlfn.XLOOKUP('PREENCHIMENTO|NÃO-LETIVAS'!A500,PARAMETROS!A:A,PARAMETROS!I:I))</f>
        <v/>
      </c>
      <c r="F500" s="3"/>
      <c r="G500" s="3"/>
      <c r="H500" s="3"/>
      <c r="I500" s="3"/>
      <c r="Y500" s="6">
        <f>_xlfn.XLOOKUP(G:G,PARAMETROS!Y:Y,PARAMETROS!AD:AD)</f>
        <v>0</v>
      </c>
    </row>
    <row r="501" spans="1:25">
      <c r="A501" s="3"/>
      <c r="F501" s="3"/>
      <c r="G501" s="3"/>
      <c r="H501" s="3"/>
      <c r="I501" s="3"/>
    </row>
    <row r="502" spans="1:25">
      <c r="A502" s="3"/>
      <c r="F502" s="3"/>
      <c r="G502" s="3"/>
      <c r="H502" s="3"/>
      <c r="I502" s="3"/>
    </row>
    <row r="503" spans="1:25">
      <c r="A503" s="3"/>
      <c r="F503" s="3"/>
      <c r="G503" s="3"/>
      <c r="H503" s="3"/>
      <c r="I503" s="3"/>
    </row>
    <row r="504" spans="1:25">
      <c r="A504" s="3"/>
      <c r="F504" s="3"/>
      <c r="G504" s="3"/>
      <c r="H504" s="3"/>
      <c r="I504" s="3"/>
    </row>
    <row r="505" spans="1:25">
      <c r="A505" s="3"/>
      <c r="F505" s="3"/>
      <c r="G505" s="3"/>
      <c r="H505" s="3"/>
      <c r="I505" s="3"/>
    </row>
    <row r="506" spans="1:25">
      <c r="A506" s="3"/>
      <c r="F506" s="3"/>
      <c r="G506" s="3"/>
      <c r="H506" s="3"/>
      <c r="I506" s="3"/>
    </row>
    <row r="507" spans="1:25">
      <c r="A507" s="3"/>
      <c r="F507" s="3"/>
      <c r="G507" s="3"/>
      <c r="H507" s="3"/>
      <c r="I507" s="3"/>
    </row>
    <row r="508" spans="1:25">
      <c r="I508" s="3"/>
    </row>
  </sheetData>
  <sheetProtection algorithmName="SHA-512" hashValue="ZEPqd5qj6WGPNLvMS8lYTcy4npAatBx5xIQCAikK3mt5+XERyK9wpJbVP/Q5hIR1zA0ov4pws1tE6FWVcwaTsA==" saltValue="JX5Djy9I9Ts+FPsFwVUoWw==" spinCount="100000" sheet="1" objects="1" scenarios="1"/>
  <autoFilter ref="A9:I9" xr:uid="{43E65873-736C-486C-A92B-50824622F23C}"/>
  <mergeCells count="2">
    <mergeCell ref="A1:I7"/>
    <mergeCell ref="A8:H8"/>
  </mergeCells>
  <dataValidations count="1">
    <dataValidation type="list" allowBlank="1" showInputMessage="1" showErrorMessage="1" sqref="H10:H500" xr:uid="{EB7E32A5-FDCE-478B-B7FD-CEBF768D5BAD}">
      <formula1>INDIRECT($Y10)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E8AFA87-E054-4933-A8BF-6744574B3927}">
            <xm:f>AND($A10&lt;&gt;"", SUMIF($A:$A,$A10,$H:$H) &gt; _xlfn.XLOOKUP($A10,PARAMETROS!$A:$A,PARAMETROS!$E:$E,9E+99))</xm:f>
            <x14:dxf>
              <fill>
                <patternFill>
                  <bgColor rgb="FFFFCCCC"/>
                </patternFill>
              </fill>
            </x14:dxf>
          </x14:cfRule>
          <xm:sqref>A10:H500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92A51C6-EE3A-4D97-A434-9216BF2E349F}">
          <x14:formula1>
            <xm:f>PARAMETROS!$K$2:$K$6</xm:f>
          </x14:formula1>
          <xm:sqref>F10:F508</xm:sqref>
        </x14:dataValidation>
        <x14:dataValidation type="list" allowBlank="1" showInputMessage="1" showErrorMessage="1" xr:uid="{CDE285B9-BE8A-4A64-B7AE-845DAF4AEB03}">
          <x14:formula1>
            <xm:f>PARAMETROS!$M$2:$M$7</xm:f>
          </x14:formula1>
          <xm:sqref>H501:H508</xm:sqref>
        </x14:dataValidation>
        <x14:dataValidation type="list" allowBlank="1" showInputMessage="1" showErrorMessage="1" xr:uid="{DEBCA68B-EABB-4FBB-8767-BC5908A22C1B}">
          <x14:formula1>
            <xm:f>PARAMETROS!$L$2:$L$7</xm:f>
          </x14:formula1>
          <xm:sqref>G501:G508</xm:sqref>
        </x14:dataValidation>
        <x14:dataValidation type="list" allowBlank="1" showInputMessage="1" showErrorMessage="1" xr:uid="{D2466E73-E95E-447E-8B1A-C1586E498DE3}">
          <x14:formula1>
            <xm:f>PARAMETROS!$A$2:$A$98</xm:f>
          </x14:formula1>
          <xm:sqref>A501:A508</xm:sqref>
        </x14:dataValidation>
        <x14:dataValidation type="list" allowBlank="1" showInputMessage="1" showErrorMessage="1" xr:uid="{2B621897-644C-4D36-A8D3-D11B558CC042}">
          <x14:formula1>
            <xm:f>PARAMETROS!$Y$2:$Y$28</xm:f>
          </x14:formula1>
          <xm:sqref>G10:G500</xm:sqref>
        </x14:dataValidation>
        <x14:dataValidation type="list" showInputMessage="1" showErrorMessage="1" xr:uid="{3A64FA79-6E9D-4630-8895-EC5ED4A851CA}">
          <x14:formula1>
            <xm:f>PARAMETROS!$A$2:$A$146</xm:f>
          </x14:formula1>
          <xm:sqref>A10:A500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Otávio Fioroto</dc:creator>
  <cp:keywords/>
  <dc:description/>
  <cp:lastModifiedBy/>
  <cp:revision/>
  <dcterms:created xsi:type="dcterms:W3CDTF">2026-01-22T17:09:44Z</dcterms:created>
  <dcterms:modified xsi:type="dcterms:W3CDTF">2026-07-13T17:40:31Z</dcterms:modified>
  <cp:category/>
  <cp:contentStatus/>
</cp:coreProperties>
</file>